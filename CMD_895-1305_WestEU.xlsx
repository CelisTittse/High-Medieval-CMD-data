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listittse/Documents/Scriptie_CMD/data/CMD_data/"/>
    </mc:Choice>
  </mc:AlternateContent>
  <xr:revisionPtr revIDLastSave="0" documentId="13_ncr:1_{846BF160-6D1B-1F47-9D26-F88371FA94F9}" xr6:coauthVersionLast="47" xr6:coauthVersionMax="47" xr10:uidLastSave="{00000000-0000-0000-0000-000000000000}"/>
  <bookViews>
    <workbookView xWindow="0" yWindow="500" windowWidth="28800" windowHeight="17500" activeTab="2" xr2:uid="{26270A2E-32C3-BD47-8175-6EFF97A61A13}"/>
  </bookViews>
  <sheets>
    <sheet name="CMD_tittse" sheetId="17" r:id="rId1"/>
    <sheet name="locs" sheetId="16" r:id="rId2"/>
    <sheet name="kwakkel_ds" sheetId="1" r:id="rId3"/>
    <sheet name="Sweden" sheetId="12" r:id="rId4"/>
    <sheet name="France" sheetId="6" r:id="rId5"/>
    <sheet name="Vatican" sheetId="14" r:id="rId6"/>
    <sheet name="England" sheetId="2" r:id="rId7"/>
    <sheet name="Netherlands" sheetId="8" r:id="rId8"/>
    <sheet name="Belgium" sheetId="13" r:id="rId9"/>
    <sheet name="Austria" sheetId="7" r:id="rId10"/>
    <sheet name="VS" sheetId="5" r:id="rId11"/>
    <sheet name="Switserland" sheetId="9" r:id="rId12"/>
    <sheet name="Italy" sheetId="10" r:id="rId13"/>
    <sheet name="Germany" sheetId="11" r:id="rId14"/>
    <sheet name="tittse_ds" sheetId="15" r:id="rId15"/>
  </sheets>
  <externalReferences>
    <externalReference r:id="rId16"/>
  </externalReferences>
  <definedNames>
    <definedName name="_xlnm._FilterDatabase" localSheetId="0" hidden="1">CMD_tittse!$A$1:$U$1387</definedName>
    <definedName name="_xlnm._FilterDatabase" localSheetId="2" hidden="1">kwakkel_ds!$S$1:$S$369</definedName>
    <definedName name="_xlnm._FilterDatabase" localSheetId="14" hidden="1">tittse_ds!$D$1:$O$1450</definedName>
    <definedName name="suedtirol" localSheetId="9">Austria!#REF!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39" i="15" l="1"/>
  <c r="G1246" i="15"/>
  <c r="G1103" i="15"/>
  <c r="G1093" i="15"/>
  <c r="G1089" i="15"/>
  <c r="G1088" i="15"/>
  <c r="G1068" i="15"/>
  <c r="G1048" i="15"/>
  <c r="G1046" i="15"/>
  <c r="G1041" i="15"/>
  <c r="G1040" i="15"/>
  <c r="G1034" i="15"/>
  <c r="G1031" i="15"/>
  <c r="G1027" i="15"/>
  <c r="G1018" i="15"/>
  <c r="G1014" i="15"/>
  <c r="G1012" i="15"/>
  <c r="G1010" i="15"/>
  <c r="G1009" i="15"/>
  <c r="G1006" i="15"/>
  <c r="G1002" i="15"/>
  <c r="G931" i="15"/>
  <c r="G929" i="15"/>
  <c r="G926" i="15"/>
  <c r="G924" i="15"/>
  <c r="G922" i="15"/>
  <c r="G913" i="15"/>
  <c r="G342" i="15"/>
  <c r="G327" i="15"/>
  <c r="G317" i="15"/>
  <c r="G305" i="15"/>
  <c r="G301" i="15"/>
  <c r="G286" i="15"/>
  <c r="G279" i="15"/>
  <c r="G278" i="15"/>
  <c r="G276" i="15"/>
  <c r="G273" i="15"/>
  <c r="G267" i="15"/>
  <c r="G259" i="15"/>
  <c r="G249" i="15"/>
  <c r="G248" i="15"/>
  <c r="G227" i="15"/>
  <c r="G197" i="15"/>
  <c r="G159" i="15"/>
  <c r="G125" i="15"/>
  <c r="G120" i="15"/>
  <c r="G116" i="15"/>
  <c r="G111" i="15"/>
  <c r="G107" i="15"/>
  <c r="G908" i="15"/>
  <c r="G907" i="15"/>
  <c r="G906" i="15"/>
  <c r="G840" i="15"/>
  <c r="G831" i="15"/>
  <c r="G766" i="15"/>
  <c r="G448" i="15"/>
  <c r="G344" i="15"/>
  <c r="G343" i="15"/>
  <c r="G341" i="15"/>
  <c r="G339" i="15"/>
  <c r="G335" i="15"/>
  <c r="G334" i="15"/>
  <c r="G333" i="15"/>
  <c r="G321" i="15"/>
  <c r="G320" i="15"/>
  <c r="G319" i="15"/>
  <c r="G318" i="15"/>
  <c r="G316" i="15"/>
  <c r="G315" i="15"/>
  <c r="G313" i="15"/>
  <c r="G312" i="15"/>
  <c r="G311" i="15"/>
  <c r="G310" i="15"/>
  <c r="G309" i="15"/>
  <c r="G308" i="15"/>
  <c r="G306" i="15"/>
  <c r="G304" i="15"/>
  <c r="G302" i="15"/>
  <c r="G300" i="15"/>
  <c r="G299" i="15"/>
  <c r="G298" i="15"/>
  <c r="G296" i="15"/>
  <c r="G295" i="15"/>
  <c r="G294" i="15"/>
  <c r="G293" i="15"/>
  <c r="G292" i="15"/>
  <c r="G291" i="15"/>
  <c r="G290" i="15"/>
  <c r="G289" i="15"/>
  <c r="G288" i="15"/>
  <c r="G287" i="15"/>
  <c r="G283" i="15"/>
  <c r="G282" i="15"/>
  <c r="G281" i="15"/>
  <c r="G280" i="15"/>
  <c r="G272" i="15"/>
  <c r="G271" i="15"/>
  <c r="G269" i="15"/>
  <c r="G266" i="15"/>
  <c r="G265" i="15"/>
  <c r="G264" i="15"/>
  <c r="G263" i="15"/>
  <c r="G262" i="15"/>
  <c r="G260" i="15"/>
  <c r="G257" i="15"/>
  <c r="G256" i="15"/>
  <c r="G246" i="15"/>
  <c r="G241" i="15"/>
  <c r="G240" i="15"/>
  <c r="G237" i="15"/>
  <c r="G236" i="15"/>
  <c r="G235" i="15"/>
  <c r="G233" i="15"/>
  <c r="G232" i="15"/>
  <c r="G224" i="15"/>
  <c r="G223" i="15"/>
  <c r="G222" i="15"/>
  <c r="G221" i="15"/>
  <c r="G220" i="15"/>
  <c r="G219" i="15"/>
  <c r="G218" i="15"/>
  <c r="G217" i="15"/>
  <c r="G216" i="15"/>
  <c r="G215" i="15"/>
  <c r="G213" i="15"/>
  <c r="G212" i="15"/>
  <c r="G211" i="15"/>
  <c r="G207" i="15"/>
  <c r="G206" i="15"/>
  <c r="G204" i="15"/>
  <c r="G203" i="15"/>
  <c r="G202" i="15"/>
  <c r="G201" i="15"/>
  <c r="G200" i="15"/>
  <c r="G199" i="15"/>
  <c r="G196" i="15"/>
  <c r="G195" i="15"/>
  <c r="G194" i="15"/>
  <c r="G192" i="15"/>
  <c r="G191" i="15"/>
  <c r="G190" i="15"/>
  <c r="G189" i="15"/>
  <c r="G187" i="15"/>
  <c r="G186" i="15"/>
  <c r="G185" i="15"/>
  <c r="G184" i="15"/>
  <c r="L1387" i="17"/>
  <c r="L1386" i="17"/>
  <c r="S369" i="1"/>
  <c r="R369" i="1"/>
  <c r="R368" i="1"/>
  <c r="L25" i="15"/>
  <c r="L23" i="15"/>
  <c r="Y3" i="15"/>
  <c r="Y4" i="15"/>
  <c r="Y5" i="15"/>
  <c r="Y8" i="15"/>
  <c r="Y9" i="15"/>
  <c r="Y6" i="15"/>
  <c r="Y7" i="15"/>
  <c r="Y10" i="15"/>
  <c r="Y11" i="15"/>
  <c r="Y12" i="15"/>
  <c r="Y13" i="15"/>
  <c r="Y14" i="15"/>
  <c r="Y15" i="15"/>
  <c r="Y16" i="15"/>
  <c r="Y17" i="15"/>
  <c r="Y18" i="15"/>
  <c r="Y19" i="15"/>
  <c r="Y20" i="15"/>
  <c r="Y21" i="15"/>
  <c r="Y22" i="15"/>
  <c r="Y24" i="15"/>
  <c r="Y23" i="15"/>
  <c r="Y25" i="15"/>
  <c r="Y26" i="15"/>
  <c r="Y27" i="15"/>
  <c r="Y28" i="15"/>
  <c r="Y29" i="15"/>
  <c r="Y30" i="15"/>
  <c r="Y31" i="15"/>
  <c r="Y32" i="15"/>
  <c r="Y33" i="15"/>
  <c r="Y34" i="15"/>
  <c r="Y35" i="15"/>
  <c r="Y36" i="15"/>
  <c r="Y37" i="15"/>
  <c r="Y38" i="15"/>
  <c r="Y39" i="15"/>
  <c r="Y40" i="15"/>
  <c r="Y41" i="15"/>
  <c r="Y42" i="15"/>
  <c r="Y43" i="15"/>
  <c r="Y44" i="15"/>
  <c r="Y45" i="15"/>
  <c r="Y46" i="15"/>
  <c r="Y47" i="15"/>
  <c r="Y48" i="15"/>
  <c r="Y49" i="15"/>
  <c r="Y50" i="15"/>
  <c r="Y51" i="15"/>
  <c r="Y52" i="15"/>
  <c r="Y53" i="15"/>
  <c r="Y54" i="15"/>
  <c r="Y55" i="15"/>
  <c r="Y56" i="15"/>
  <c r="Y57" i="15"/>
  <c r="Y58" i="15"/>
  <c r="Y59" i="15"/>
  <c r="Y60" i="15"/>
  <c r="Y61" i="15"/>
  <c r="Y62" i="15"/>
  <c r="Y63" i="15"/>
  <c r="Y64" i="15"/>
  <c r="Y65" i="15"/>
  <c r="Y66" i="15"/>
  <c r="Y67" i="15"/>
  <c r="Y68" i="15"/>
  <c r="Y69" i="15"/>
  <c r="Y70" i="15"/>
  <c r="Y71" i="15"/>
  <c r="Y72" i="15"/>
  <c r="Y73" i="15"/>
  <c r="Y74" i="15"/>
  <c r="Y75" i="15"/>
  <c r="Y76" i="15"/>
  <c r="Y77" i="15"/>
  <c r="Y78" i="15"/>
  <c r="Y79" i="15"/>
  <c r="Y80" i="15"/>
  <c r="Y81" i="15"/>
  <c r="Y82" i="15"/>
  <c r="Y83" i="15"/>
  <c r="Y84" i="15"/>
  <c r="Y85" i="15"/>
  <c r="Y86" i="15"/>
  <c r="Y87" i="15"/>
  <c r="Y88" i="15"/>
  <c r="Y89" i="15"/>
  <c r="Y90" i="15"/>
  <c r="Y91" i="15"/>
  <c r="Y93" i="15"/>
  <c r="Y92" i="15"/>
  <c r="Y94" i="15"/>
  <c r="Y95" i="15"/>
  <c r="Y96" i="15"/>
  <c r="Y97" i="15"/>
  <c r="Y98" i="15"/>
  <c r="Y99" i="15"/>
  <c r="Y318" i="15"/>
  <c r="Y319" i="15"/>
  <c r="Y320" i="15"/>
  <c r="Y321" i="15"/>
  <c r="Y300" i="15"/>
  <c r="Y304" i="15"/>
  <c r="Y309" i="15"/>
  <c r="Y107" i="15"/>
  <c r="Y108" i="15"/>
  <c r="Y335" i="15"/>
  <c r="Y315" i="15"/>
  <c r="Y111" i="15"/>
  <c r="Y112" i="15"/>
  <c r="Y341" i="15"/>
  <c r="Y344" i="15"/>
  <c r="Y115" i="15"/>
  <c r="Y116" i="15"/>
  <c r="Y831" i="15"/>
  <c r="Y840" i="15"/>
  <c r="Y119" i="15"/>
  <c r="Y120" i="15"/>
  <c r="Y121" i="15"/>
  <c r="Y908" i="15"/>
  <c r="Y123" i="15"/>
  <c r="Y124" i="15"/>
  <c r="Y125" i="15"/>
  <c r="Y126" i="15"/>
  <c r="Y127" i="15"/>
  <c r="Y912" i="15"/>
  <c r="Y914" i="15"/>
  <c r="Y919" i="15"/>
  <c r="Y923" i="15"/>
  <c r="Y132" i="15"/>
  <c r="Y916" i="15"/>
  <c r="Y101" i="15"/>
  <c r="Y917" i="15"/>
  <c r="Y995" i="15"/>
  <c r="Y1019" i="15"/>
  <c r="Y1015" i="15"/>
  <c r="Y1032" i="15"/>
  <c r="Y1028" i="15"/>
  <c r="Y932" i="15"/>
  <c r="Y142" i="15"/>
  <c r="Y1020" i="15"/>
  <c r="Y144" i="15"/>
  <c r="Y1022" i="15"/>
  <c r="Y145" i="15"/>
  <c r="Y1038" i="15"/>
  <c r="Y148" i="15"/>
  <c r="Y149" i="15"/>
  <c r="Y150" i="15"/>
  <c r="Y151" i="15"/>
  <c r="Y152" i="15"/>
  <c r="Y153" i="15"/>
  <c r="Y1056" i="15"/>
  <c r="Y1065" i="15"/>
  <c r="Y1071" i="15"/>
  <c r="Y157" i="15"/>
  <c r="Y1066" i="15"/>
  <c r="Y159" i="15"/>
  <c r="Y1069" i="15"/>
  <c r="Y161" i="15"/>
  <c r="Y1080" i="15"/>
  <c r="Y163" i="15"/>
  <c r="Y164" i="15"/>
  <c r="Y1076" i="15"/>
  <c r="Y1097" i="15"/>
  <c r="Y167" i="15"/>
  <c r="Y1083" i="15"/>
  <c r="Y169" i="15"/>
  <c r="Y1092" i="15"/>
  <c r="Y171" i="15"/>
  <c r="Y1308" i="15"/>
  <c r="Y173" i="15"/>
  <c r="Y174" i="15"/>
  <c r="Y175" i="15"/>
  <c r="Y176" i="15"/>
  <c r="Y1310" i="15"/>
  <c r="Y1442" i="15"/>
  <c r="Y105" i="15"/>
  <c r="Y104" i="15"/>
  <c r="Y118" i="15"/>
  <c r="Y106" i="15"/>
  <c r="Y109" i="15"/>
  <c r="Y117" i="15"/>
  <c r="Y114" i="15"/>
  <c r="Y178" i="15"/>
  <c r="Y128" i="15"/>
  <c r="Y188" i="15"/>
  <c r="Y129" i="15"/>
  <c r="Y130" i="15"/>
  <c r="Y133" i="15"/>
  <c r="Y131" i="15"/>
  <c r="Y193" i="15"/>
  <c r="Y136" i="15"/>
  <c r="Y137" i="15"/>
  <c r="Y138" i="15"/>
  <c r="Y197" i="15"/>
  <c r="Y198" i="15"/>
  <c r="Y140" i="15"/>
  <c r="Y141" i="15"/>
  <c r="Y143" i="15"/>
  <c r="Y146" i="15"/>
  <c r="Y147" i="15"/>
  <c r="Y154" i="15"/>
  <c r="Y205" i="15"/>
  <c r="Y183" i="15"/>
  <c r="Y179" i="15"/>
  <c r="Y208" i="15"/>
  <c r="Y209" i="15"/>
  <c r="Y210" i="15"/>
  <c r="Y189" i="15"/>
  <c r="Y190" i="15"/>
  <c r="Y191" i="15"/>
  <c r="Y214" i="15"/>
  <c r="Y194" i="15"/>
  <c r="Y195" i="15"/>
  <c r="Y196" i="15"/>
  <c r="Y201" i="15"/>
  <c r="Y221" i="15"/>
  <c r="Y202" i="15"/>
  <c r="Y246" i="15"/>
  <c r="Y235" i="15"/>
  <c r="Y215" i="15"/>
  <c r="Y216" i="15"/>
  <c r="Y225" i="15"/>
  <c r="Y226" i="15"/>
  <c r="Y227" i="15"/>
  <c r="Y228" i="15"/>
  <c r="Y229" i="15"/>
  <c r="Y230" i="15"/>
  <c r="Y231" i="15"/>
  <c r="Y240" i="15"/>
  <c r="Y241" i="15"/>
  <c r="Y234" i="15"/>
  <c r="Y256" i="15"/>
  <c r="Y265" i="15"/>
  <c r="Y266" i="15"/>
  <c r="Y238" i="15"/>
  <c r="Y239" i="15"/>
  <c r="Y262" i="15"/>
  <c r="Y293" i="15"/>
  <c r="Y242" i="15"/>
  <c r="Y243" i="15"/>
  <c r="Y244" i="15"/>
  <c r="Y245" i="15"/>
  <c r="Y295" i="15"/>
  <c r="Y247" i="15"/>
  <c r="Y248" i="15"/>
  <c r="Y249" i="15"/>
  <c r="Y250" i="15"/>
  <c r="Y251" i="15"/>
  <c r="Y252" i="15"/>
  <c r="Y253" i="15"/>
  <c r="Y254" i="15"/>
  <c r="Y255" i="15"/>
  <c r="Y308" i="15"/>
  <c r="Y102" i="15"/>
  <c r="Y258" i="15"/>
  <c r="Y259" i="15"/>
  <c r="Y906" i="15"/>
  <c r="Y261" i="15"/>
  <c r="Y920" i="15"/>
  <c r="Y921" i="15"/>
  <c r="Y925" i="15"/>
  <c r="Y918" i="15"/>
  <c r="Y927" i="15"/>
  <c r="Y267" i="15"/>
  <c r="Y268" i="15"/>
  <c r="Y1030" i="15"/>
  <c r="Y270" i="15"/>
  <c r="Y1047" i="15"/>
  <c r="Y1051" i="15"/>
  <c r="Y273" i="15"/>
  <c r="Y274" i="15"/>
  <c r="Y275" i="15"/>
  <c r="Y276" i="15"/>
  <c r="Y277" i="15"/>
  <c r="Y278" i="15"/>
  <c r="Y279" i="15"/>
  <c r="Y1082" i="15"/>
  <c r="Y1085" i="15"/>
  <c r="Y1440" i="15"/>
  <c r="Y1437" i="15"/>
  <c r="Y284" i="15"/>
  <c r="Y285" i="15"/>
  <c r="Y286" i="15"/>
  <c r="Y134" i="15"/>
  <c r="Y139" i="15"/>
  <c r="Y155" i="15"/>
  <c r="Y156" i="15"/>
  <c r="Y158" i="15"/>
  <c r="Y160" i="15"/>
  <c r="Y162" i="15"/>
  <c r="Y165" i="15"/>
  <c r="Y166" i="15"/>
  <c r="Y168" i="15"/>
  <c r="Y297" i="15"/>
  <c r="Y170" i="15"/>
  <c r="Y177" i="15"/>
  <c r="Y185" i="15"/>
  <c r="Y301" i="15"/>
  <c r="Y187" i="15"/>
  <c r="Y303" i="15"/>
  <c r="Y192" i="15"/>
  <c r="Y305" i="15"/>
  <c r="Y203" i="15"/>
  <c r="Y307" i="15"/>
  <c r="Y207" i="15"/>
  <c r="Y211" i="15"/>
  <c r="Y219" i="15"/>
  <c r="Y217" i="15"/>
  <c r="Y213" i="15"/>
  <c r="Y224" i="15"/>
  <c r="Y314" i="15"/>
  <c r="Y236" i="15"/>
  <c r="Y222" i="15"/>
  <c r="Y317" i="15"/>
  <c r="Y264" i="15"/>
  <c r="Y272" i="15"/>
  <c r="Y263" i="15"/>
  <c r="Y289" i="15"/>
  <c r="Y322" i="15"/>
  <c r="Y323" i="15"/>
  <c r="Y324" i="15"/>
  <c r="Y325" i="15"/>
  <c r="Y326" i="15"/>
  <c r="Y327" i="15"/>
  <c r="Y328" i="15"/>
  <c r="Y329" i="15"/>
  <c r="Y330" i="15"/>
  <c r="Y331" i="15"/>
  <c r="Y332" i="15"/>
  <c r="Y296" i="15"/>
  <c r="Y298" i="15"/>
  <c r="Y299" i="15"/>
  <c r="Y336" i="15"/>
  <c r="Y337" i="15"/>
  <c r="Y338" i="15"/>
  <c r="Y306" i="15"/>
  <c r="Y340" i="15"/>
  <c r="Y100" i="15"/>
  <c r="Y342" i="15"/>
  <c r="Y316" i="15"/>
  <c r="Y311" i="15"/>
  <c r="Y345" i="15"/>
  <c r="Y346" i="15"/>
  <c r="Y347" i="15"/>
  <c r="Y348" i="15"/>
  <c r="Y349" i="15"/>
  <c r="Y350" i="15"/>
  <c r="Y351" i="15"/>
  <c r="Y352" i="15"/>
  <c r="Y353" i="15"/>
  <c r="Y354" i="15"/>
  <c r="Y355" i="15"/>
  <c r="Y356" i="15"/>
  <c r="Y357" i="15"/>
  <c r="Y358" i="15"/>
  <c r="Y359" i="15"/>
  <c r="Y360" i="15"/>
  <c r="Y361" i="15"/>
  <c r="Y362" i="15"/>
  <c r="Y363" i="15"/>
  <c r="Y364" i="15"/>
  <c r="Y365" i="15"/>
  <c r="Y366" i="15"/>
  <c r="Y367" i="15"/>
  <c r="Y368" i="15"/>
  <c r="Y369" i="15"/>
  <c r="Y370" i="15"/>
  <c r="Y371" i="15"/>
  <c r="Y372" i="15"/>
  <c r="Y373" i="15"/>
  <c r="Y374" i="15"/>
  <c r="Y375" i="15"/>
  <c r="Y376" i="15"/>
  <c r="Y377" i="15"/>
  <c r="Y378" i="15"/>
  <c r="Y379" i="15"/>
  <c r="Y380" i="15"/>
  <c r="Y381" i="15"/>
  <c r="Y382" i="15"/>
  <c r="Y383" i="15"/>
  <c r="Y384" i="15"/>
  <c r="Y385" i="15"/>
  <c r="Y386" i="15"/>
  <c r="Y387" i="15"/>
  <c r="Y388" i="15"/>
  <c r="Y389" i="15"/>
  <c r="Y390" i="15"/>
  <c r="Y391" i="15"/>
  <c r="Y392" i="15"/>
  <c r="Y393" i="15"/>
  <c r="Y394" i="15"/>
  <c r="Y395" i="15"/>
  <c r="Y396" i="15"/>
  <c r="Y397" i="15"/>
  <c r="Y398" i="15"/>
  <c r="Y405" i="15"/>
  <c r="Y406" i="15"/>
  <c r="Y407" i="15"/>
  <c r="Y408" i="15"/>
  <c r="Y409" i="15"/>
  <c r="Y399" i="15"/>
  <c r="Y400" i="15"/>
  <c r="Y401" i="15"/>
  <c r="Y402" i="15"/>
  <c r="Y403" i="15"/>
  <c r="Y404" i="15"/>
  <c r="Y413" i="15"/>
  <c r="Y412" i="15"/>
  <c r="Y410" i="15"/>
  <c r="Y411" i="15"/>
  <c r="Y414" i="15"/>
  <c r="Y415" i="15"/>
  <c r="Y416" i="15"/>
  <c r="Y417" i="15"/>
  <c r="Y418" i="15"/>
  <c r="Y419" i="15"/>
  <c r="Y420" i="15"/>
  <c r="Y421" i="15"/>
  <c r="Y422" i="15"/>
  <c r="Y423" i="15"/>
  <c r="Y424" i="15"/>
  <c r="Y425" i="15"/>
  <c r="Y426" i="15"/>
  <c r="Y427" i="15"/>
  <c r="Y428" i="15"/>
  <c r="Y429" i="15"/>
  <c r="Y431" i="15"/>
  <c r="Y430" i="15"/>
  <c r="Y432" i="15"/>
  <c r="Y433" i="15"/>
  <c r="Y434" i="15"/>
  <c r="Y435" i="15"/>
  <c r="Y436" i="15"/>
  <c r="Y437" i="15"/>
  <c r="Y438" i="15"/>
  <c r="Y439" i="15"/>
  <c r="Y440" i="15"/>
  <c r="Y441" i="15"/>
  <c r="Y442" i="15"/>
  <c r="Y443" i="15"/>
  <c r="Y444" i="15"/>
  <c r="Y445" i="15"/>
  <c r="Y446" i="15"/>
  <c r="Y113" i="15"/>
  <c r="Y447" i="15"/>
  <c r="Y450" i="15"/>
  <c r="Y449" i="15"/>
  <c r="Y451" i="15"/>
  <c r="Y452" i="15"/>
  <c r="Y454" i="15"/>
  <c r="Y453" i="15"/>
  <c r="Y455" i="15"/>
  <c r="Y456" i="15"/>
  <c r="Y457" i="15"/>
  <c r="Y458" i="15"/>
  <c r="Y459" i="15"/>
  <c r="Y460" i="15"/>
  <c r="Y461" i="15"/>
  <c r="Y463" i="15"/>
  <c r="Y462" i="15"/>
  <c r="Y464" i="15"/>
  <c r="Y466" i="15"/>
  <c r="Y465" i="15"/>
  <c r="Y467" i="15"/>
  <c r="Y468" i="15"/>
  <c r="Y469" i="15"/>
  <c r="Y472" i="15"/>
  <c r="Y470" i="15"/>
  <c r="Y471" i="15"/>
  <c r="Y473" i="15"/>
  <c r="Y474" i="15"/>
  <c r="Y475" i="15"/>
  <c r="Y477" i="15"/>
  <c r="Y476" i="15"/>
  <c r="Y478" i="15"/>
  <c r="Y479" i="15"/>
  <c r="Y480" i="15"/>
  <c r="Y481" i="15"/>
  <c r="Y482" i="15"/>
  <c r="Y483" i="15"/>
  <c r="Y484" i="15"/>
  <c r="Y485" i="15"/>
  <c r="Y486" i="15"/>
  <c r="Y487" i="15"/>
  <c r="Y488" i="15"/>
  <c r="Y489" i="15"/>
  <c r="Y490" i="15"/>
  <c r="Y491" i="15"/>
  <c r="Y493" i="15"/>
  <c r="Y492" i="15"/>
  <c r="Y495" i="15"/>
  <c r="Y494" i="15"/>
  <c r="Y496" i="15"/>
  <c r="Y497" i="15"/>
  <c r="Y498" i="15"/>
  <c r="Y499" i="15"/>
  <c r="Y500" i="15"/>
  <c r="Y501" i="15"/>
  <c r="Y502" i="15"/>
  <c r="Y503" i="15"/>
  <c r="Y504" i="15"/>
  <c r="Y505" i="15"/>
  <c r="Y506" i="15"/>
  <c r="Y507" i="15"/>
  <c r="Y508" i="15"/>
  <c r="Y509" i="15"/>
  <c r="Y510" i="15"/>
  <c r="Y511" i="15"/>
  <c r="Y512" i="15"/>
  <c r="Y513" i="15"/>
  <c r="Y514" i="15"/>
  <c r="Y515" i="15"/>
  <c r="Y516" i="15"/>
  <c r="Y517" i="15"/>
  <c r="Y518" i="15"/>
  <c r="Y519" i="15"/>
  <c r="Y521" i="15"/>
  <c r="Y520" i="15"/>
  <c r="Y522" i="15"/>
  <c r="Y523" i="15"/>
  <c r="Y524" i="15"/>
  <c r="Y525" i="15"/>
  <c r="Y527" i="15"/>
  <c r="Y526" i="15"/>
  <c r="Y528" i="15"/>
  <c r="Y529" i="15"/>
  <c r="Y530" i="15"/>
  <c r="Y531" i="15"/>
  <c r="Y532" i="15"/>
  <c r="Y533" i="15"/>
  <c r="Y534" i="15"/>
  <c r="Y535" i="15"/>
  <c r="Y537" i="15"/>
  <c r="Y536" i="15"/>
  <c r="Y538" i="15"/>
  <c r="Y539" i="15"/>
  <c r="Y540" i="15"/>
  <c r="Y541" i="15"/>
  <c r="Y542" i="15"/>
  <c r="Y543" i="15"/>
  <c r="Y545" i="15"/>
  <c r="Y544" i="15"/>
  <c r="Y546" i="15"/>
  <c r="Y547" i="15"/>
  <c r="Y548" i="15"/>
  <c r="Y549" i="15"/>
  <c r="Y550" i="15"/>
  <c r="Y551" i="15"/>
  <c r="Y552" i="15"/>
  <c r="Y553" i="15"/>
  <c r="Y554" i="15"/>
  <c r="Y555" i="15"/>
  <c r="Y556" i="15"/>
  <c r="Y558" i="15"/>
  <c r="Y557" i="15"/>
  <c r="Y560" i="15"/>
  <c r="Y559" i="15"/>
  <c r="Y562" i="15"/>
  <c r="Y563" i="15"/>
  <c r="Y561" i="15"/>
  <c r="Y564" i="15"/>
  <c r="Y565" i="15"/>
  <c r="Y567" i="15"/>
  <c r="Y566" i="15"/>
  <c r="Y569" i="15"/>
  <c r="Y568" i="15"/>
  <c r="Y570" i="15"/>
  <c r="Y571" i="15"/>
  <c r="Y573" i="15"/>
  <c r="Y572" i="15"/>
  <c r="Y574" i="15"/>
  <c r="Y575" i="15"/>
  <c r="Y577" i="15"/>
  <c r="Y578" i="15"/>
  <c r="Y576" i="15"/>
  <c r="Y580" i="15"/>
  <c r="Y579" i="15"/>
  <c r="Y582" i="15"/>
  <c r="Y581" i="15"/>
  <c r="Y583" i="15"/>
  <c r="Y584" i="15"/>
  <c r="Y585" i="15"/>
  <c r="Y586" i="15"/>
  <c r="Y587" i="15"/>
  <c r="Y588" i="15"/>
  <c r="Y589" i="15"/>
  <c r="Y590" i="15"/>
  <c r="Y591" i="15"/>
  <c r="Y592" i="15"/>
  <c r="Y593" i="15"/>
  <c r="Y595" i="15"/>
  <c r="Y594" i="15"/>
  <c r="Y596" i="15"/>
  <c r="Y598" i="15"/>
  <c r="Y597" i="15"/>
  <c r="Y600" i="15"/>
  <c r="Y599" i="15"/>
  <c r="Y601" i="15"/>
  <c r="Y602" i="15"/>
  <c r="Y603" i="15"/>
  <c r="Y604" i="15"/>
  <c r="Y605" i="15"/>
  <c r="Y607" i="15"/>
  <c r="Y606" i="15"/>
  <c r="Y608" i="15"/>
  <c r="Y609" i="15"/>
  <c r="Y610" i="15"/>
  <c r="Y611" i="15"/>
  <c r="Y612" i="15"/>
  <c r="Y613" i="15"/>
  <c r="Y614" i="15"/>
  <c r="Y615" i="15"/>
  <c r="Y616" i="15"/>
  <c r="Y617" i="15"/>
  <c r="Y618" i="15"/>
  <c r="Y619" i="15"/>
  <c r="Y620" i="15"/>
  <c r="Y621" i="15"/>
  <c r="Y622" i="15"/>
  <c r="Y623" i="15"/>
  <c r="Y624" i="15"/>
  <c r="Y625" i="15"/>
  <c r="Y627" i="15"/>
  <c r="Y626" i="15"/>
  <c r="Y628" i="15"/>
  <c r="Y629" i="15"/>
  <c r="Y630" i="15"/>
  <c r="Y632" i="15"/>
  <c r="Y631" i="15"/>
  <c r="Y633" i="15"/>
  <c r="Y634" i="15"/>
  <c r="Y635" i="15"/>
  <c r="Y636" i="15"/>
  <c r="Y638" i="15"/>
  <c r="Y637" i="15"/>
  <c r="Y639" i="15"/>
  <c r="Y640" i="15"/>
  <c r="Y641" i="15"/>
  <c r="Y642" i="15"/>
  <c r="Y643" i="15"/>
  <c r="Y644" i="15"/>
  <c r="Y645" i="15"/>
  <c r="Y646" i="15"/>
  <c r="Y647" i="15"/>
  <c r="Y648" i="15"/>
  <c r="Y649" i="15"/>
  <c r="Y650" i="15"/>
  <c r="Y651" i="15"/>
  <c r="Y653" i="15"/>
  <c r="Y652" i="15"/>
  <c r="Y655" i="15"/>
  <c r="Y654" i="15"/>
  <c r="Y656" i="15"/>
  <c r="Y657" i="15"/>
  <c r="Y658" i="15"/>
  <c r="Y659" i="15"/>
  <c r="Y660" i="15"/>
  <c r="Y661" i="15"/>
  <c r="Y662" i="15"/>
  <c r="Y663" i="15"/>
  <c r="Y665" i="15"/>
  <c r="Y664" i="15"/>
  <c r="Y666" i="15"/>
  <c r="Y668" i="15"/>
  <c r="Y667" i="15"/>
  <c r="Y670" i="15"/>
  <c r="Y669" i="15"/>
  <c r="Y672" i="15"/>
  <c r="Y671" i="15"/>
  <c r="Y673" i="15"/>
  <c r="Y674" i="15"/>
  <c r="Y675" i="15"/>
  <c r="Y676" i="15"/>
  <c r="Y677" i="15"/>
  <c r="Y678" i="15"/>
  <c r="Y679" i="15"/>
  <c r="Y680" i="15"/>
  <c r="Y682" i="15"/>
  <c r="Y681" i="15"/>
  <c r="Y683" i="15"/>
  <c r="Y684" i="15"/>
  <c r="Y685" i="15"/>
  <c r="Y687" i="15"/>
  <c r="Y686" i="15"/>
  <c r="Y688" i="15"/>
  <c r="Y689" i="15"/>
  <c r="Y690" i="15"/>
  <c r="Y692" i="15"/>
  <c r="Y691" i="15"/>
  <c r="Y694" i="15"/>
  <c r="Y693" i="15"/>
  <c r="Y695" i="15"/>
  <c r="Y696" i="15"/>
  <c r="Y697" i="15"/>
  <c r="Y698" i="15"/>
  <c r="Y699" i="15"/>
  <c r="Y700" i="15"/>
  <c r="Y701" i="15"/>
  <c r="Y702" i="15"/>
  <c r="Y703" i="15"/>
  <c r="Y704" i="15"/>
  <c r="Y705" i="15"/>
  <c r="Y706" i="15"/>
  <c r="Y707" i="15"/>
  <c r="Y708" i="15"/>
  <c r="Y709" i="15"/>
  <c r="Y710" i="15"/>
  <c r="Y711" i="15"/>
  <c r="Y712" i="15"/>
  <c r="Y713" i="15"/>
  <c r="Y714" i="15"/>
  <c r="Y715" i="15"/>
  <c r="Y716" i="15"/>
  <c r="Y717" i="15"/>
  <c r="Y718" i="15"/>
  <c r="Y719" i="15"/>
  <c r="Y720" i="15"/>
  <c r="Y722" i="15"/>
  <c r="Y721" i="15"/>
  <c r="Y723" i="15"/>
  <c r="Y724" i="15"/>
  <c r="Y725" i="15"/>
  <c r="Y726" i="15"/>
  <c r="Y727" i="15"/>
  <c r="Y728" i="15"/>
  <c r="Y729" i="15"/>
  <c r="Y730" i="15"/>
  <c r="Y731" i="15"/>
  <c r="Y732" i="15"/>
  <c r="Y733" i="15"/>
  <c r="Y735" i="15"/>
  <c r="Y734" i="15"/>
  <c r="Y736" i="15"/>
  <c r="Y737" i="15"/>
  <c r="Y738" i="15"/>
  <c r="Y740" i="15"/>
  <c r="Y739" i="15"/>
  <c r="Y741" i="15"/>
  <c r="Y742" i="15"/>
  <c r="Y744" i="15"/>
  <c r="Y743" i="15"/>
  <c r="Y746" i="15"/>
  <c r="Y745" i="15"/>
  <c r="Y748" i="15"/>
  <c r="Y747" i="15"/>
  <c r="Y749" i="15"/>
  <c r="Y750" i="15"/>
  <c r="Y751" i="15"/>
  <c r="Y752" i="15"/>
  <c r="Y754" i="15"/>
  <c r="Y753" i="15"/>
  <c r="Y755" i="15"/>
  <c r="Y756" i="15"/>
  <c r="Y757" i="15"/>
  <c r="Y758" i="15"/>
  <c r="Y760" i="15"/>
  <c r="Y759" i="15"/>
  <c r="Y761" i="15"/>
  <c r="Y762" i="15"/>
  <c r="Y763" i="15"/>
  <c r="Y764" i="15"/>
  <c r="Y765" i="15"/>
  <c r="Y122" i="15"/>
  <c r="Y768" i="15"/>
  <c r="Y767" i="15"/>
  <c r="Y769" i="15"/>
  <c r="Y770" i="15"/>
  <c r="Y771" i="15"/>
  <c r="Y772" i="15"/>
  <c r="Y773" i="15"/>
  <c r="Y774" i="15"/>
  <c r="Y775" i="15"/>
  <c r="Y776" i="15"/>
  <c r="Y777" i="15"/>
  <c r="Y779" i="15"/>
  <c r="Y778" i="15"/>
  <c r="Y780" i="15"/>
  <c r="Y781" i="15"/>
  <c r="Y782" i="15"/>
  <c r="Y783" i="15"/>
  <c r="Y784" i="15"/>
  <c r="Y785" i="15"/>
  <c r="Y787" i="15"/>
  <c r="Y786" i="15"/>
  <c r="Y789" i="15"/>
  <c r="Y788" i="15"/>
  <c r="Y790" i="15"/>
  <c r="Y791" i="15"/>
  <c r="Y792" i="15"/>
  <c r="Y793" i="15"/>
  <c r="Y795" i="15"/>
  <c r="Y794" i="15"/>
  <c r="Y796" i="15"/>
  <c r="Y797" i="15"/>
  <c r="Y798" i="15"/>
  <c r="Y799" i="15"/>
  <c r="Y800" i="15"/>
  <c r="Y802" i="15"/>
  <c r="Y801" i="15"/>
  <c r="Y803" i="15"/>
  <c r="Y804" i="15"/>
  <c r="Y805" i="15"/>
  <c r="Y806" i="15"/>
  <c r="Y807" i="15"/>
  <c r="Y808" i="15"/>
  <c r="Y809" i="15"/>
  <c r="Y810" i="15"/>
  <c r="Y812" i="15"/>
  <c r="Y811" i="15"/>
  <c r="Y813" i="15"/>
  <c r="Y814" i="15"/>
  <c r="Y815" i="15"/>
  <c r="Y816" i="15"/>
  <c r="Y817" i="15"/>
  <c r="Y818" i="15"/>
  <c r="Y819" i="15"/>
  <c r="Y820" i="15"/>
  <c r="Y821" i="15"/>
  <c r="Y822" i="15"/>
  <c r="Y823" i="15"/>
  <c r="Y824" i="15"/>
  <c r="Y827" i="15"/>
  <c r="Y825" i="15"/>
  <c r="Y826" i="15"/>
  <c r="Y828" i="15"/>
  <c r="Y829" i="15"/>
  <c r="Y830" i="15"/>
  <c r="Y292" i="15"/>
  <c r="Y832" i="15"/>
  <c r="Y833" i="15"/>
  <c r="Y834" i="15"/>
  <c r="Y835" i="15"/>
  <c r="Y836" i="15"/>
  <c r="Y837" i="15"/>
  <c r="Y838" i="15"/>
  <c r="Y839" i="15"/>
  <c r="Y186" i="15"/>
  <c r="Y841" i="15"/>
  <c r="Y842" i="15"/>
  <c r="Y844" i="15"/>
  <c r="Y843" i="15"/>
  <c r="Y845" i="15"/>
  <c r="Y846" i="15"/>
  <c r="Y847" i="15"/>
  <c r="Y848" i="15"/>
  <c r="Y850" i="15"/>
  <c r="Y849" i="15"/>
  <c r="Y851" i="15"/>
  <c r="Y852" i="15"/>
  <c r="Y853" i="15"/>
  <c r="Y854" i="15"/>
  <c r="Y855" i="15"/>
  <c r="Y856" i="15"/>
  <c r="Y858" i="15"/>
  <c r="Y859" i="15"/>
  <c r="Y860" i="15"/>
  <c r="Y861" i="15"/>
  <c r="Y862" i="15"/>
  <c r="Y863" i="15"/>
  <c r="Y864" i="15"/>
  <c r="Y865" i="15"/>
  <c r="Y866" i="15"/>
  <c r="Y867" i="15"/>
  <c r="Y868" i="15"/>
  <c r="Y869" i="15"/>
  <c r="Y870" i="15"/>
  <c r="Y871" i="15"/>
  <c r="Y872" i="15"/>
  <c r="Y873" i="15"/>
  <c r="Y874" i="15"/>
  <c r="Y875" i="15"/>
  <c r="Y876" i="15"/>
  <c r="Y877" i="15"/>
  <c r="Y878" i="15"/>
  <c r="Y879" i="15"/>
  <c r="Y880" i="15"/>
  <c r="Y881" i="15"/>
  <c r="Y882" i="15"/>
  <c r="Y883" i="15"/>
  <c r="Y884" i="15"/>
  <c r="Y885" i="15"/>
  <c r="Y886" i="15"/>
  <c r="Y887" i="15"/>
  <c r="Y888" i="15"/>
  <c r="Y889" i="15"/>
  <c r="Y890" i="15"/>
  <c r="Y891" i="15"/>
  <c r="Y892" i="15"/>
  <c r="Y893" i="15"/>
  <c r="Y894" i="15"/>
  <c r="Y895" i="15"/>
  <c r="Y896" i="15"/>
  <c r="Y897" i="15"/>
  <c r="Y898" i="15"/>
  <c r="Y899" i="15"/>
  <c r="Y900" i="15"/>
  <c r="Y901" i="15"/>
  <c r="Y902" i="15"/>
  <c r="Y903" i="15"/>
  <c r="Y904" i="15"/>
  <c r="Y857" i="15"/>
  <c r="Y905" i="15"/>
  <c r="Y257" i="15"/>
  <c r="Y290" i="15"/>
  <c r="Y312" i="15"/>
  <c r="Y448" i="15"/>
  <c r="Y766" i="15"/>
  <c r="Y172" i="15"/>
  <c r="Y343" i="15"/>
  <c r="Y913" i="15"/>
  <c r="Y907" i="15"/>
  <c r="Y910" i="15"/>
  <c r="Y915" i="15"/>
  <c r="Y911" i="15"/>
  <c r="Y1045" i="15"/>
  <c r="Y1067" i="15"/>
  <c r="Y1074" i="15"/>
  <c r="Y1078" i="15"/>
  <c r="Y922" i="15"/>
  <c r="Y1098" i="15"/>
  <c r="Y924" i="15"/>
  <c r="Y1096" i="15"/>
  <c r="Y926" i="15"/>
  <c r="Y1306" i="15"/>
  <c r="Y928" i="15"/>
  <c r="Y929" i="15"/>
  <c r="Y930" i="15"/>
  <c r="Y931" i="15"/>
  <c r="Y220" i="15"/>
  <c r="Y933" i="15"/>
  <c r="Y934" i="15"/>
  <c r="Y935" i="15"/>
  <c r="Y936" i="15"/>
  <c r="Y937" i="15"/>
  <c r="Y938" i="15"/>
  <c r="Y939" i="15"/>
  <c r="Y940" i="15"/>
  <c r="Y941" i="15"/>
  <c r="Y942" i="15"/>
  <c r="Y943" i="15"/>
  <c r="Y944" i="15"/>
  <c r="Y945" i="15"/>
  <c r="Y946" i="15"/>
  <c r="Y947" i="15"/>
  <c r="Y948" i="15"/>
  <c r="Y949" i="15"/>
  <c r="Y950" i="15"/>
  <c r="Y951" i="15"/>
  <c r="Y952" i="15"/>
  <c r="Y953" i="15"/>
  <c r="Y954" i="15"/>
  <c r="Y955" i="15"/>
  <c r="Y956" i="15"/>
  <c r="Y957" i="15"/>
  <c r="Y958" i="15"/>
  <c r="Y959" i="15"/>
  <c r="Y960" i="15"/>
  <c r="Y961" i="15"/>
  <c r="Y962" i="15"/>
  <c r="Y963" i="15"/>
  <c r="Y964" i="15"/>
  <c r="Y965" i="15"/>
  <c r="Y966" i="15"/>
  <c r="Y967" i="15"/>
  <c r="Y968" i="15"/>
  <c r="Y969" i="15"/>
  <c r="Y970" i="15"/>
  <c r="Y971" i="15"/>
  <c r="Y972" i="15"/>
  <c r="Y973" i="15"/>
  <c r="Y974" i="15"/>
  <c r="Y975" i="15"/>
  <c r="Y976" i="15"/>
  <c r="Y977" i="15"/>
  <c r="Y978" i="15"/>
  <c r="Y979" i="15"/>
  <c r="Y980" i="15"/>
  <c r="Y981" i="15"/>
  <c r="Y982" i="15"/>
  <c r="Y983" i="15"/>
  <c r="Y984" i="15"/>
  <c r="Y985" i="15"/>
  <c r="Y986" i="15"/>
  <c r="Y987" i="15"/>
  <c r="Y988" i="15"/>
  <c r="Y989" i="15"/>
  <c r="Y990" i="15"/>
  <c r="Y991" i="15"/>
  <c r="Y992" i="15"/>
  <c r="Y993" i="15"/>
  <c r="Y994" i="15"/>
  <c r="Y200" i="15"/>
  <c r="Y996" i="15"/>
  <c r="Y997" i="15"/>
  <c r="Y998" i="15"/>
  <c r="Y999" i="15"/>
  <c r="Y1000" i="15"/>
  <c r="Y1001" i="15"/>
  <c r="Y1002" i="15"/>
  <c r="Y1003" i="15"/>
  <c r="Y1004" i="15"/>
  <c r="Y1005" i="15"/>
  <c r="Y1006" i="15"/>
  <c r="Y1007" i="15"/>
  <c r="Y1008" i="15"/>
  <c r="Y1009" i="15"/>
  <c r="Y1010" i="15"/>
  <c r="Y1011" i="15"/>
  <c r="Y1012" i="15"/>
  <c r="Y1013" i="15"/>
  <c r="Y1014" i="15"/>
  <c r="Y1042" i="15"/>
  <c r="Y1016" i="15"/>
  <c r="Y1017" i="15"/>
  <c r="Y1018" i="15"/>
  <c r="Y1057" i="15"/>
  <c r="Y1055" i="15"/>
  <c r="Y1021" i="15"/>
  <c r="Y1063" i="15"/>
  <c r="Y1023" i="15"/>
  <c r="Y1024" i="15"/>
  <c r="Y1025" i="15"/>
  <c r="Y1026" i="15"/>
  <c r="Y1027" i="15"/>
  <c r="Y1073" i="15"/>
  <c r="Y1029" i="15"/>
  <c r="Y1070" i="15"/>
  <c r="Y1031" i="15"/>
  <c r="Y1079" i="15"/>
  <c r="Y1033" i="15"/>
  <c r="Y1034" i="15"/>
  <c r="Y1035" i="15"/>
  <c r="Y1036" i="15"/>
  <c r="Y1037" i="15"/>
  <c r="Y1105" i="15"/>
  <c r="Y1039" i="15"/>
  <c r="Y1040" i="15"/>
  <c r="Y1041" i="15"/>
  <c r="Y103" i="15"/>
  <c r="Y1043" i="15"/>
  <c r="Y1044" i="15"/>
  <c r="Y1226" i="15"/>
  <c r="Y1046" i="15"/>
  <c r="Y110" i="15"/>
  <c r="Y1048" i="15"/>
  <c r="Y1049" i="15"/>
  <c r="Y1050" i="15"/>
  <c r="Y135" i="15"/>
  <c r="Y1052" i="15"/>
  <c r="Y1053" i="15"/>
  <c r="Y1054" i="15"/>
  <c r="Y180" i="15"/>
  <c r="Y181" i="15"/>
  <c r="Y182" i="15"/>
  <c r="Y1058" i="15"/>
  <c r="Y1059" i="15"/>
  <c r="Y1060" i="15"/>
  <c r="Y1061" i="15"/>
  <c r="Y1062" i="15"/>
  <c r="Y184" i="15"/>
  <c r="Y1064" i="15"/>
  <c r="Y199" i="15"/>
  <c r="Y204" i="15"/>
  <c r="Y206" i="15"/>
  <c r="Y1068" i="15"/>
  <c r="Y212" i="15"/>
  <c r="Y218" i="15"/>
  <c r="Y223" i="15"/>
  <c r="Y1072" i="15"/>
  <c r="Y237" i="15"/>
  <c r="Y260" i="15"/>
  <c r="Y1075" i="15"/>
  <c r="Y287" i="15"/>
  <c r="Y288" i="15"/>
  <c r="Y280" i="15"/>
  <c r="Y281" i="15"/>
  <c r="Y282" i="15"/>
  <c r="Y1081" i="15"/>
  <c r="Y232" i="15"/>
  <c r="Y269" i="15"/>
  <c r="Y1084" i="15"/>
  <c r="Y291" i="15"/>
  <c r="Y1086" i="15"/>
  <c r="Y1087" i="15"/>
  <c r="Y1088" i="15"/>
  <c r="Y1089" i="15"/>
  <c r="Y1090" i="15"/>
  <c r="Y1091" i="15"/>
  <c r="Y302" i="15"/>
  <c r="Y1093" i="15"/>
  <c r="Y1094" i="15"/>
  <c r="Y333" i="15"/>
  <c r="Y310" i="15"/>
  <c r="Y313" i="15"/>
  <c r="Y334" i="15"/>
  <c r="Y1099" i="15"/>
  <c r="Y1100" i="15"/>
  <c r="Y1101" i="15"/>
  <c r="Y1102" i="15"/>
  <c r="Y1103" i="15"/>
  <c r="Y1104" i="15"/>
  <c r="Y909" i="15"/>
  <c r="Y1106" i="15"/>
  <c r="Y1107" i="15"/>
  <c r="Y1108" i="15"/>
  <c r="Y1109" i="15"/>
  <c r="Y1110" i="15"/>
  <c r="Y1111" i="15"/>
  <c r="Y1112" i="15"/>
  <c r="Y1113" i="15"/>
  <c r="Y1114" i="15"/>
  <c r="Y1115" i="15"/>
  <c r="Y1116" i="15"/>
  <c r="Y1117" i="15"/>
  <c r="Y1118" i="15"/>
  <c r="Y1119" i="15"/>
  <c r="Y1120" i="15"/>
  <c r="Y1121" i="15"/>
  <c r="Y1122" i="15"/>
  <c r="Y1123" i="15"/>
  <c r="Y1124" i="15"/>
  <c r="Y1125" i="15"/>
  <c r="Y1126" i="15"/>
  <c r="Y1153" i="15"/>
  <c r="Y1155" i="15"/>
  <c r="Y1154" i="15"/>
  <c r="Y1127" i="15"/>
  <c r="Y1128" i="15"/>
  <c r="Y1129" i="15"/>
  <c r="Y1130" i="15"/>
  <c r="Y1131" i="15"/>
  <c r="Y1150" i="15"/>
  <c r="Y1132" i="15"/>
  <c r="Y1133" i="15"/>
  <c r="Y1134" i="15"/>
  <c r="Y1135" i="15"/>
  <c r="Y1136" i="15"/>
  <c r="Y1151" i="15"/>
  <c r="Y1137" i="15"/>
  <c r="Y1138" i="15"/>
  <c r="Y1139" i="15"/>
  <c r="Y1152" i="15"/>
  <c r="Y1140" i="15"/>
  <c r="Y1141" i="15"/>
  <c r="Y1142" i="15"/>
  <c r="Y1143" i="15"/>
  <c r="Y1144" i="15"/>
  <c r="Y1145" i="15"/>
  <c r="Y1146" i="15"/>
  <c r="Y1147" i="15"/>
  <c r="Y1148" i="15"/>
  <c r="Y1149" i="15"/>
  <c r="Y1156" i="15"/>
  <c r="Y1157" i="15"/>
  <c r="Y1158" i="15"/>
  <c r="Y1159" i="15"/>
  <c r="Y1160" i="15"/>
  <c r="Y1161" i="15"/>
  <c r="Y1162" i="15"/>
  <c r="Y1163" i="15"/>
  <c r="Y1164" i="15"/>
  <c r="Y1165" i="15"/>
  <c r="Y1166" i="15"/>
  <c r="Y1167" i="15"/>
  <c r="Y1168" i="15"/>
  <c r="Y1169" i="15"/>
  <c r="Y1170" i="15"/>
  <c r="Y1171" i="15"/>
  <c r="Y1172" i="15"/>
  <c r="Y1173" i="15"/>
  <c r="Y1174" i="15"/>
  <c r="Y1175" i="15"/>
  <c r="Y1176" i="15"/>
  <c r="Y1177" i="15"/>
  <c r="Y1178" i="15"/>
  <c r="Y1179" i="15"/>
  <c r="Y1180" i="15"/>
  <c r="Y1181" i="15"/>
  <c r="Y1182" i="15"/>
  <c r="Y1183" i="15"/>
  <c r="Y1184" i="15"/>
  <c r="Y1185" i="15"/>
  <c r="Y1186" i="15"/>
  <c r="Y1187" i="15"/>
  <c r="Y1188" i="15"/>
  <c r="Y1189" i="15"/>
  <c r="Y1190" i="15"/>
  <c r="Y1191" i="15"/>
  <c r="Y1192" i="15"/>
  <c r="Y1193" i="15"/>
  <c r="Y1194" i="15"/>
  <c r="Y1195" i="15"/>
  <c r="Y1196" i="15"/>
  <c r="Y1197" i="15"/>
  <c r="Y1198" i="15"/>
  <c r="Y1199" i="15"/>
  <c r="Y1200" i="15"/>
  <c r="Y1201" i="15"/>
  <c r="Y1202" i="15"/>
  <c r="Y1203" i="15"/>
  <c r="Y1204" i="15"/>
  <c r="Y1205" i="15"/>
  <c r="Y1206" i="15"/>
  <c r="Y1207" i="15"/>
  <c r="Y1208" i="15"/>
  <c r="Y1209" i="15"/>
  <c r="Y1210" i="15"/>
  <c r="Y1211" i="15"/>
  <c r="Y1212" i="15"/>
  <c r="Y1213" i="15"/>
  <c r="Y1214" i="15"/>
  <c r="Y1215" i="15"/>
  <c r="Y1216" i="15"/>
  <c r="Y1217" i="15"/>
  <c r="Y1218" i="15"/>
  <c r="Y1219" i="15"/>
  <c r="Y1220" i="15"/>
  <c r="Y1221" i="15"/>
  <c r="Y1222" i="15"/>
  <c r="Y1223" i="15"/>
  <c r="Y1224" i="15"/>
  <c r="Y1225" i="15"/>
  <c r="Y339" i="15"/>
  <c r="Y1227" i="15"/>
  <c r="Y1228" i="15"/>
  <c r="Y1229" i="15"/>
  <c r="Y1230" i="15"/>
  <c r="Y1231" i="15"/>
  <c r="Y1232" i="15"/>
  <c r="Y1233" i="15"/>
  <c r="Y1234" i="15"/>
  <c r="Y1235" i="15"/>
  <c r="Y1236" i="15"/>
  <c r="Y1237" i="15"/>
  <c r="Y1238" i="15"/>
  <c r="Y1239" i="15"/>
  <c r="Y1240" i="15"/>
  <c r="Y1241" i="15"/>
  <c r="Y1242" i="15"/>
  <c r="Y1243" i="15"/>
  <c r="Y1244" i="15"/>
  <c r="Y1245" i="15"/>
  <c r="Y1441" i="15"/>
  <c r="Y1276" i="15"/>
  <c r="Y1404" i="15"/>
  <c r="Y1447" i="15"/>
  <c r="Y1449" i="15"/>
  <c r="Y1446" i="15"/>
  <c r="Y1385" i="15"/>
  <c r="Y1386" i="15"/>
  <c r="Y1387" i="15"/>
  <c r="Y294" i="15"/>
  <c r="Y1343" i="15"/>
  <c r="Y1365" i="15"/>
  <c r="Y1368" i="15"/>
  <c r="Y1369" i="15"/>
  <c r="Y1366" i="15"/>
  <c r="Y1412" i="15"/>
  <c r="Y1381" i="15"/>
  <c r="Y1382" i="15"/>
  <c r="Y1383" i="15"/>
  <c r="Y1384" i="15"/>
  <c r="Y1426" i="15"/>
  <c r="Y1414" i="15"/>
  <c r="Y1379" i="15"/>
  <c r="Y1430" i="15"/>
  <c r="Y1095" i="15"/>
  <c r="Y1448" i="15"/>
  <c r="Y283" i="15"/>
  <c r="Y1443" i="15"/>
  <c r="Y1444" i="15"/>
  <c r="Y1445" i="15"/>
  <c r="Y1331" i="15"/>
  <c r="Y1302" i="15"/>
  <c r="Y1303" i="15"/>
  <c r="Y1327" i="15"/>
  <c r="Y1328" i="15"/>
  <c r="Y1304" i="15"/>
  <c r="Y1294" i="15"/>
  <c r="Y1336" i="15"/>
  <c r="Y1344" i="15"/>
  <c r="Y1322" i="15"/>
  <c r="Y1323" i="15"/>
  <c r="Y1311" i="15"/>
  <c r="Y1329" i="15"/>
  <c r="Y1325" i="15"/>
  <c r="Y1324" i="15"/>
  <c r="Y1289" i="15"/>
  <c r="Y1282" i="15"/>
  <c r="Y1280" i="15"/>
  <c r="Y1287" i="15"/>
  <c r="Y1434" i="15"/>
  <c r="Y1435" i="15"/>
  <c r="Y1077" i="15"/>
  <c r="Y1436" i="15"/>
  <c r="Y1417" i="15"/>
  <c r="Y1428" i="15"/>
  <c r="Y1409" i="15"/>
  <c r="Y1374" i="15"/>
  <c r="Y1392" i="15"/>
  <c r="Y1274" i="15"/>
  <c r="Y1275" i="15"/>
  <c r="Y1277" i="15"/>
  <c r="Y1270" i="15"/>
  <c r="Y1271" i="15"/>
  <c r="Y1272" i="15"/>
  <c r="Y1269" i="15"/>
  <c r="Y1378" i="15"/>
  <c r="Y1380" i="15"/>
  <c r="Y1246" i="15"/>
  <c r="Y1247" i="15"/>
  <c r="Y1363" i="15"/>
  <c r="Y1367" i="15"/>
  <c r="Y1377" i="15"/>
  <c r="Y1371" i="15"/>
  <c r="Y1373" i="15"/>
  <c r="Y1372" i="15"/>
  <c r="Y1364" i="15"/>
  <c r="Y1370" i="15"/>
  <c r="Y1395" i="15"/>
  <c r="Y1388" i="15"/>
  <c r="Y1389" i="15"/>
  <c r="Y1390" i="15"/>
  <c r="Y1393" i="15"/>
  <c r="Y1399" i="15"/>
  <c r="Y1391" i="15"/>
  <c r="Y1394" i="15"/>
  <c r="Y1397" i="15"/>
  <c r="Y1398" i="15"/>
  <c r="Y1396" i="15"/>
  <c r="Y1401" i="15"/>
  <c r="Y1400" i="15"/>
  <c r="Y1418" i="15"/>
  <c r="Y1411" i="15"/>
  <c r="Y1424" i="15"/>
  <c r="Y1406" i="15"/>
  <c r="Y1416" i="15"/>
  <c r="Y1407" i="15"/>
  <c r="Y1408" i="15"/>
  <c r="Y1415" i="15"/>
  <c r="Y1423" i="15"/>
  <c r="Y1431" i="15"/>
  <c r="Y1413" i="15"/>
  <c r="Y1405" i="15"/>
  <c r="Y1410" i="15"/>
  <c r="Y1425" i="15"/>
  <c r="Y1429" i="15"/>
  <c r="Y1419" i="15"/>
  <c r="Y1403" i="15"/>
  <c r="Y1402" i="15"/>
  <c r="Y1420" i="15"/>
  <c r="Y1421" i="15"/>
  <c r="Y1422" i="15"/>
  <c r="Y1427" i="15"/>
  <c r="Y1432" i="15"/>
  <c r="Y1433" i="15"/>
  <c r="Y1439" i="15"/>
  <c r="Y1273" i="15"/>
  <c r="Y1278" i="15"/>
  <c r="Y1281" i="15"/>
  <c r="Y1285" i="15"/>
  <c r="Y1279" i="15"/>
  <c r="Y1284" i="15"/>
  <c r="Y1288" i="15"/>
  <c r="Y1286" i="15"/>
  <c r="Y1283" i="15"/>
  <c r="Y1300" i="15"/>
  <c r="Y1314" i="15"/>
  <c r="Y1312" i="15"/>
  <c r="Y1292" i="15"/>
  <c r="Y271" i="15"/>
  <c r="Y1291" i="15"/>
  <c r="Y1293" i="15"/>
  <c r="Y1290" i="15"/>
  <c r="Y1301" i="15"/>
  <c r="Y1356" i="15"/>
  <c r="Y1320" i="15"/>
  <c r="Y1318" i="15"/>
  <c r="Y1305" i="15"/>
  <c r="Y1296" i="15"/>
  <c r="Y1298" i="15"/>
  <c r="Y1297" i="15"/>
  <c r="Y1299" i="15"/>
  <c r="Y1309" i="15"/>
  <c r="Y233" i="15"/>
  <c r="Y1334" i="15"/>
  <c r="Y1295" i="15"/>
  <c r="Y1339" i="15"/>
  <c r="Y1345" i="15"/>
  <c r="Y1346" i="15"/>
  <c r="Y1307" i="15"/>
  <c r="Y1337" i="15"/>
  <c r="Y1333" i="15"/>
  <c r="Y1313" i="15"/>
  <c r="Y1355" i="15"/>
  <c r="Y1326" i="15"/>
  <c r="Y1315" i="15"/>
  <c r="Y1319" i="15"/>
  <c r="Y1338" i="15"/>
  <c r="Y1351" i="15"/>
  <c r="Y1317" i="15"/>
  <c r="Y1316" i="15"/>
  <c r="Y1347" i="15"/>
  <c r="Y1341" i="15"/>
  <c r="Y1348" i="15"/>
  <c r="Y1349" i="15"/>
  <c r="Y1350" i="15"/>
  <c r="Y1352" i="15"/>
  <c r="Y1340" i="15"/>
  <c r="Y1353" i="15"/>
  <c r="Y1332" i="15"/>
  <c r="Y1354" i="15"/>
  <c r="Y1342" i="15"/>
  <c r="Y1330" i="15"/>
  <c r="Y1335" i="15"/>
  <c r="Y1321" i="15"/>
  <c r="Y1362" i="15"/>
  <c r="Y1375" i="15"/>
  <c r="Y1376" i="15"/>
  <c r="Y1361" i="15"/>
  <c r="Y1358" i="15"/>
  <c r="Y1357" i="15"/>
  <c r="Y1359" i="15"/>
  <c r="Y1360" i="15"/>
  <c r="Y1438" i="15"/>
  <c r="Y1254" i="15"/>
  <c r="Y1255" i="15"/>
  <c r="Y1256" i="15"/>
  <c r="Y1248" i="15"/>
  <c r="Y1251" i="15"/>
  <c r="Y1258" i="15"/>
  <c r="Y1260" i="15"/>
  <c r="Y1249" i="15"/>
  <c r="Y1266" i="15"/>
  <c r="Y1257" i="15"/>
  <c r="Y1253" i="15"/>
  <c r="Y1265" i="15"/>
  <c r="Y1263" i="15"/>
  <c r="Y1261" i="15"/>
  <c r="Y1259" i="15"/>
  <c r="Y1250" i="15"/>
  <c r="Y1264" i="15"/>
  <c r="Y1252" i="15"/>
  <c r="Y1262" i="15"/>
  <c r="Y1267" i="15"/>
  <c r="Y1268" i="15"/>
  <c r="Y2" i="15"/>
  <c r="L1240" i="15"/>
  <c r="L6" i="15"/>
  <c r="L7" i="15"/>
  <c r="L9" i="15"/>
  <c r="L8" i="15"/>
  <c r="L39" i="15"/>
  <c r="L24" i="15"/>
  <c r="L33" i="15"/>
  <c r="L35" i="15"/>
  <c r="L17" i="15"/>
  <c r="L14" i="15"/>
  <c r="L27" i="15"/>
  <c r="L11" i="15"/>
  <c r="L10" i="15"/>
  <c r="L31" i="15"/>
  <c r="L12" i="15"/>
  <c r="L26" i="15"/>
  <c r="L41" i="15"/>
  <c r="L22" i="15"/>
  <c r="L29" i="15"/>
  <c r="L37" i="15"/>
  <c r="L13" i="15"/>
  <c r="L19" i="15"/>
  <c r="L34" i="15"/>
  <c r="L21" i="15"/>
  <c r="L15" i="15"/>
  <c r="L16" i="15"/>
  <c r="L30" i="15"/>
  <c r="L38" i="15"/>
  <c r="L20" i="15"/>
  <c r="L28" i="15"/>
  <c r="L40" i="15"/>
  <c r="L36" i="15"/>
  <c r="L18" i="15"/>
  <c r="L32" i="15"/>
  <c r="L42" i="15"/>
  <c r="L43" i="15"/>
  <c r="L48" i="15"/>
  <c r="L45" i="15"/>
  <c r="L44" i="15"/>
  <c r="L47" i="15"/>
  <c r="L46" i="15"/>
  <c r="L50" i="15"/>
  <c r="L51" i="15"/>
  <c r="L49" i="15"/>
  <c r="L55" i="15"/>
  <c r="L59" i="15"/>
  <c r="L56" i="15"/>
  <c r="L69" i="15"/>
  <c r="L61" i="15"/>
  <c r="L67" i="15"/>
  <c r="L70" i="15"/>
  <c r="L68" i="15"/>
  <c r="L58" i="15"/>
  <c r="L60" i="15"/>
  <c r="L62" i="15"/>
  <c r="L71" i="15"/>
  <c r="L57" i="15"/>
  <c r="L53" i="15"/>
  <c r="L65" i="15"/>
  <c r="L66" i="15"/>
  <c r="L63" i="15"/>
  <c r="L54" i="15"/>
  <c r="L64" i="15"/>
  <c r="L52" i="15"/>
  <c r="L79" i="15"/>
  <c r="L80" i="15"/>
  <c r="L81" i="15"/>
  <c r="L82" i="15"/>
  <c r="L83" i="15"/>
  <c r="L84" i="15"/>
  <c r="L85" i="15"/>
  <c r="L86" i="15"/>
  <c r="L87" i="15"/>
  <c r="L88" i="15"/>
  <c r="L76" i="15"/>
  <c r="L89" i="15"/>
  <c r="L90" i="15"/>
  <c r="L91" i="15"/>
  <c r="L93" i="15"/>
  <c r="L92" i="15"/>
  <c r="L94" i="15"/>
  <c r="L96" i="15"/>
  <c r="L97" i="15"/>
  <c r="L98" i="15"/>
  <c r="L99" i="15"/>
  <c r="L95" i="15"/>
  <c r="L72" i="15"/>
  <c r="L73" i="15"/>
  <c r="L74" i="15"/>
  <c r="L75" i="15"/>
  <c r="L77" i="15"/>
  <c r="L78" i="15"/>
  <c r="L240" i="15"/>
  <c r="L245" i="15"/>
  <c r="L244" i="15"/>
  <c r="L234" i="15"/>
  <c r="L171" i="15"/>
  <c r="L226" i="15"/>
  <c r="L150" i="15"/>
  <c r="L112" i="15"/>
  <c r="L225" i="15"/>
  <c r="L115" i="15"/>
  <c r="L242" i="15"/>
  <c r="L243" i="15"/>
  <c r="L121" i="15"/>
  <c r="L124" i="15"/>
  <c r="L175" i="15"/>
  <c r="L142" i="15"/>
  <c r="L151" i="15"/>
  <c r="L1083" i="15"/>
  <c r="L145" i="15"/>
  <c r="L209" i="15"/>
  <c r="L210" i="15"/>
  <c r="L141" i="15"/>
  <c r="L198" i="15"/>
  <c r="L144" i="15"/>
  <c r="L108" i="15"/>
  <c r="L293" i="15"/>
  <c r="L1076" i="15"/>
  <c r="L117" i="15"/>
  <c r="L318" i="15"/>
  <c r="L148" i="15"/>
  <c r="L191" i="15"/>
  <c r="L315" i="15"/>
  <c r="L308" i="15"/>
  <c r="L256" i="15"/>
  <c r="L105" i="15"/>
  <c r="L161" i="15"/>
  <c r="L149" i="15"/>
  <c r="L126" i="15"/>
  <c r="L190" i="15"/>
  <c r="L133" i="15"/>
  <c r="L125" i="15"/>
  <c r="L163" i="15"/>
  <c r="L167" i="15"/>
  <c r="L917" i="15"/>
  <c r="L179" i="15"/>
  <c r="L130" i="15"/>
  <c r="L249" i="15"/>
  <c r="L1038" i="15"/>
  <c r="L111" i="15"/>
  <c r="L1020" i="15"/>
  <c r="L1080" i="15"/>
  <c r="L143" i="15"/>
  <c r="L1442" i="15"/>
  <c r="L246" i="15"/>
  <c r="L344" i="15"/>
  <c r="L120" i="15"/>
  <c r="L116" i="15"/>
  <c r="L101" i="15"/>
  <c r="L1065" i="15"/>
  <c r="L1071" i="15"/>
  <c r="L1069" i="15"/>
  <c r="L319" i="15"/>
  <c r="L1056" i="15"/>
  <c r="L152" i="15"/>
  <c r="L129" i="15"/>
  <c r="L235" i="15"/>
  <c r="L195" i="15"/>
  <c r="L241" i="15"/>
  <c r="L1032" i="15"/>
  <c r="L1015" i="15"/>
  <c r="L202" i="15"/>
  <c r="L932" i="15"/>
  <c r="L1308" i="15"/>
  <c r="L109" i="15"/>
  <c r="L106" i="15"/>
  <c r="L131" i="15"/>
  <c r="L189" i="15"/>
  <c r="L140" i="15"/>
  <c r="L908" i="15"/>
  <c r="L178" i="15"/>
  <c r="L128" i="15"/>
  <c r="L215" i="15"/>
  <c r="L216" i="15"/>
  <c r="L304" i="15"/>
  <c r="L136" i="15"/>
  <c r="L137" i="15"/>
  <c r="L104" i="15"/>
  <c r="L227" i="15"/>
  <c r="L840" i="15"/>
  <c r="L919" i="15"/>
  <c r="L146" i="15"/>
  <c r="L262" i="15"/>
  <c r="L183" i="15"/>
  <c r="L995" i="15"/>
  <c r="L194" i="15"/>
  <c r="L228" i="15"/>
  <c r="L208" i="15"/>
  <c r="L157" i="15"/>
  <c r="L123" i="15"/>
  <c r="L912" i="15"/>
  <c r="L127" i="15"/>
  <c r="L173" i="15"/>
  <c r="L309" i="15"/>
  <c r="L132" i="15"/>
  <c r="L916" i="15"/>
  <c r="L119" i="15"/>
  <c r="L248" i="15"/>
  <c r="L221" i="15"/>
  <c r="L188" i="15"/>
  <c r="L118" i="15"/>
  <c r="L164" i="15"/>
  <c r="L831" i="15"/>
  <c r="L159" i="15"/>
  <c r="L320" i="15"/>
  <c r="L147" i="15"/>
  <c r="L923" i="15"/>
  <c r="L335" i="15"/>
  <c r="L231" i="15"/>
  <c r="L230" i="15"/>
  <c r="L250" i="15"/>
  <c r="L251" i="15"/>
  <c r="L252" i="15"/>
  <c r="L253" i="15"/>
  <c r="L254" i="15"/>
  <c r="L238" i="15"/>
  <c r="L239" i="15"/>
  <c r="L154" i="15"/>
  <c r="L300" i="15"/>
  <c r="L255" i="15"/>
  <c r="L229" i="15"/>
  <c r="L197" i="15"/>
  <c r="L169" i="15"/>
  <c r="L1310" i="15"/>
  <c r="L174" i="15"/>
  <c r="L214" i="15"/>
  <c r="L176" i="15"/>
  <c r="L247" i="15"/>
  <c r="L1022" i="15"/>
  <c r="L321" i="15"/>
  <c r="L1019" i="15"/>
  <c r="L1066" i="15"/>
  <c r="L265" i="15"/>
  <c r="L1097" i="15"/>
  <c r="L193" i="15"/>
  <c r="L341" i="15"/>
  <c r="L201" i="15"/>
  <c r="L205" i="15"/>
  <c r="L196" i="15"/>
  <c r="L114" i="15"/>
  <c r="L107" i="15"/>
  <c r="L266" i="15"/>
  <c r="L914" i="15"/>
  <c r="L295" i="15"/>
  <c r="L1028" i="15"/>
  <c r="L1092" i="15"/>
  <c r="L138" i="15"/>
  <c r="L153" i="15"/>
  <c r="L217" i="15"/>
  <c r="L920" i="15"/>
  <c r="L921" i="15"/>
  <c r="L289" i="15"/>
  <c r="L327" i="15"/>
  <c r="L192" i="15"/>
  <c r="L100" i="15"/>
  <c r="L102" i="15"/>
  <c r="L1246" i="15"/>
  <c r="L160" i="15"/>
  <c r="L162" i="15"/>
  <c r="L918" i="15"/>
  <c r="L277" i="15"/>
  <c r="L165" i="15"/>
  <c r="L301" i="15"/>
  <c r="L166" i="15"/>
  <c r="L187" i="15"/>
  <c r="L1440" i="15"/>
  <c r="L259" i="15"/>
  <c r="L316" i="15"/>
  <c r="L203" i="15"/>
  <c r="L307" i="15"/>
  <c r="L177" i="15"/>
  <c r="L207" i="15"/>
  <c r="L303" i="15"/>
  <c r="L168" i="15"/>
  <c r="L170" i="15"/>
  <c r="L906" i="15"/>
  <c r="L213" i="15"/>
  <c r="L1082" i="15"/>
  <c r="L1047" i="15"/>
  <c r="L278" i="15"/>
  <c r="L279" i="15"/>
  <c r="L1085" i="15"/>
  <c r="L268" i="15"/>
  <c r="L270" i="15"/>
  <c r="L258" i="15"/>
  <c r="L314" i="15"/>
  <c r="L340" i="15"/>
  <c r="L925" i="15"/>
  <c r="L1051" i="15"/>
  <c r="L311" i="15"/>
  <c r="L1437" i="15"/>
  <c r="L276" i="15"/>
  <c r="L330" i="15"/>
  <c r="L331" i="15"/>
  <c r="L332" i="15"/>
  <c r="L286" i="15"/>
  <c r="L222" i="15"/>
  <c r="L317" i="15"/>
  <c r="L272" i="15"/>
  <c r="L305" i="15"/>
  <c r="L296" i="15"/>
  <c r="L927" i="15"/>
  <c r="L322" i="15"/>
  <c r="L328" i="15"/>
  <c r="L323" i="15"/>
  <c r="L329" i="15"/>
  <c r="L338" i="15"/>
  <c r="L324" i="15"/>
  <c r="L336" i="15"/>
  <c r="L337" i="15"/>
  <c r="L1030" i="15"/>
  <c r="L263" i="15"/>
  <c r="L326" i="15"/>
  <c r="L297" i="15"/>
  <c r="L261" i="15"/>
  <c r="L325" i="15"/>
  <c r="L285" i="15"/>
  <c r="L219" i="15"/>
  <c r="L342" i="15"/>
  <c r="L139" i="15"/>
  <c r="L264" i="15"/>
  <c r="L306" i="15"/>
  <c r="L224" i="15"/>
  <c r="L299" i="15"/>
  <c r="L298" i="15"/>
  <c r="L155" i="15"/>
  <c r="L156" i="15"/>
  <c r="L158" i="15"/>
  <c r="L275" i="15"/>
  <c r="L185" i="15"/>
  <c r="L211" i="15"/>
  <c r="L236" i="15"/>
  <c r="L134" i="15"/>
  <c r="L267" i="15"/>
  <c r="L273" i="15"/>
  <c r="L284" i="15"/>
  <c r="L274" i="15"/>
  <c r="L380" i="15"/>
  <c r="L387" i="15"/>
  <c r="L381" i="15"/>
  <c r="L378" i="15"/>
  <c r="L365" i="15"/>
  <c r="L356" i="15"/>
  <c r="L386" i="15"/>
  <c r="L375" i="15"/>
  <c r="L389" i="15"/>
  <c r="L379" i="15"/>
  <c r="L362" i="15"/>
  <c r="L374" i="15"/>
  <c r="L377" i="15"/>
  <c r="L383" i="15"/>
  <c r="L382" i="15"/>
  <c r="L357" i="15"/>
  <c r="L346" i="15"/>
  <c r="L347" i="15"/>
  <c r="L348" i="15"/>
  <c r="L354" i="15"/>
  <c r="L355" i="15"/>
  <c r="L349" i="15"/>
  <c r="L369" i="15"/>
  <c r="L367" i="15"/>
  <c r="L370" i="15"/>
  <c r="L363" i="15"/>
  <c r="L350" i="15"/>
  <c r="L351" i="15"/>
  <c r="L385" i="15"/>
  <c r="L388" i="15"/>
  <c r="L371" i="15"/>
  <c r="L364" i="15"/>
  <c r="L376" i="15"/>
  <c r="L352" i="15"/>
  <c r="L368" i="15"/>
  <c r="L353" i="15"/>
  <c r="L361" i="15"/>
  <c r="L358" i="15"/>
  <c r="L366" i="15"/>
  <c r="L345" i="15"/>
  <c r="L1247" i="15"/>
  <c r="L360" i="15"/>
  <c r="L372" i="15"/>
  <c r="L373" i="15"/>
  <c r="L359" i="15"/>
  <c r="L384" i="15"/>
  <c r="L390" i="15"/>
  <c r="L391" i="15"/>
  <c r="L392" i="15"/>
  <c r="L393" i="15"/>
  <c r="L395" i="15"/>
  <c r="L397" i="15"/>
  <c r="L398" i="15"/>
  <c r="L394" i="15"/>
  <c r="L396" i="15"/>
  <c r="L406" i="15"/>
  <c r="L407" i="15"/>
  <c r="L405" i="15"/>
  <c r="L409" i="15"/>
  <c r="L408" i="15"/>
  <c r="L400" i="15"/>
  <c r="L399" i="15"/>
  <c r="L401" i="15"/>
  <c r="L402" i="15"/>
  <c r="L403" i="15"/>
  <c r="L404" i="15"/>
  <c r="L410" i="15"/>
  <c r="L411" i="15"/>
  <c r="L412" i="15"/>
  <c r="L413" i="15"/>
  <c r="L1276" i="15"/>
  <c r="L1274" i="15"/>
  <c r="L1275" i="15"/>
  <c r="L1273" i="15"/>
  <c r="L1277" i="15"/>
  <c r="L1270" i="15"/>
  <c r="L1271" i="15"/>
  <c r="L1272" i="15"/>
  <c r="L1269" i="15"/>
  <c r="L414" i="15"/>
  <c r="L418" i="15"/>
  <c r="L429" i="15"/>
  <c r="L422" i="15"/>
  <c r="L440" i="15"/>
  <c r="L435" i="15"/>
  <c r="L417" i="15"/>
  <c r="L431" i="15"/>
  <c r="L416" i="15"/>
  <c r="L424" i="15"/>
  <c r="L426" i="15"/>
  <c r="L415" i="15"/>
  <c r="L428" i="15"/>
  <c r="L425" i="15"/>
  <c r="L421" i="15"/>
  <c r="L427" i="15"/>
  <c r="L423" i="15"/>
  <c r="L438" i="15"/>
  <c r="L436" i="15"/>
  <c r="L420" i="15"/>
  <c r="L419" i="15"/>
  <c r="L432" i="15"/>
  <c r="L433" i="15"/>
  <c r="L437" i="15"/>
  <c r="L434" i="15"/>
  <c r="L430" i="15"/>
  <c r="L439" i="15"/>
  <c r="L1287" i="15"/>
  <c r="L444" i="15"/>
  <c r="L464" i="15"/>
  <c r="L1282" i="15"/>
  <c r="L1278" i="15"/>
  <c r="L442" i="15"/>
  <c r="L1280" i="15"/>
  <c r="L1281" i="15"/>
  <c r="L443" i="15"/>
  <c r="L441" i="15"/>
  <c r="L446" i="15"/>
  <c r="L1285" i="15"/>
  <c r="L459" i="15"/>
  <c r="L1279" i="15"/>
  <c r="L1284" i="15"/>
  <c r="L498" i="15"/>
  <c r="L1288" i="15"/>
  <c r="L1286" i="15"/>
  <c r="L1283" i="15"/>
  <c r="L460" i="15"/>
  <c r="L113" i="15"/>
  <c r="L463" i="15"/>
  <c r="L450" i="15"/>
  <c r="L488" i="15"/>
  <c r="L461" i="15"/>
  <c r="L467" i="15"/>
  <c r="L455" i="15"/>
  <c r="L458" i="15"/>
  <c r="L490" i="15"/>
  <c r="L454" i="15"/>
  <c r="L456" i="15"/>
  <c r="L457" i="15"/>
  <c r="L493" i="15"/>
  <c r="L478" i="15"/>
  <c r="L479" i="15"/>
  <c r="L445" i="15"/>
  <c r="L477" i="15"/>
  <c r="L474" i="15"/>
  <c r="L475" i="15"/>
  <c r="L451" i="15"/>
  <c r="L472" i="15"/>
  <c r="L480" i="15"/>
  <c r="L473" i="15"/>
  <c r="L466" i="15"/>
  <c r="L449" i="15"/>
  <c r="L495" i="15"/>
  <c r="L470" i="15"/>
  <c r="L486" i="15"/>
  <c r="L452" i="15"/>
  <c r="L500" i="15"/>
  <c r="L453" i="15"/>
  <c r="L468" i="15"/>
  <c r="L482" i="15"/>
  <c r="L447" i="15"/>
  <c r="L499" i="15"/>
  <c r="L491" i="15"/>
  <c r="L496" i="15"/>
  <c r="L483" i="15"/>
  <c r="L462" i="15"/>
  <c r="L489" i="15"/>
  <c r="L487" i="15"/>
  <c r="L484" i="15"/>
  <c r="L497" i="15"/>
  <c r="L492" i="15"/>
  <c r="L465" i="15"/>
  <c r="L494" i="15"/>
  <c r="L476" i="15"/>
  <c r="L481" i="15"/>
  <c r="L485" i="15"/>
  <c r="L469" i="15"/>
  <c r="L471" i="15"/>
  <c r="L583" i="15"/>
  <c r="L1300" i="15"/>
  <c r="L1331" i="15"/>
  <c r="L1314" i="15"/>
  <c r="L1312" i="15"/>
  <c r="L1292" i="15"/>
  <c r="L271" i="15"/>
  <c r="L294" i="15"/>
  <c r="L1291" i="15"/>
  <c r="L1293" i="15"/>
  <c r="L1327" i="15"/>
  <c r="L1328" i="15"/>
  <c r="L1344" i="15"/>
  <c r="L1290" i="15"/>
  <c r="L1302" i="15"/>
  <c r="L1303" i="15"/>
  <c r="L501" i="15"/>
  <c r="L1301" i="15"/>
  <c r="L1304" i="15"/>
  <c r="L1356" i="15"/>
  <c r="L1320" i="15"/>
  <c r="L1336" i="15"/>
  <c r="L1322" i="15"/>
  <c r="L1323" i="15"/>
  <c r="L1311" i="15"/>
  <c r="L1318" i="15"/>
  <c r="L1329" i="15"/>
  <c r="L1325" i="15"/>
  <c r="L1324" i="15"/>
  <c r="L591" i="15"/>
  <c r="L503" i="15"/>
  <c r="L1305" i="15"/>
  <c r="L1296" i="15"/>
  <c r="L1298" i="15"/>
  <c r="L1297" i="15"/>
  <c r="L1299" i="15"/>
  <c r="L588" i="15"/>
  <c r="L1309" i="15"/>
  <c r="L1289" i="15"/>
  <c r="L502" i="15"/>
  <c r="L233" i="15"/>
  <c r="L1294" i="15"/>
  <c r="L1334" i="15"/>
  <c r="L1343" i="15"/>
  <c r="L1295" i="15"/>
  <c r="L1339" i="15"/>
  <c r="L1345" i="15"/>
  <c r="L1346" i="15"/>
  <c r="L1307" i="15"/>
  <c r="L1337" i="15"/>
  <c r="L1333" i="15"/>
  <c r="L1313" i="15"/>
  <c r="L546" i="15"/>
  <c r="L551" i="15"/>
  <c r="L1355" i="15"/>
  <c r="L1326" i="15"/>
  <c r="L1315" i="15"/>
  <c r="L1319" i="15"/>
  <c r="L1338" i="15"/>
  <c r="L1351" i="15"/>
  <c r="L1317" i="15"/>
  <c r="L1316" i="15"/>
  <c r="L1347" i="15"/>
  <c r="L516" i="15"/>
  <c r="L1341" i="15"/>
  <c r="L1348" i="15"/>
  <c r="L1349" i="15"/>
  <c r="L1350" i="15"/>
  <c r="L1352" i="15"/>
  <c r="L515" i="15"/>
  <c r="L1340" i="15"/>
  <c r="L1353" i="15"/>
  <c r="L1332" i="15"/>
  <c r="L550" i="15"/>
  <c r="L1354" i="15"/>
  <c r="L1342" i="15"/>
  <c r="L1330" i="15"/>
  <c r="L1335" i="15"/>
  <c r="L1321" i="15"/>
  <c r="L564" i="15"/>
  <c r="L552" i="15"/>
  <c r="L574" i="15"/>
  <c r="L614" i="15"/>
  <c r="L577" i="15"/>
  <c r="L530" i="15"/>
  <c r="L600" i="15"/>
  <c r="L601" i="15"/>
  <c r="L582" i="15"/>
  <c r="L597" i="15"/>
  <c r="L595" i="15"/>
  <c r="L606" i="15"/>
  <c r="L563" i="15"/>
  <c r="L584" i="15"/>
  <c r="L593" i="15"/>
  <c r="L562" i="15"/>
  <c r="L580" i="15"/>
  <c r="L569" i="15"/>
  <c r="L570" i="15"/>
  <c r="L504" i="15"/>
  <c r="L505" i="15"/>
  <c r="L533" i="15"/>
  <c r="L512" i="15"/>
  <c r="L561" i="15"/>
  <c r="L527" i="15"/>
  <c r="L609" i="15"/>
  <c r="L568" i="15"/>
  <c r="L578" i="15"/>
  <c r="L576" i="15"/>
  <c r="L592" i="15"/>
  <c r="L619" i="15"/>
  <c r="L571" i="15"/>
  <c r="L537" i="15"/>
  <c r="L585" i="15"/>
  <c r="L607" i="15"/>
  <c r="L616" i="15"/>
  <c r="L556" i="15"/>
  <c r="L615" i="15"/>
  <c r="L587" i="15"/>
  <c r="L560" i="15"/>
  <c r="L590" i="15"/>
  <c r="L598" i="15"/>
  <c r="L589" i="15"/>
  <c r="L586" i="15"/>
  <c r="L545" i="15"/>
  <c r="L610" i="15"/>
  <c r="L605" i="15"/>
  <c r="L613" i="15"/>
  <c r="L611" i="15"/>
  <c r="L528" i="15"/>
  <c r="L558" i="15"/>
  <c r="L617" i="15"/>
  <c r="L596" i="15"/>
  <c r="L608" i="15"/>
  <c r="L581" i="15"/>
  <c r="L612" i="15"/>
  <c r="L573" i="15"/>
  <c r="L555" i="15"/>
  <c r="L559" i="15"/>
  <c r="L602" i="15"/>
  <c r="L557" i="15"/>
  <c r="L538" i="15"/>
  <c r="L531" i="15"/>
  <c r="L509" i="15"/>
  <c r="L594" i="15"/>
  <c r="L599" i="15"/>
  <c r="L603" i="15"/>
  <c r="L534" i="15"/>
  <c r="L604" i="15"/>
  <c r="L548" i="15"/>
  <c r="L518" i="15"/>
  <c r="L519" i="15"/>
  <c r="L544" i="15"/>
  <c r="L567" i="15"/>
  <c r="L540" i="15"/>
  <c r="L513" i="15"/>
  <c r="L565" i="15"/>
  <c r="L517" i="15"/>
  <c r="L507" i="15"/>
  <c r="L521" i="15"/>
  <c r="L511" i="15"/>
  <c r="L522" i="15"/>
  <c r="L541" i="15"/>
  <c r="L575" i="15"/>
  <c r="L520" i="15"/>
  <c r="L514" i="15"/>
  <c r="L523" i="15"/>
  <c r="L524" i="15"/>
  <c r="L542" i="15"/>
  <c r="L539" i="15"/>
  <c r="L543" i="15"/>
  <c r="L526" i="15"/>
  <c r="L535" i="15"/>
  <c r="L579" i="15"/>
  <c r="L549" i="15"/>
  <c r="L508" i="15"/>
  <c r="L525" i="15"/>
  <c r="L553" i="15"/>
  <c r="L536" i="15"/>
  <c r="L618" i="15"/>
  <c r="L572" i="15"/>
  <c r="L506" i="15"/>
  <c r="L532" i="15"/>
  <c r="L529" i="15"/>
  <c r="L510" i="15"/>
  <c r="L554" i="15"/>
  <c r="L566" i="15"/>
  <c r="L547" i="15"/>
  <c r="L649" i="15"/>
  <c r="L642" i="15"/>
  <c r="L645" i="15"/>
  <c r="L639" i="15"/>
  <c r="L652" i="15"/>
  <c r="L673" i="15"/>
  <c r="L644" i="15"/>
  <c r="L660" i="15"/>
  <c r="L672" i="15"/>
  <c r="L638" i="15"/>
  <c r="L636" i="15"/>
  <c r="L637" i="15"/>
  <c r="L623" i="15"/>
  <c r="L655" i="15"/>
  <c r="L657" i="15"/>
  <c r="L648" i="15"/>
  <c r="L646" i="15"/>
  <c r="L641" i="15"/>
  <c r="L674" i="15"/>
  <c r="L653" i="15"/>
  <c r="L656" i="15"/>
  <c r="L671" i="15"/>
  <c r="L662" i="15"/>
  <c r="L633" i="15"/>
  <c r="L627" i="15"/>
  <c r="L629" i="15"/>
  <c r="L632" i="15"/>
  <c r="L621" i="15"/>
  <c r="L626" i="15"/>
  <c r="L625" i="15"/>
  <c r="L631" i="15"/>
  <c r="L622" i="15"/>
  <c r="L628" i="15"/>
  <c r="L634" i="15"/>
  <c r="L635" i="15"/>
  <c r="L640" i="15"/>
  <c r="L630" i="15"/>
  <c r="L647" i="15"/>
  <c r="L624" i="15"/>
  <c r="L654" i="15"/>
  <c r="L658" i="15"/>
  <c r="L643" i="15"/>
  <c r="L651" i="15"/>
  <c r="L661" i="15"/>
  <c r="L668" i="15"/>
  <c r="L665" i="15"/>
  <c r="L663" i="15"/>
  <c r="L670" i="15"/>
  <c r="L667" i="15"/>
  <c r="L620" i="15"/>
  <c r="L666" i="15"/>
  <c r="L650" i="15"/>
  <c r="L669" i="15"/>
  <c r="L659" i="15"/>
  <c r="L664" i="15"/>
  <c r="L681" i="15"/>
  <c r="L1365" i="15"/>
  <c r="L1374" i="15"/>
  <c r="L724" i="15"/>
  <c r="L1368" i="15"/>
  <c r="L1366" i="15"/>
  <c r="L1369" i="15"/>
  <c r="L698" i="15"/>
  <c r="L675" i="15"/>
  <c r="L690" i="15"/>
  <c r="L1363" i="15"/>
  <c r="L1367" i="15"/>
  <c r="L1377" i="15"/>
  <c r="L1371" i="15"/>
  <c r="L1373" i="15"/>
  <c r="L725" i="15"/>
  <c r="L686" i="15"/>
  <c r="L1372" i="15"/>
  <c r="L1364" i="15"/>
  <c r="L1370" i="15"/>
  <c r="L678" i="15"/>
  <c r="L695" i="15"/>
  <c r="L716" i="15"/>
  <c r="L687" i="15"/>
  <c r="L708" i="15"/>
  <c r="L677" i="15"/>
  <c r="L682" i="15"/>
  <c r="L705" i="15"/>
  <c r="L704" i="15"/>
  <c r="L691" i="15"/>
  <c r="L721" i="15"/>
  <c r="L700" i="15"/>
  <c r="L723" i="15"/>
  <c r="L722" i="15"/>
  <c r="L692" i="15"/>
  <c r="L706" i="15"/>
  <c r="L720" i="15"/>
  <c r="L685" i="15"/>
  <c r="L694" i="15"/>
  <c r="L693" i="15"/>
  <c r="L696" i="15"/>
  <c r="L683" i="15"/>
  <c r="L684" i="15"/>
  <c r="L702" i="15"/>
  <c r="L701" i="15"/>
  <c r="L680" i="15"/>
  <c r="L717" i="15"/>
  <c r="L718" i="15"/>
  <c r="L703" i="15"/>
  <c r="L709" i="15"/>
  <c r="L713" i="15"/>
  <c r="L707" i="15"/>
  <c r="L679" i="15"/>
  <c r="L697" i="15"/>
  <c r="L688" i="15"/>
  <c r="L711" i="15"/>
  <c r="L712" i="15"/>
  <c r="L710" i="15"/>
  <c r="L719" i="15"/>
  <c r="L699" i="15"/>
  <c r="L714" i="15"/>
  <c r="L715" i="15"/>
  <c r="L689" i="15"/>
  <c r="L676" i="15"/>
  <c r="L1395" i="15"/>
  <c r="L1387" i="15"/>
  <c r="L1386" i="15"/>
  <c r="L1385" i="15"/>
  <c r="L1388" i="15"/>
  <c r="L1389" i="15"/>
  <c r="L1390" i="15"/>
  <c r="L1381" i="15"/>
  <c r="L1382" i="15"/>
  <c r="L1383" i="15"/>
  <c r="L1384" i="15"/>
  <c r="L739" i="15"/>
  <c r="L1379" i="15"/>
  <c r="L1392" i="15"/>
  <c r="L1393" i="15"/>
  <c r="L1399" i="15"/>
  <c r="L1391" i="15"/>
  <c r="L1394" i="15"/>
  <c r="L1378" i="15"/>
  <c r="L1380" i="15"/>
  <c r="L1397" i="15"/>
  <c r="L1398" i="15"/>
  <c r="L1396" i="15"/>
  <c r="L765" i="15"/>
  <c r="L740" i="15"/>
  <c r="L727" i="15"/>
  <c r="L760" i="15"/>
  <c r="L763" i="15"/>
  <c r="L761" i="15"/>
  <c r="L736" i="15"/>
  <c r="L746" i="15"/>
  <c r="L748" i="15"/>
  <c r="L738" i="15"/>
  <c r="L726" i="15"/>
  <c r="L728" i="15"/>
  <c r="L729" i="15"/>
  <c r="L744" i="15"/>
  <c r="L735" i="15"/>
  <c r="L741" i="15"/>
  <c r="L737" i="15"/>
  <c r="L747" i="15"/>
  <c r="L731" i="15"/>
  <c r="L730" i="15"/>
  <c r="L733" i="15"/>
  <c r="L745" i="15"/>
  <c r="L758" i="15"/>
  <c r="L743" i="15"/>
  <c r="L1401" i="15"/>
  <c r="L1400" i="15"/>
  <c r="L732" i="15"/>
  <c r="L759" i="15"/>
  <c r="L754" i="15"/>
  <c r="L742" i="15"/>
  <c r="L734" i="15"/>
  <c r="L757" i="15"/>
  <c r="L750" i="15"/>
  <c r="L753" i="15"/>
  <c r="L755" i="15"/>
  <c r="L752" i="15"/>
  <c r="L749" i="15"/>
  <c r="L751" i="15"/>
  <c r="L762" i="15"/>
  <c r="L756" i="15"/>
  <c r="L764" i="15"/>
  <c r="L856" i="15"/>
  <c r="L853" i="15"/>
  <c r="L1418" i="15"/>
  <c r="L1404" i="15"/>
  <c r="L823" i="15"/>
  <c r="L1414" i="15"/>
  <c r="L1426" i="15"/>
  <c r="L1428" i="15"/>
  <c r="L835" i="15"/>
  <c r="L1411" i="15"/>
  <c r="L1424" i="15"/>
  <c r="L1406" i="15"/>
  <c r="L1416" i="15"/>
  <c r="L1407" i="15"/>
  <c r="L1408" i="15"/>
  <c r="L1409" i="15"/>
  <c r="L1417" i="15"/>
  <c r="L806" i="15"/>
  <c r="L829" i="15"/>
  <c r="L1430" i="15"/>
  <c r="L1412" i="15"/>
  <c r="L821" i="15"/>
  <c r="L786" i="15"/>
  <c r="L1415" i="15"/>
  <c r="L1423" i="15"/>
  <c r="L1431" i="15"/>
  <c r="L1413" i="15"/>
  <c r="L1405" i="15"/>
  <c r="L1410" i="15"/>
  <c r="L1425" i="15"/>
  <c r="L1429" i="15"/>
  <c r="L1419" i="15"/>
  <c r="L1403" i="15"/>
  <c r="L1402" i="15"/>
  <c r="L1420" i="15"/>
  <c r="L1421" i="15"/>
  <c r="L1422" i="15"/>
  <c r="L1427" i="15"/>
  <c r="L122" i="15"/>
  <c r="L292" i="15"/>
  <c r="L787" i="15"/>
  <c r="L832" i="15"/>
  <c r="L791" i="15"/>
  <c r="L818" i="15"/>
  <c r="L855" i="15"/>
  <c r="L851" i="15"/>
  <c r="L850" i="15"/>
  <c r="L849" i="15"/>
  <c r="L852" i="15"/>
  <c r="L854" i="15"/>
  <c r="L773" i="15"/>
  <c r="L809" i="15"/>
  <c r="L841" i="15"/>
  <c r="L771" i="15"/>
  <c r="L780" i="15"/>
  <c r="L782" i="15"/>
  <c r="L783" i="15"/>
  <c r="L784" i="15"/>
  <c r="L808" i="15"/>
  <c r="L772" i="15"/>
  <c r="L781" i="15"/>
  <c r="L785" i="15"/>
  <c r="L779" i="15"/>
  <c r="L815" i="15"/>
  <c r="L843" i="15"/>
  <c r="L777" i="15"/>
  <c r="L822" i="15"/>
  <c r="L790" i="15"/>
  <c r="L799" i="15"/>
  <c r="L803" i="15"/>
  <c r="L774" i="15"/>
  <c r="L845" i="15"/>
  <c r="L827" i="15"/>
  <c r="L825" i="15"/>
  <c r="L826" i="15"/>
  <c r="L810" i="15"/>
  <c r="L812" i="15"/>
  <c r="L770" i="15"/>
  <c r="L813" i="15"/>
  <c r="L811" i="15"/>
  <c r="L768" i="15"/>
  <c r="L767" i="15"/>
  <c r="L846" i="15"/>
  <c r="L828" i="15"/>
  <c r="L833" i="15"/>
  <c r="L807" i="15"/>
  <c r="L844" i="15"/>
  <c r="L776" i="15"/>
  <c r="L830" i="15"/>
  <c r="L816" i="15"/>
  <c r="L778" i="15"/>
  <c r="L795" i="15"/>
  <c r="L796" i="15"/>
  <c r="L839" i="15"/>
  <c r="L817" i="15"/>
  <c r="L793" i="15"/>
  <c r="L842" i="15"/>
  <c r="L820" i="15"/>
  <c r="L836" i="15"/>
  <c r="L834" i="15"/>
  <c r="L794" i="15"/>
  <c r="L819" i="15"/>
  <c r="L837" i="15"/>
  <c r="L838" i="15"/>
  <c r="L186" i="15"/>
  <c r="L800" i="15"/>
  <c r="L797" i="15"/>
  <c r="L798" i="15"/>
  <c r="L775" i="15"/>
  <c r="L792" i="15"/>
  <c r="L814" i="15"/>
  <c r="L1432" i="15"/>
  <c r="L847" i="15"/>
  <c r="L848" i="15"/>
  <c r="L802" i="15"/>
  <c r="L801" i="15"/>
  <c r="L769" i="15"/>
  <c r="L805" i="15"/>
  <c r="L1433" i="15"/>
  <c r="L804" i="15"/>
  <c r="L824" i="15"/>
  <c r="L789" i="15"/>
  <c r="L788" i="15"/>
  <c r="L858" i="15"/>
  <c r="L859" i="15"/>
  <c r="L860" i="15"/>
  <c r="L861" i="15"/>
  <c r="L862" i="15"/>
  <c r="L863" i="15"/>
  <c r="L865" i="15"/>
  <c r="L864" i="15"/>
  <c r="L866" i="15"/>
  <c r="L867" i="15"/>
  <c r="L868" i="15"/>
  <c r="L870" i="15"/>
  <c r="L869" i="15"/>
  <c r="L871" i="15"/>
  <c r="L872" i="15"/>
  <c r="L873" i="15"/>
  <c r="L874" i="15"/>
  <c r="L875" i="15"/>
  <c r="L877" i="15"/>
  <c r="L878" i="15"/>
  <c r="L876" i="15"/>
  <c r="L879" i="15"/>
  <c r="L880" i="15"/>
  <c r="L881" i="15"/>
  <c r="L882" i="15"/>
  <c r="L883" i="15"/>
  <c r="L884" i="15"/>
  <c r="L886" i="15"/>
  <c r="L885" i="15"/>
  <c r="L889" i="15"/>
  <c r="L887" i="15"/>
  <c r="L888" i="15"/>
  <c r="L895" i="15"/>
  <c r="L890" i="15"/>
  <c r="L891" i="15"/>
  <c r="L893" i="15"/>
  <c r="L892" i="15"/>
  <c r="L896" i="15"/>
  <c r="L894" i="15"/>
  <c r="L898" i="15"/>
  <c r="L897" i="15"/>
  <c r="L899" i="15"/>
  <c r="L900" i="15"/>
  <c r="L901" i="15"/>
  <c r="L902" i="15"/>
  <c r="L904" i="15"/>
  <c r="L903" i="15"/>
  <c r="L857" i="15"/>
  <c r="L1362" i="15"/>
  <c r="L1375" i="15"/>
  <c r="L1436" i="15"/>
  <c r="L1376" i="15"/>
  <c r="L1435" i="15"/>
  <c r="L1361" i="15"/>
  <c r="L1358" i="15"/>
  <c r="L1357" i="15"/>
  <c r="L1359" i="15"/>
  <c r="L1434" i="15"/>
  <c r="L1360" i="15"/>
  <c r="L1077" i="15"/>
  <c r="L1438" i="15"/>
  <c r="L922" i="15"/>
  <c r="L924" i="15"/>
  <c r="L1096" i="15"/>
  <c r="L1306" i="15"/>
  <c r="L931" i="15"/>
  <c r="L929" i="15"/>
  <c r="L915" i="15"/>
  <c r="L913" i="15"/>
  <c r="L1078" i="15"/>
  <c r="L257" i="15"/>
  <c r="L905" i="15"/>
  <c r="L930" i="15"/>
  <c r="L1067" i="15"/>
  <c r="L448" i="15"/>
  <c r="L911" i="15"/>
  <c r="L910" i="15"/>
  <c r="L928" i="15"/>
  <c r="L926" i="15"/>
  <c r="L312" i="15"/>
  <c r="L766" i="15"/>
  <c r="L1098" i="15"/>
  <c r="L290" i="15"/>
  <c r="L1045" i="15"/>
  <c r="L220" i="15"/>
  <c r="L907" i="15"/>
  <c r="L1439" i="15"/>
  <c r="L343" i="15"/>
  <c r="L172" i="15"/>
  <c r="L1074" i="15"/>
  <c r="L1095" i="15"/>
  <c r="L950" i="15"/>
  <c r="L962" i="15"/>
  <c r="L945" i="15"/>
  <c r="L938" i="15"/>
  <c r="L935" i="15"/>
  <c r="L943" i="15"/>
  <c r="L965" i="15"/>
  <c r="L958" i="15"/>
  <c r="L934" i="15"/>
  <c r="L944" i="15"/>
  <c r="L940" i="15"/>
  <c r="L942" i="15"/>
  <c r="L951" i="15"/>
  <c r="L977" i="15"/>
  <c r="L974" i="15"/>
  <c r="L957" i="15"/>
  <c r="L970" i="15"/>
  <c r="L972" i="15"/>
  <c r="L959" i="15"/>
  <c r="L939" i="15"/>
  <c r="L971" i="15"/>
  <c r="L955" i="15"/>
  <c r="L975" i="15"/>
  <c r="L948" i="15"/>
  <c r="L976" i="15"/>
  <c r="L961" i="15"/>
  <c r="L973" i="15"/>
  <c r="L967" i="15"/>
  <c r="L964" i="15"/>
  <c r="L946" i="15"/>
  <c r="L968" i="15"/>
  <c r="L966" i="15"/>
  <c r="L956" i="15"/>
  <c r="L941" i="15"/>
  <c r="L960" i="15"/>
  <c r="L937" i="15"/>
  <c r="L949" i="15"/>
  <c r="L936" i="15"/>
  <c r="L953" i="15"/>
  <c r="L963" i="15"/>
  <c r="L933" i="15"/>
  <c r="L952" i="15"/>
  <c r="L947" i="15"/>
  <c r="L969" i="15"/>
  <c r="L954" i="15"/>
  <c r="L1223" i="15"/>
  <c r="L1221" i="15"/>
  <c r="L1222" i="15"/>
  <c r="L990" i="15"/>
  <c r="L997" i="15"/>
  <c r="L999" i="15"/>
  <c r="L200" i="15"/>
  <c r="L1441" i="15"/>
  <c r="L998" i="15"/>
  <c r="L1002" i="15"/>
  <c r="L1000" i="15"/>
  <c r="L1001" i="15"/>
  <c r="L992" i="15"/>
  <c r="L978" i="15"/>
  <c r="L988" i="15"/>
  <c r="L986" i="15"/>
  <c r="L984" i="15"/>
  <c r="L991" i="15"/>
  <c r="L979" i="15"/>
  <c r="L981" i="15"/>
  <c r="L980" i="15"/>
  <c r="L994" i="15"/>
  <c r="L996" i="15"/>
  <c r="L982" i="15"/>
  <c r="L985" i="15"/>
  <c r="L987" i="15"/>
  <c r="L983" i="15"/>
  <c r="L989" i="15"/>
  <c r="L993" i="15"/>
  <c r="L1003" i="15"/>
  <c r="L110" i="15"/>
  <c r="L313" i="15"/>
  <c r="L1053" i="15"/>
  <c r="L291" i="15"/>
  <c r="L1101" i="15"/>
  <c r="L1033" i="15"/>
  <c r="L283" i="15"/>
  <c r="L1443" i="15"/>
  <c r="L1444" i="15"/>
  <c r="L1445" i="15"/>
  <c r="L1021" i="15"/>
  <c r="L1062" i="15"/>
  <c r="L1037" i="15"/>
  <c r="L1016" i="15"/>
  <c r="L1060" i="15"/>
  <c r="L1081" i="15"/>
  <c r="L1050" i="15"/>
  <c r="L1091" i="15"/>
  <c r="L1100" i="15"/>
  <c r="L1005" i="15"/>
  <c r="L1024" i="15"/>
  <c r="L1058" i="15"/>
  <c r="L1027" i="15"/>
  <c r="L1102" i="15"/>
  <c r="L1023" i="15"/>
  <c r="L1041" i="15"/>
  <c r="L1054" i="15"/>
  <c r="L1075" i="15"/>
  <c r="L1079" i="15"/>
  <c r="L1093" i="15"/>
  <c r="L1088" i="15"/>
  <c r="L260" i="15"/>
  <c r="L1048" i="15"/>
  <c r="L1073" i="15"/>
  <c r="L1059" i="15"/>
  <c r="L269" i="15"/>
  <c r="L1043" i="15"/>
  <c r="L1057" i="15"/>
  <c r="L1070" i="15"/>
  <c r="L1018" i="15"/>
  <c r="L1014" i="15"/>
  <c r="L909" i="15"/>
  <c r="L135" i="15"/>
  <c r="L1090" i="15"/>
  <c r="L1086" i="15"/>
  <c r="L1006" i="15"/>
  <c r="L103" i="15"/>
  <c r="L180" i="15"/>
  <c r="L181" i="15"/>
  <c r="L182" i="15"/>
  <c r="L1013" i="15"/>
  <c r="L1104" i="15"/>
  <c r="L1042" i="15"/>
  <c r="L1009" i="15"/>
  <c r="L1007" i="15"/>
  <c r="L1035" i="15"/>
  <c r="L1044" i="15"/>
  <c r="L1017" i="15"/>
  <c r="L1094" i="15"/>
  <c r="L206" i="15"/>
  <c r="L232" i="15"/>
  <c r="L1029" i="15"/>
  <c r="L1004" i="15"/>
  <c r="L1052" i="15"/>
  <c r="L1063" i="15"/>
  <c r="L333" i="15"/>
  <c r="L199" i="15"/>
  <c r="L1103" i="15"/>
  <c r="L302" i="15"/>
  <c r="L1064" i="15"/>
  <c r="L1055" i="15"/>
  <c r="L1099" i="15"/>
  <c r="L1105" i="15"/>
  <c r="L1089" i="15"/>
  <c r="L1008" i="15"/>
  <c r="L1012" i="15"/>
  <c r="L218" i="15"/>
  <c r="L310" i="15"/>
  <c r="L1031" i="15"/>
  <c r="L1049" i="15"/>
  <c r="L1034" i="15"/>
  <c r="L223" i="15"/>
  <c r="L1061" i="15"/>
  <c r="L334" i="15"/>
  <c r="L237" i="15"/>
  <c r="L1025" i="15"/>
  <c r="L1087" i="15"/>
  <c r="L1036" i="15"/>
  <c r="L204" i="15"/>
  <c r="L280" i="15"/>
  <c r="L287" i="15"/>
  <c r="L281" i="15"/>
  <c r="L282" i="15"/>
  <c r="L288" i="15"/>
  <c r="L1026" i="15"/>
  <c r="L212" i="15"/>
  <c r="L1046" i="15"/>
  <c r="L1040" i="15"/>
  <c r="L1226" i="15"/>
  <c r="L1039" i="15"/>
  <c r="L1010" i="15"/>
  <c r="L184" i="15"/>
  <c r="L1084" i="15"/>
  <c r="L1011" i="15"/>
  <c r="L1068" i="15"/>
  <c r="L1120" i="15"/>
  <c r="L1122" i="15"/>
  <c r="L1123" i="15"/>
  <c r="L1121" i="15"/>
  <c r="L1119" i="15"/>
  <c r="L1124" i="15"/>
  <c r="L1125" i="15"/>
  <c r="L1126" i="15"/>
  <c r="L1155" i="15"/>
  <c r="L1127" i="15"/>
  <c r="L1128" i="15"/>
  <c r="L1129" i="15"/>
  <c r="L1130" i="15"/>
  <c r="L1131" i="15"/>
  <c r="L1150" i="15"/>
  <c r="L1132" i="15"/>
  <c r="L1133" i="15"/>
  <c r="L1134" i="15"/>
  <c r="L1135" i="15"/>
  <c r="L1136" i="15"/>
  <c r="L1151" i="15"/>
  <c r="L1137" i="15"/>
  <c r="L1138" i="15"/>
  <c r="L1139" i="15"/>
  <c r="L1152" i="15"/>
  <c r="L1140" i="15"/>
  <c r="L1141" i="15"/>
  <c r="L1142" i="15"/>
  <c r="L1143" i="15"/>
  <c r="L1144" i="15"/>
  <c r="L1145" i="15"/>
  <c r="L1146" i="15"/>
  <c r="L1147" i="15"/>
  <c r="L1148" i="15"/>
  <c r="L1149" i="15"/>
  <c r="L1153" i="15"/>
  <c r="L1154" i="15"/>
  <c r="L1156" i="15"/>
  <c r="L1157" i="15"/>
  <c r="L1158" i="15"/>
  <c r="L1169" i="15"/>
  <c r="L1162" i="15"/>
  <c r="L1202" i="15"/>
  <c r="L1204" i="15"/>
  <c r="L1203" i="15"/>
  <c r="L1164" i="15"/>
  <c r="L1173" i="15"/>
  <c r="L1172" i="15"/>
  <c r="L1174" i="15"/>
  <c r="L1171" i="15"/>
  <c r="L1205" i="15"/>
  <c r="L1175" i="15"/>
  <c r="L1176" i="15"/>
  <c r="L1211" i="15"/>
  <c r="L1177" i="15"/>
  <c r="L1178" i="15"/>
  <c r="L1179" i="15"/>
  <c r="L1180" i="15"/>
  <c r="L1181" i="15"/>
  <c r="L1182" i="15"/>
  <c r="L1183" i="15"/>
  <c r="L1184" i="15"/>
  <c r="L1185" i="15"/>
  <c r="L1206" i="15"/>
  <c r="L1207" i="15"/>
  <c r="L1159" i="15"/>
  <c r="L1186" i="15"/>
  <c r="L1187" i="15"/>
  <c r="L1188" i="15"/>
  <c r="L1189" i="15"/>
  <c r="L1190" i="15"/>
  <c r="L1191" i="15"/>
  <c r="L1213" i="15"/>
  <c r="L1210" i="15"/>
  <c r="L1216" i="15"/>
  <c r="L1194" i="15"/>
  <c r="L1160" i="15"/>
  <c r="L1192" i="15"/>
  <c r="L1193" i="15"/>
  <c r="L1195" i="15"/>
  <c r="L1214" i="15"/>
  <c r="L1196" i="15"/>
  <c r="L1197" i="15"/>
  <c r="L1168" i="15"/>
  <c r="L1198" i="15"/>
  <c r="L1199" i="15"/>
  <c r="L1200" i="15"/>
  <c r="L1201" i="15"/>
  <c r="L1212" i="15"/>
  <c r="L1167" i="15"/>
  <c r="L1161" i="15"/>
  <c r="L1170" i="15"/>
  <c r="L1215" i="15"/>
  <c r="L1208" i="15"/>
  <c r="L1209" i="15"/>
  <c r="L1163" i="15"/>
  <c r="L1165" i="15"/>
  <c r="L1166" i="15"/>
  <c r="L1219" i="15"/>
  <c r="L1218" i="15"/>
  <c r="L1220" i="15"/>
  <c r="L1217" i="15"/>
  <c r="L1228" i="15"/>
  <c r="L1229" i="15"/>
  <c r="L339" i="15"/>
  <c r="L1230" i="15"/>
  <c r="L1232" i="15"/>
  <c r="L1231" i="15"/>
  <c r="L1233" i="15"/>
  <c r="L1225" i="15"/>
  <c r="L1224" i="15"/>
  <c r="L4" i="15"/>
  <c r="L5" i="15"/>
  <c r="L1227" i="15"/>
  <c r="L1115" i="15"/>
  <c r="L1111" i="15"/>
  <c r="L1107" i="15"/>
  <c r="L1116" i="15"/>
  <c r="L1108" i="15"/>
  <c r="L1112" i="15"/>
  <c r="L1113" i="15"/>
  <c r="L1117" i="15"/>
  <c r="L1109" i="15"/>
  <c r="L1114" i="15"/>
  <c r="L1106" i="15"/>
  <c r="L1110" i="15"/>
  <c r="L1254" i="15"/>
  <c r="L1255" i="15"/>
  <c r="L1256" i="15"/>
  <c r="L2" i="15"/>
  <c r="L1248" i="15"/>
  <c r="L1251" i="15"/>
  <c r="L1258" i="15"/>
  <c r="L1237" i="15"/>
  <c r="L1260" i="15"/>
  <c r="L1249" i="15"/>
  <c r="L1266" i="15"/>
  <c r="L1257" i="15"/>
  <c r="L1253" i="15"/>
  <c r="L1265" i="15"/>
  <c r="L3" i="15"/>
  <c r="L1263" i="15"/>
  <c r="L1448" i="15"/>
  <c r="L1261" i="15"/>
  <c r="L1236" i="15"/>
  <c r="L1235" i="15"/>
  <c r="L1234" i="15"/>
  <c r="L1446" i="15"/>
  <c r="L1449" i="15"/>
  <c r="L1447" i="15"/>
  <c r="L1259" i="15"/>
  <c r="L1250" i="15"/>
  <c r="L1264" i="15"/>
  <c r="L1242" i="15"/>
  <c r="L1072" i="15"/>
  <c r="L1252" i="15"/>
  <c r="L1262" i="15"/>
  <c r="L1267" i="15"/>
  <c r="L1268" i="15"/>
  <c r="L1118" i="15"/>
  <c r="L1243" i="15"/>
  <c r="L1244" i="15"/>
  <c r="L1245" i="15"/>
  <c r="L1238" i="15"/>
  <c r="L1239" i="15"/>
  <c r="L1241" i="15"/>
  <c r="K1131" i="15"/>
  <c r="F22" i="10"/>
  <c r="F23" i="10"/>
  <c r="G74" i="9"/>
  <c r="U1450" i="15" l="1"/>
  <c r="Y1450" i="15"/>
</calcChain>
</file>

<file path=xl/sharedStrings.xml><?xml version="1.0" encoding="utf-8"?>
<sst xmlns="http://schemas.openxmlformats.org/spreadsheetml/2006/main" count="51268" uniqueCount="9386">
  <si>
    <t>Oxford</t>
  </si>
  <si>
    <t>London</t>
  </si>
  <si>
    <t>1173-1200</t>
  </si>
  <si>
    <t>1188-1201</t>
  </si>
  <si>
    <t>1194?</t>
  </si>
  <si>
    <t>1187-1205</t>
  </si>
  <si>
    <t>1208?</t>
  </si>
  <si>
    <t>shelfmark</t>
  </si>
  <si>
    <t>year</t>
  </si>
  <si>
    <t>loc</t>
  </si>
  <si>
    <t>1288-1300</t>
  </si>
  <si>
    <t>Italy</t>
  </si>
  <si>
    <t>England</t>
  </si>
  <si>
    <t>Canterbury, England</t>
  </si>
  <si>
    <t>bodl. Add. B. 62</t>
  </si>
  <si>
    <t>bodl. Add. C. 142</t>
  </si>
  <si>
    <t xml:space="preserve">bodl. Add. A . 197 </t>
  </si>
  <si>
    <t>1203-1218</t>
  </si>
  <si>
    <t>bodl. Add. D. 104</t>
  </si>
  <si>
    <t xml:space="preserve">bodl. Add. E. 14 ( R ) </t>
  </si>
  <si>
    <t>1272-1301</t>
  </si>
  <si>
    <t>1265-1277</t>
  </si>
  <si>
    <t>Paris, France</t>
  </si>
  <si>
    <t>c. 1292</t>
  </si>
  <si>
    <t>1161-1173/1168?</t>
  </si>
  <si>
    <t>Hyde, England</t>
  </si>
  <si>
    <t>1139-1158</t>
  </si>
  <si>
    <t>St. Albans, England</t>
  </si>
  <si>
    <t>1158-1164</t>
  </si>
  <si>
    <t>Reading, England</t>
  </si>
  <si>
    <t>Corfe Castle, England</t>
  </si>
  <si>
    <t>1173-1176</t>
  </si>
  <si>
    <t>Paris?, France</t>
  </si>
  <si>
    <t>1164-1170</t>
  </si>
  <si>
    <t>Worcester, England</t>
  </si>
  <si>
    <t>Malmesbury, England</t>
  </si>
  <si>
    <t>c.1048-1078</t>
  </si>
  <si>
    <t>Metz, France</t>
  </si>
  <si>
    <t>Ox I 12</t>
  </si>
  <si>
    <t>c. 1264</t>
  </si>
  <si>
    <t>Hyde Abbey, England</t>
  </si>
  <si>
    <t>Rochester, England</t>
  </si>
  <si>
    <t>993?</t>
  </si>
  <si>
    <t>France?</t>
  </si>
  <si>
    <t>1131-1134?</t>
  </si>
  <si>
    <t>Bury St. Edmunds, England</t>
  </si>
  <si>
    <t>c. 1075</t>
  </si>
  <si>
    <t>Vendome, France</t>
  </si>
  <si>
    <t>c. 1124-1133</t>
  </si>
  <si>
    <t>979?</t>
  </si>
  <si>
    <t>Glastonbury, England</t>
  </si>
  <si>
    <t>1302-1303</t>
  </si>
  <si>
    <t>Osney, England</t>
  </si>
  <si>
    <t>Ox I 20</t>
  </si>
  <si>
    <t>Chester, England</t>
  </si>
  <si>
    <t>1283-c. 1294</t>
  </si>
  <si>
    <t>Gascony?, France</t>
  </si>
  <si>
    <t>Gremona?, Italy</t>
  </si>
  <si>
    <t>1081-1086</t>
  </si>
  <si>
    <t>Zadar, Croatia</t>
  </si>
  <si>
    <t>c.1154-1173</t>
  </si>
  <si>
    <t>Scharzach am Main, Germany</t>
  </si>
  <si>
    <t>1072/1091-1102</t>
  </si>
  <si>
    <t>997-1018</t>
  </si>
  <si>
    <t>Upper Austria?</t>
  </si>
  <si>
    <t>Hirsau?, Germany</t>
  </si>
  <si>
    <t>1200-1216?</t>
  </si>
  <si>
    <t>Moggio, Italy</t>
  </si>
  <si>
    <t>Ox I 45</t>
  </si>
  <si>
    <t>c. 1228</t>
  </si>
  <si>
    <t>dioc. Of Udine, Italy</t>
  </si>
  <si>
    <t>1131-1175</t>
  </si>
  <si>
    <t>Bavaria?, Germany</t>
  </si>
  <si>
    <t>Padua, Italy</t>
  </si>
  <si>
    <t>Ox I 46</t>
  </si>
  <si>
    <t>Veneto?, Italy</t>
  </si>
  <si>
    <t>1055/1056-1074</t>
  </si>
  <si>
    <t>Milan, Italy</t>
  </si>
  <si>
    <t>Acquanegra?, Italy</t>
  </si>
  <si>
    <t>Oxford?, England</t>
  </si>
  <si>
    <t>Ox I 67</t>
  </si>
  <si>
    <t>c.1164-1168</t>
  </si>
  <si>
    <t>England/Wales</t>
  </si>
  <si>
    <t>988-1006</t>
  </si>
  <si>
    <t>1272-1282</t>
  </si>
  <si>
    <t>Dioc. Of Worcester, England</t>
  </si>
  <si>
    <t>1067?</t>
  </si>
  <si>
    <t>Moissac, France</t>
  </si>
  <si>
    <t>Noyon, France</t>
  </si>
  <si>
    <t>Ox I 72</t>
  </si>
  <si>
    <t>c.1260-1270</t>
  </si>
  <si>
    <t>Oxford, England</t>
  </si>
  <si>
    <t>c. 1260</t>
  </si>
  <si>
    <t>1254-1272</t>
  </si>
  <si>
    <t>1225-1226?</t>
  </si>
  <si>
    <t>Durham, England</t>
  </si>
  <si>
    <t>Ox I 75</t>
  </si>
  <si>
    <t>1015-1036</t>
  </si>
  <si>
    <t>Crowland, England</t>
  </si>
  <si>
    <t>Ox I 76</t>
  </si>
  <si>
    <t>Ox I 84</t>
  </si>
  <si>
    <t>940-957?</t>
  </si>
  <si>
    <t>1064-1083</t>
  </si>
  <si>
    <t>c. 1219</t>
  </si>
  <si>
    <t>France</t>
  </si>
  <si>
    <t>c. 1255-1260</t>
  </si>
  <si>
    <t>Cornwall, England</t>
  </si>
  <si>
    <t>Bredelar, Germany</t>
  </si>
  <si>
    <t>St. Denis, France</t>
  </si>
  <si>
    <t>Alzey, Germany</t>
  </si>
  <si>
    <t>c. 1182</t>
  </si>
  <si>
    <t>Pohlde, Germany</t>
  </si>
  <si>
    <t>Peterborough, England</t>
  </si>
  <si>
    <t>1273-1274?</t>
  </si>
  <si>
    <t>dioc. Of Bayeux, France</t>
  </si>
  <si>
    <t>Southern France</t>
  </si>
  <si>
    <t>northern Italy</t>
  </si>
  <si>
    <t>Ox I 103</t>
  </si>
  <si>
    <t>c. 1265</t>
  </si>
  <si>
    <t>1108-1126</t>
  </si>
  <si>
    <t>c. 1177</t>
  </si>
  <si>
    <t>London, England</t>
  </si>
  <si>
    <t>1093, 1094-1215</t>
  </si>
  <si>
    <t>Emly? &amp; Inisfallen, Ireland</t>
  </si>
  <si>
    <t>"Rem.", France</t>
  </si>
  <si>
    <t>1288-1297</t>
  </si>
  <si>
    <t>1171-1177?</t>
  </si>
  <si>
    <t>1240-1248</t>
  </si>
  <si>
    <t>c. 1250-1252</t>
  </si>
  <si>
    <t>England?</t>
  </si>
  <si>
    <t>1192-1193?</t>
  </si>
  <si>
    <t>1286/c. 1290-1296</t>
  </si>
  <si>
    <t>Ox I 121</t>
  </si>
  <si>
    <t>Buildwas, England</t>
  </si>
  <si>
    <t>1196-1197</t>
  </si>
  <si>
    <t>Eynsham, England</t>
  </si>
  <si>
    <t>Ashmole 399</t>
  </si>
  <si>
    <t>Auct. D. 4. 6</t>
  </si>
  <si>
    <t>Auct. E. inf. 6</t>
  </si>
  <si>
    <t>Auct. E. inf. 7</t>
  </si>
  <si>
    <t>Auct. T. 1. 23</t>
  </si>
  <si>
    <t>Barlow 6</t>
  </si>
  <si>
    <t>Bodley 297</t>
  </si>
  <si>
    <t>Bodley 309</t>
  </si>
  <si>
    <t>Bodley 345</t>
  </si>
  <si>
    <t>Bodley 399</t>
  </si>
  <si>
    <t>Bodley 406</t>
  </si>
  <si>
    <t>Bodley 655</t>
  </si>
  <si>
    <t>Bodley 672</t>
  </si>
  <si>
    <t>Bodley 917</t>
  </si>
  <si>
    <t>Canon. Bibl. Lat. 56</t>
  </si>
  <si>
    <t>Canon. Bibl. Lat. 61</t>
  </si>
  <si>
    <t>Canon. Liturg. 297</t>
  </si>
  <si>
    <t>Canon. Liturg. 277</t>
  </si>
  <si>
    <t>Canon. Liturg. 319</t>
  </si>
  <si>
    <t>Canon. Liturg. 325</t>
  </si>
  <si>
    <t>Canon. Liturg. 340</t>
  </si>
  <si>
    <t>Canon. Liturg. 346</t>
  </si>
  <si>
    <t>Canon. Liturg. 354</t>
  </si>
  <si>
    <t>Canon. Liturg. 370</t>
  </si>
  <si>
    <t>Canon. Misc. 230</t>
  </si>
  <si>
    <t>Canon. Misc. 560</t>
  </si>
  <si>
    <t>Canon. Pat. Lat. 148</t>
  </si>
  <si>
    <t>Digby 2</t>
  </si>
  <si>
    <t>Digby 86</t>
  </si>
  <si>
    <t>D'Orville 45</t>
  </si>
  <si>
    <t>Douce 94</t>
  </si>
  <si>
    <t>Douce 132</t>
  </si>
  <si>
    <t>Douce 180</t>
  </si>
  <si>
    <t>Douce 270</t>
  </si>
  <si>
    <t>Douce 296</t>
  </si>
  <si>
    <t>Hatton 30</t>
  </si>
  <si>
    <t>Hatton 113</t>
  </si>
  <si>
    <t>Hatton 114</t>
  </si>
  <si>
    <t>Junius 121</t>
  </si>
  <si>
    <t>Lat. bib. f. 3</t>
  </si>
  <si>
    <t>Lat. liturg. f. 26</t>
  </si>
  <si>
    <t>Lat. Th. E. 5</t>
  </si>
  <si>
    <t>Laud Misc. 415</t>
  </si>
  <si>
    <t>Laud Misc. 605</t>
  </si>
  <si>
    <t>Laud Misc. 644</t>
  </si>
  <si>
    <t>Laud Misc. 646</t>
  </si>
  <si>
    <t>eMusaeo 112</t>
  </si>
  <si>
    <t>eMusaeo 185</t>
  </si>
  <si>
    <t>eMusaeo 249</t>
  </si>
  <si>
    <t>Rawlinson C. 819</t>
  </si>
  <si>
    <t>Rawlinson Q. f. 8</t>
  </si>
  <si>
    <t>Savile 22</t>
  </si>
  <si>
    <t xml:space="preserve">Archivum Seldenianum B. 16 </t>
  </si>
  <si>
    <t xml:space="preserve">Tanner 169* </t>
  </si>
  <si>
    <t>Balliol College 119</t>
  </si>
  <si>
    <t>1266-1277</t>
  </si>
  <si>
    <t>Paris, France?</t>
  </si>
  <si>
    <t>Jesus College 26</t>
  </si>
  <si>
    <t>1119-1124</t>
  </si>
  <si>
    <t>Cirencester?, England</t>
  </si>
  <si>
    <t>Jesus College 52</t>
  </si>
  <si>
    <t>1149-1176</t>
  </si>
  <si>
    <t>Cirencester, England</t>
  </si>
  <si>
    <t>Ox I 133</t>
  </si>
  <si>
    <t>Jesus College 53</t>
  </si>
  <si>
    <t>1147/1168-1176</t>
  </si>
  <si>
    <t>Jesus College 63</t>
  </si>
  <si>
    <t>Jesus College 67</t>
  </si>
  <si>
    <t>Jesus College 68</t>
  </si>
  <si>
    <t>Jesus College 70</t>
  </si>
  <si>
    <t>Keble College 49</t>
  </si>
  <si>
    <t>1267-1276</t>
  </si>
  <si>
    <t>Regensburg?, Germany</t>
  </si>
  <si>
    <t>Lincoln College Lat. 100</t>
  </si>
  <si>
    <t>c. 1125?</t>
  </si>
  <si>
    <t>New College 3</t>
  </si>
  <si>
    <t>Troyes, France</t>
  </si>
  <si>
    <t>Ox I 141</t>
  </si>
  <si>
    <t>New College 4</t>
  </si>
  <si>
    <t>New College 5</t>
  </si>
  <si>
    <t>New College 6</t>
  </si>
  <si>
    <t>St Edmund Hall Kk. 60</t>
  </si>
  <si>
    <t>St. John's College 17</t>
  </si>
  <si>
    <t>1083/1086-1092</t>
  </si>
  <si>
    <t>Ramsey?, England</t>
  </si>
  <si>
    <t>St. John's College 49</t>
  </si>
  <si>
    <t>1158-1169</t>
  </si>
  <si>
    <t>Northern France?</t>
  </si>
  <si>
    <t>Wadham College 1 (A. 5. 2)</t>
  </si>
  <si>
    <t>Ox I 147</t>
  </si>
  <si>
    <t>city_lib</t>
  </si>
  <si>
    <t>1225-1232</t>
  </si>
  <si>
    <t>Barnwell, England</t>
  </si>
  <si>
    <t>1286-1296</t>
  </si>
  <si>
    <t>College of Arms Arundel 60</t>
  </si>
  <si>
    <t>Newstead, England</t>
  </si>
  <si>
    <t>CLRO Cust. 1</t>
  </si>
  <si>
    <t>c. 1268-1274</t>
  </si>
  <si>
    <t>1221-1231</t>
  </si>
  <si>
    <t>Chester?, England</t>
  </si>
  <si>
    <t>Guildhall 1362</t>
  </si>
  <si>
    <t>1290-1307</t>
  </si>
  <si>
    <t>Inner Temple, Petyt 511/9</t>
  </si>
  <si>
    <t>1285-1295</t>
  </si>
  <si>
    <t>Lambeth Palace 8</t>
  </si>
  <si>
    <t>Abingdon, England</t>
  </si>
  <si>
    <t>Lambeth Palace 51</t>
  </si>
  <si>
    <t>1200-1221</t>
  </si>
  <si>
    <t>Lambeth Palace 109</t>
  </si>
  <si>
    <t>c. 1155-1176</t>
  </si>
  <si>
    <t>Lambeth Palace 209</t>
  </si>
  <si>
    <t>1252-1267?</t>
  </si>
  <si>
    <t>London?, England</t>
  </si>
  <si>
    <t>1120-c.1143</t>
  </si>
  <si>
    <t>Lambeth Palace 236</t>
  </si>
  <si>
    <t>1215-1223</t>
  </si>
  <si>
    <t>Lincoln?, England</t>
  </si>
  <si>
    <t>BL I 47</t>
  </si>
  <si>
    <t>Lambeth Palace 415</t>
  </si>
  <si>
    <t>1201-1205?</t>
  </si>
  <si>
    <t>Lambeth Palace 489</t>
  </si>
  <si>
    <t>1050-1072</t>
  </si>
  <si>
    <t>Exeter, England</t>
  </si>
  <si>
    <t>Lambeth Palace 499</t>
  </si>
  <si>
    <t>1273-1284</t>
  </si>
  <si>
    <t>Stanlaw, England</t>
  </si>
  <si>
    <t>1279-c.1300</t>
  </si>
  <si>
    <t>Lincoln's Inn Hall 135</t>
  </si>
  <si>
    <t>1285-1290</t>
  </si>
  <si>
    <t>Lincoln's Inn Misc. 1</t>
  </si>
  <si>
    <t>1285-1292</t>
  </si>
  <si>
    <t>London/Westminster, England</t>
  </si>
  <si>
    <t>Ox I 17</t>
  </si>
  <si>
    <t>Ox II 14</t>
  </si>
  <si>
    <t>Ox II 16</t>
  </si>
  <si>
    <t>Ox II 18</t>
  </si>
  <si>
    <t>Ox II 19</t>
  </si>
  <si>
    <t>Ox II 20</t>
  </si>
  <si>
    <t>Ox II 21</t>
  </si>
  <si>
    <t>Ox II 22</t>
  </si>
  <si>
    <t>Ox II 23</t>
  </si>
  <si>
    <t>Ox II 24</t>
  </si>
  <si>
    <t>Ox II 26</t>
  </si>
  <si>
    <t>Ox II 27</t>
  </si>
  <si>
    <t>Ox II 28</t>
  </si>
  <si>
    <t>Ox II 30</t>
  </si>
  <si>
    <t>Ox II 31</t>
  </si>
  <si>
    <t>Ox II 32</t>
  </si>
  <si>
    <t>Ox II 33</t>
  </si>
  <si>
    <t>Ox II 36</t>
  </si>
  <si>
    <t>Ox II 37</t>
  </si>
  <si>
    <t>Ox II 38</t>
  </si>
  <si>
    <t>1049-c. 1072</t>
  </si>
  <si>
    <t>Jumieges, France</t>
  </si>
  <si>
    <t>Ox II 39</t>
  </si>
  <si>
    <t>Ox II 25a</t>
  </si>
  <si>
    <t>Ox II 25b</t>
  </si>
  <si>
    <t>Ox II 43</t>
  </si>
  <si>
    <t>Ox II 45</t>
  </si>
  <si>
    <t>Ox II 50</t>
  </si>
  <si>
    <t>Ox II 51</t>
  </si>
  <si>
    <t>Ox II 52</t>
  </si>
  <si>
    <t>Ox II 53</t>
  </si>
  <si>
    <t>1135-1143</t>
  </si>
  <si>
    <t>Corpus Christi College 157 [p. 388]</t>
  </si>
  <si>
    <t>Ox II 54</t>
  </si>
  <si>
    <t>1177-1182</t>
  </si>
  <si>
    <t>Ox II 57</t>
  </si>
  <si>
    <t>Ox II 58</t>
  </si>
  <si>
    <t>Ox II 56</t>
  </si>
  <si>
    <t>Ox II 59</t>
  </si>
  <si>
    <t>Ox II 60</t>
  </si>
  <si>
    <t>Ox II 61</t>
  </si>
  <si>
    <t>(1122-1131), 1155?</t>
  </si>
  <si>
    <t>Ox II 62</t>
  </si>
  <si>
    <t>1121, (1122-1131)</t>
  </si>
  <si>
    <t>Ox II 64</t>
  </si>
  <si>
    <t>Ox II 65</t>
  </si>
  <si>
    <t>Ox II 70</t>
  </si>
  <si>
    <t>Ox II 71</t>
  </si>
  <si>
    <t>Ox II 73</t>
  </si>
  <si>
    <t>Ox II 72</t>
  </si>
  <si>
    <t>Ox II 77</t>
  </si>
  <si>
    <t>Ox II 78</t>
  </si>
  <si>
    <t>Ox II 79</t>
  </si>
  <si>
    <t>Ox II 82</t>
  </si>
  <si>
    <t>Ox II 83</t>
  </si>
  <si>
    <t>Ox II 85</t>
  </si>
  <si>
    <t>Ox II 89</t>
  </si>
  <si>
    <t>Ox II 90</t>
  </si>
  <si>
    <t>Ox II 87</t>
  </si>
  <si>
    <t>Ox II 92</t>
  </si>
  <si>
    <t>Ox II 93</t>
  </si>
  <si>
    <t>Ox II 94</t>
  </si>
  <si>
    <t>Ox II 95</t>
  </si>
  <si>
    <t>Ox II 96</t>
  </si>
  <si>
    <t>Ox II 97</t>
  </si>
  <si>
    <t>Lat. liturg. f. 1</t>
  </si>
  <si>
    <t>Ox II 98</t>
  </si>
  <si>
    <t>Ox II 99</t>
  </si>
  <si>
    <t>Ox II 100</t>
  </si>
  <si>
    <t>Ox II 101</t>
  </si>
  <si>
    <t>Ox II 102</t>
  </si>
  <si>
    <t>Ox II 103</t>
  </si>
  <si>
    <t>Bologna?, Italy</t>
  </si>
  <si>
    <t>Lat. Th. B. 4</t>
  </si>
  <si>
    <t>Ox II 104</t>
  </si>
  <si>
    <t>Ox II 105</t>
  </si>
  <si>
    <t>Ox II 106</t>
  </si>
  <si>
    <t>Ox II 107</t>
  </si>
  <si>
    <t>Ox II 108</t>
  </si>
  <si>
    <t>Ox II 109</t>
  </si>
  <si>
    <t>Ox II 110</t>
  </si>
  <si>
    <t>Ox II 111</t>
  </si>
  <si>
    <t>Ox II 112</t>
  </si>
  <si>
    <t>Ox II 114</t>
  </si>
  <si>
    <t>Ox II 113</t>
  </si>
  <si>
    <t>Ox II 116</t>
  </si>
  <si>
    <t>Ox II 115</t>
  </si>
  <si>
    <t>Ox II 117</t>
  </si>
  <si>
    <t>Ox II 118</t>
  </si>
  <si>
    <t>Ox II 120</t>
  </si>
  <si>
    <t>Ox II 119</t>
  </si>
  <si>
    <t>Ox II 121</t>
  </si>
  <si>
    <t>Ox II 122</t>
  </si>
  <si>
    <t>Ox II 123</t>
  </si>
  <si>
    <t>Ox II 125</t>
  </si>
  <si>
    <t>Ox II 126</t>
  </si>
  <si>
    <t>Ox II 127</t>
  </si>
  <si>
    <t>Ox II 128</t>
  </si>
  <si>
    <t>Ox II 129</t>
  </si>
  <si>
    <t>Ox II 130</t>
  </si>
  <si>
    <t>Ox II 131</t>
  </si>
  <si>
    <t>Ox II 132</t>
  </si>
  <si>
    <t>Ox II 133</t>
  </si>
  <si>
    <t>Ox II 134</t>
  </si>
  <si>
    <t>Ox II 135</t>
  </si>
  <si>
    <t>Ox II 136</t>
  </si>
  <si>
    <t>Ox II 137</t>
  </si>
  <si>
    <t>Ox II 138</t>
  </si>
  <si>
    <t>Ox II 141</t>
  </si>
  <si>
    <t>Ox II 142</t>
  </si>
  <si>
    <t>Ox II 143</t>
  </si>
  <si>
    <t>Ox II 146</t>
  </si>
  <si>
    <t>Ox II 147</t>
  </si>
  <si>
    <t>text_cmd</t>
  </si>
  <si>
    <t>Ox I 117</t>
  </si>
  <si>
    <t>Ox II 48</t>
  </si>
  <si>
    <t>c. 1217</t>
  </si>
  <si>
    <t>1221-1222</t>
  </si>
  <si>
    <t>betw. 1227 &amp; 1234</t>
  </si>
  <si>
    <t>betw. 1227 &amp; 1246</t>
  </si>
  <si>
    <t>betw. c. 1228 &amp; 1234</t>
  </si>
  <si>
    <t>betw. 1228 &amp; 1244</t>
  </si>
  <si>
    <t>c. 1230</t>
  </si>
  <si>
    <t>betw. 1238 &amp; 1261</t>
  </si>
  <si>
    <t>c.1244</t>
  </si>
  <si>
    <t>1246?</t>
  </si>
  <si>
    <t>betw..1246 &amp; 1259?</t>
  </si>
  <si>
    <t>betw. 1246 &amp; 1260</t>
  </si>
  <si>
    <t>c. 1251</t>
  </si>
  <si>
    <t>1252?</t>
  </si>
  <si>
    <t>1253?</t>
  </si>
  <si>
    <t>betw. 1253 &amp; 1260</t>
  </si>
  <si>
    <t>betw. 1255 &amp; 1259</t>
  </si>
  <si>
    <t>betw. 1255 &amp; 1266</t>
  </si>
  <si>
    <t>1261 or 1262</t>
  </si>
  <si>
    <t>1265?</t>
  </si>
  <si>
    <t>c. 1269</t>
  </si>
  <si>
    <t>betw. 1272 &amp; 1278</t>
  </si>
  <si>
    <t>betw. 1274 &amp; 1292</t>
  </si>
  <si>
    <t>1278 or 1279</t>
  </si>
  <si>
    <t>betw. c. 1280 &amp; 1283</t>
  </si>
  <si>
    <t>betw. 1283 &amp; 1300</t>
  </si>
  <si>
    <t>c.1284</t>
  </si>
  <si>
    <t>betw. 1293 &amp; 1300?</t>
  </si>
  <si>
    <t>betw. 1293 &amp; 1310?</t>
  </si>
  <si>
    <t>1296?</t>
  </si>
  <si>
    <t>1300?</t>
  </si>
  <si>
    <t>c. 1302</t>
  </si>
  <si>
    <t>1303?</t>
  </si>
  <si>
    <t>betw. 899 &amp; 939</t>
  </si>
  <si>
    <t>betw. 948 &amp; 994</t>
  </si>
  <si>
    <t>betw. 963 (or 971) &amp; 984</t>
  </si>
  <si>
    <t>betw. 972 &amp; 1023</t>
  </si>
  <si>
    <t>betw. 977 &amp; 979?</t>
  </si>
  <si>
    <t>c.990</t>
  </si>
  <si>
    <t>betw. c.995 &amp; 1016</t>
  </si>
  <si>
    <t>betw. 998 &amp; 1018?</t>
  </si>
  <si>
    <t>betw. 1003 &amp; 1023</t>
  </si>
  <si>
    <t>betw. 1008 &amp; 1023</t>
  </si>
  <si>
    <t>betw. 1012 &amp; 1023</t>
  </si>
  <si>
    <t>c. 1016</t>
  </si>
  <si>
    <t>betw. 1022 &amp; 1041</t>
  </si>
  <si>
    <t>betw. 1023 &amp; 1032</t>
  </si>
  <si>
    <t>1031?</t>
  </si>
  <si>
    <t>betw. 1034 &amp; 1046</t>
  </si>
  <si>
    <t>betw. c. 1045 and 1056</t>
  </si>
  <si>
    <t>betw. 1046 &amp; 1072</t>
  </si>
  <si>
    <t>1049 &amp; before 1049</t>
  </si>
  <si>
    <t>betw. 1061 &amp; 1088</t>
  </si>
  <si>
    <t>soon after 1073</t>
  </si>
  <si>
    <t>c. 1073-1109</t>
  </si>
  <si>
    <t>1094-1097</t>
  </si>
  <si>
    <t>c. 1096</t>
  </si>
  <si>
    <t>c. 1100</t>
  </si>
  <si>
    <t>soon after 1100</t>
  </si>
  <si>
    <t>c. 1100-1110</t>
  </si>
  <si>
    <t>c. 1105</t>
  </si>
  <si>
    <t>betw. 1108 &amp; 1114</t>
  </si>
  <si>
    <t>betw. c.1115 &amp; 1124</t>
  </si>
  <si>
    <t>betw. 1119 &amp; 1146</t>
  </si>
  <si>
    <t>c.1120</t>
  </si>
  <si>
    <t>1120-1163</t>
  </si>
  <si>
    <t>betw. 1122 &amp; 1135?</t>
  </si>
  <si>
    <t>c. 1130</t>
  </si>
  <si>
    <t>1131?</t>
  </si>
  <si>
    <t>betw. 1131 &amp; 1143</t>
  </si>
  <si>
    <t>1140?</t>
  </si>
  <si>
    <t>soon after 1146</t>
  </si>
  <si>
    <t>betw. 1147 &amp; 1176</t>
  </si>
  <si>
    <t>betw. 1150 &amp; 1153</t>
  </si>
  <si>
    <t>betw. 1153 &amp; 1195?</t>
  </si>
  <si>
    <t>c.1155</t>
  </si>
  <si>
    <t>betw. 1167 &amp; 1183</t>
  </si>
  <si>
    <t>betw. 1168 &amp; 1189</t>
  </si>
  <si>
    <t>1169?</t>
  </si>
  <si>
    <t>c. 1172</t>
  </si>
  <si>
    <t>c. 1172-1173</t>
  </si>
  <si>
    <t>betw. 1173 &amp; 1192</t>
  </si>
  <si>
    <t>betw. 1173 &amp; 1220?</t>
  </si>
  <si>
    <t>1181 or 1182</t>
  </si>
  <si>
    <t>c. 1190-1195</t>
  </si>
  <si>
    <t>1191 or 1192</t>
  </si>
  <si>
    <t>betw. 1192 &amp; 1202</t>
  </si>
  <si>
    <t>c.1195</t>
  </si>
  <si>
    <t>1198?</t>
  </si>
  <si>
    <t>betw. c. 1200 &amp; 1211</t>
  </si>
  <si>
    <t>1205-1207?</t>
  </si>
  <si>
    <t>betw. c. 1207 &amp; 1212</t>
  </si>
  <si>
    <t>betw. 1208 &amp; 1215</t>
  </si>
  <si>
    <t>1212?</t>
  </si>
  <si>
    <t>1216?</t>
  </si>
  <si>
    <t>before 985 &amp; betw. 988 &amp; 1008?</t>
  </si>
  <si>
    <t>betw. 1121 (or 1129) &amp; 1161</t>
  </si>
  <si>
    <t>betw. 1228 &amp; 1245</t>
  </si>
  <si>
    <t>betw. 1238 &amp; 1262</t>
  </si>
  <si>
    <t>betw. 1250 &amp; 1260</t>
  </si>
  <si>
    <t>date_str</t>
  </si>
  <si>
    <t>cmd_pl</t>
  </si>
  <si>
    <t>BL I 532</t>
  </si>
  <si>
    <t>BL II 13ab</t>
  </si>
  <si>
    <t>919</t>
  </si>
  <si>
    <t>BL I 305</t>
  </si>
  <si>
    <t>BL II 15</t>
  </si>
  <si>
    <t>BL I 278</t>
  </si>
  <si>
    <t>BL II 18</t>
  </si>
  <si>
    <t>BL I 421</t>
  </si>
  <si>
    <t>BL II 19ab</t>
  </si>
  <si>
    <t>BL I 562</t>
  </si>
  <si>
    <t>BL II 2</t>
  </si>
  <si>
    <t>BL I 629</t>
  </si>
  <si>
    <t>BL II 21</t>
  </si>
  <si>
    <t>BL I 549</t>
  </si>
  <si>
    <t>BL II 22</t>
  </si>
  <si>
    <t>BL I 381</t>
  </si>
  <si>
    <t>BL II 23</t>
  </si>
  <si>
    <t>BL I 877</t>
  </si>
  <si>
    <t>BL II 24</t>
  </si>
  <si>
    <t>BL I 556</t>
  </si>
  <si>
    <t>BL II 26</t>
  </si>
  <si>
    <t>BL I 628</t>
  </si>
  <si>
    <t>BL II 27</t>
  </si>
  <si>
    <t>BL I 538</t>
  </si>
  <si>
    <t>BL II 28a-d</t>
  </si>
  <si>
    <t>BL I 518</t>
  </si>
  <si>
    <t>BL II 29ab</t>
  </si>
  <si>
    <t>BL I 447</t>
  </si>
  <si>
    <t>BL II 30</t>
  </si>
  <si>
    <t>BL I 550</t>
  </si>
  <si>
    <t>BL II 31a-d</t>
  </si>
  <si>
    <t>BL I 869</t>
  </si>
  <si>
    <t>BL II 32</t>
  </si>
  <si>
    <t>BL I 561</t>
  </si>
  <si>
    <t>BL II 35a-c</t>
  </si>
  <si>
    <t>BL I 948</t>
  </si>
  <si>
    <t>BL II 36ab</t>
  </si>
  <si>
    <t>1032</t>
  </si>
  <si>
    <t>BL I 743</t>
  </si>
  <si>
    <t>BL II 37</t>
  </si>
  <si>
    <t>BL I 342</t>
  </si>
  <si>
    <t>BL II 38</t>
  </si>
  <si>
    <t>BL I 552</t>
  </si>
  <si>
    <t>BL II 39ab</t>
  </si>
  <si>
    <t>BL I 322</t>
  </si>
  <si>
    <t>BL II 40</t>
  </si>
  <si>
    <t>BL I 524</t>
  </si>
  <si>
    <t>BL II 41</t>
  </si>
  <si>
    <t>BL I 573</t>
  </si>
  <si>
    <t>BL II 42</t>
  </si>
  <si>
    <t>BL I 638</t>
  </si>
  <si>
    <t>BL II 43</t>
  </si>
  <si>
    <t>BL I 718</t>
  </si>
  <si>
    <t>BL II 44</t>
  </si>
  <si>
    <t>BL I 873</t>
  </si>
  <si>
    <t>BL II 45</t>
  </si>
  <si>
    <t>BL I 575</t>
  </si>
  <si>
    <t>BL II 48</t>
  </si>
  <si>
    <t>BL I 517</t>
  </si>
  <si>
    <t>BL II 50</t>
  </si>
  <si>
    <t>BL I 61</t>
  </si>
  <si>
    <t>BL II 51</t>
  </si>
  <si>
    <t>BL I 321</t>
  </si>
  <si>
    <t>BL II 52ab</t>
  </si>
  <si>
    <t>BL I 551</t>
  </si>
  <si>
    <t>BL II 53ab</t>
  </si>
  <si>
    <t>1099</t>
  </si>
  <si>
    <t>BL I 436</t>
  </si>
  <si>
    <t>BL II 55</t>
  </si>
  <si>
    <t>BL I 400</t>
  </si>
  <si>
    <t>BL II 56</t>
  </si>
  <si>
    <t>BL I 792</t>
  </si>
  <si>
    <t>BL II 57ab</t>
  </si>
  <si>
    <t>BL I 577</t>
  </si>
  <si>
    <t>BL II 58</t>
  </si>
  <si>
    <t>BL I 540</t>
  </si>
  <si>
    <t>BL II 59ab</t>
  </si>
  <si>
    <t>BL I 875</t>
  </si>
  <si>
    <t>BL II 61</t>
  </si>
  <si>
    <t>BL I 872</t>
  </si>
  <si>
    <t>BL II 62</t>
  </si>
  <si>
    <t>BL I 627</t>
  </si>
  <si>
    <t>BL II 63a-b</t>
  </si>
  <si>
    <t>BL I 543</t>
  </si>
  <si>
    <t>BL II 64</t>
  </si>
  <si>
    <t>BL I 526</t>
  </si>
  <si>
    <t>BL II 65</t>
  </si>
  <si>
    <t>BL I 539</t>
  </si>
  <si>
    <t>BL II 66</t>
  </si>
  <si>
    <t>BL I 559</t>
  </si>
  <si>
    <t>BL II 67</t>
  </si>
  <si>
    <t>1129</t>
  </si>
  <si>
    <t>BL I 174</t>
  </si>
  <si>
    <t>BL II 68</t>
  </si>
  <si>
    <t>BL I 168</t>
  </si>
  <si>
    <t>BL II 69</t>
  </si>
  <si>
    <t>BL I 563</t>
  </si>
  <si>
    <t>BL II 70</t>
  </si>
  <si>
    <t>BL I 598</t>
  </si>
  <si>
    <t>BL II 71</t>
  </si>
  <si>
    <t>1134</t>
  </si>
  <si>
    <t>BL I 729</t>
  </si>
  <si>
    <t>BL II 72ab</t>
  </si>
  <si>
    <t>1136</t>
  </si>
  <si>
    <t>BL I 687</t>
  </si>
  <si>
    <t>BL II 73ab</t>
  </si>
  <si>
    <t>1138</t>
  </si>
  <si>
    <t>BL I 644</t>
  </si>
  <si>
    <t>BL II 74</t>
  </si>
  <si>
    <t>BL I 103</t>
  </si>
  <si>
    <t>BL II 75</t>
  </si>
  <si>
    <t>BL I 541</t>
  </si>
  <si>
    <t>BL II 76</t>
  </si>
  <si>
    <t>1142</t>
  </si>
  <si>
    <t>BL I 143</t>
  </si>
  <si>
    <t>BL II 77</t>
  </si>
  <si>
    <t>BL I 417</t>
  </si>
  <si>
    <t>BL II 78</t>
  </si>
  <si>
    <t>BL I 864</t>
  </si>
  <si>
    <t>BL II 79</t>
  </si>
  <si>
    <t>BL I 879</t>
  </si>
  <si>
    <t>BL II 80</t>
  </si>
  <si>
    <t>1148</t>
  </si>
  <si>
    <t>BL I 109</t>
  </si>
  <si>
    <t>BL II 8la-c</t>
  </si>
  <si>
    <t>BL I 706</t>
  </si>
  <si>
    <t>BL II 82</t>
  </si>
  <si>
    <t>BL I 574</t>
  </si>
  <si>
    <t>BL II 83</t>
  </si>
  <si>
    <t>BL I 370</t>
  </si>
  <si>
    <t>BL II 85ab</t>
  </si>
  <si>
    <t>BL I 194</t>
  </si>
  <si>
    <t>BL II 86</t>
  </si>
  <si>
    <t>1163</t>
  </si>
  <si>
    <t>BL I 125</t>
  </si>
  <si>
    <t>BL II 89ab</t>
  </si>
  <si>
    <t>BL I 891</t>
  </si>
  <si>
    <t>BL II 90a-c</t>
  </si>
  <si>
    <t>BL I 849</t>
  </si>
  <si>
    <t>BL II 91</t>
  </si>
  <si>
    <t>BL I 626</t>
  </si>
  <si>
    <t>BL II 92</t>
  </si>
  <si>
    <t>1171</t>
  </si>
  <si>
    <t>BL I 519</t>
  </si>
  <si>
    <t>BL II 93</t>
  </si>
  <si>
    <t>1172</t>
  </si>
  <si>
    <t>BL I 704</t>
  </si>
  <si>
    <t>BL II 94</t>
  </si>
  <si>
    <t>BL I 724</t>
  </si>
  <si>
    <t>BL II 96</t>
  </si>
  <si>
    <t>BL I 705</t>
  </si>
  <si>
    <t>BL II 95</t>
  </si>
  <si>
    <t>BL I 415</t>
  </si>
  <si>
    <t>BL II 99</t>
  </si>
  <si>
    <t>BL I 393</t>
  </si>
  <si>
    <t>BL II 100</t>
  </si>
  <si>
    <t>BL I 534</t>
  </si>
  <si>
    <t>BL II 101</t>
  </si>
  <si>
    <t>BL II 102</t>
  </si>
  <si>
    <t>BL I 860</t>
  </si>
  <si>
    <t>1176</t>
  </si>
  <si>
    <t>BL I 723</t>
  </si>
  <si>
    <t>BL II 104</t>
  </si>
  <si>
    <t>BL I 560</t>
  </si>
  <si>
    <t>BL II 106</t>
  </si>
  <si>
    <t>BL I 620</t>
  </si>
  <si>
    <t>BL II 108</t>
  </si>
  <si>
    <t>BL I 878</t>
  </si>
  <si>
    <t>BL II 109</t>
  </si>
  <si>
    <t>1192</t>
  </si>
  <si>
    <t>BL I 369</t>
  </si>
  <si>
    <t>BL II 110</t>
  </si>
  <si>
    <t>BL I 641</t>
  </si>
  <si>
    <t>BL II 111</t>
  </si>
  <si>
    <t>BL I 401</t>
  </si>
  <si>
    <t>BL II 112</t>
  </si>
  <si>
    <t>BL I 521</t>
  </si>
  <si>
    <t>BL II 113ab</t>
  </si>
  <si>
    <t>BL I 171</t>
  </si>
  <si>
    <t>BL II 114</t>
  </si>
  <si>
    <t>1202</t>
  </si>
  <si>
    <t>BL I 870</t>
  </si>
  <si>
    <t>BL II 115</t>
  </si>
  <si>
    <t>BL I 528</t>
  </si>
  <si>
    <t>BL II 116</t>
  </si>
  <si>
    <t>BL I 182</t>
  </si>
  <si>
    <t>BL II 117</t>
  </si>
  <si>
    <t>BL I 530</t>
  </si>
  <si>
    <t>BL II 118ab</t>
  </si>
  <si>
    <t>BL I 634</t>
  </si>
  <si>
    <t>BL II 119</t>
  </si>
  <si>
    <t>BL I 565</t>
  </si>
  <si>
    <t>BL II 120</t>
  </si>
  <si>
    <t>BL I 625</t>
  </si>
  <si>
    <t>BL II 122</t>
  </si>
  <si>
    <t>BL I 529</t>
  </si>
  <si>
    <t>BL II 124</t>
  </si>
  <si>
    <t>1218</t>
  </si>
  <si>
    <t>BL I 195</t>
  </si>
  <si>
    <t>BL II 125</t>
  </si>
  <si>
    <t>BL I 554</t>
  </si>
  <si>
    <t>BL II 128</t>
  </si>
  <si>
    <t>BL I 612</t>
  </si>
  <si>
    <t>BL II 129</t>
  </si>
  <si>
    <t>BL I 220</t>
  </si>
  <si>
    <t>BL II 130ab</t>
  </si>
  <si>
    <t>BL I 462</t>
  </si>
  <si>
    <t>BL II 131</t>
  </si>
  <si>
    <t>BL I 426</t>
  </si>
  <si>
    <t>BL II 132</t>
  </si>
  <si>
    <t>BL I 615</t>
  </si>
  <si>
    <t>BL II 133</t>
  </si>
  <si>
    <t>BL I 613</t>
  </si>
  <si>
    <t>BL II 134</t>
  </si>
  <si>
    <t>1231</t>
  </si>
  <si>
    <t>BL I 882</t>
  </si>
  <si>
    <t>BL II 135ab</t>
  </si>
  <si>
    <t>BL I 572</t>
  </si>
  <si>
    <t>BL II 136</t>
  </si>
  <si>
    <t>BL I 640</t>
  </si>
  <si>
    <t>BL II 137</t>
  </si>
  <si>
    <t>1240</t>
  </si>
  <si>
    <t>BL I 621</t>
  </si>
  <si>
    <t>BL II 138</t>
  </si>
  <si>
    <t>BL I 623</t>
  </si>
  <si>
    <t>BL II 139</t>
  </si>
  <si>
    <t>BL I 516</t>
  </si>
  <si>
    <t>BL II 140</t>
  </si>
  <si>
    <t>BL I 576</t>
  </si>
  <si>
    <t>BL II 141</t>
  </si>
  <si>
    <t>BL I 861</t>
  </si>
  <si>
    <t>BL II 142</t>
  </si>
  <si>
    <t>BL I 542</t>
  </si>
  <si>
    <t>BL II 144</t>
  </si>
  <si>
    <t>BL I 893</t>
  </si>
  <si>
    <t>BL II 145</t>
  </si>
  <si>
    <t>BL I 545</t>
  </si>
  <si>
    <t>BL II 146</t>
  </si>
  <si>
    <t>BL I 290</t>
  </si>
  <si>
    <t>BL II 147ab</t>
  </si>
  <si>
    <t>BL I 522</t>
  </si>
  <si>
    <t>BL II 148</t>
  </si>
  <si>
    <t>BL I 348</t>
  </si>
  <si>
    <t>BL II 149</t>
  </si>
  <si>
    <t>1254</t>
  </si>
  <si>
    <t>BL I 855</t>
  </si>
  <si>
    <t>BL I 520</t>
  </si>
  <si>
    <t>BL II 151</t>
  </si>
  <si>
    <t>BL I 395</t>
  </si>
  <si>
    <t>BL II 152</t>
  </si>
  <si>
    <t>BL I 423</t>
  </si>
  <si>
    <t>BL II 153</t>
  </si>
  <si>
    <t>1260</t>
  </si>
  <si>
    <t>BL I 169</t>
  </si>
  <si>
    <t>BL II 154</t>
  </si>
  <si>
    <t>BL I 292</t>
  </si>
  <si>
    <t>BL II 155a-c</t>
  </si>
  <si>
    <t>BL I 536</t>
  </si>
  <si>
    <t>BL II 156</t>
  </si>
  <si>
    <t>BL I 98</t>
  </si>
  <si>
    <t>BL II 157</t>
  </si>
  <si>
    <t>BL I 535</t>
  </si>
  <si>
    <t>BL II 158</t>
  </si>
  <si>
    <t>BL I 533</t>
  </si>
  <si>
    <t>BL II 159</t>
  </si>
  <si>
    <t>1269</t>
  </si>
  <si>
    <t>BL I 611</t>
  </si>
  <si>
    <t>BL II 160</t>
  </si>
  <si>
    <t>BL I 863</t>
  </si>
  <si>
    <t>BL II 161</t>
  </si>
  <si>
    <t>1272</t>
  </si>
  <si>
    <t>BL I 635</t>
  </si>
  <si>
    <t>BL II 162</t>
  </si>
  <si>
    <t>BL II 163</t>
  </si>
  <si>
    <t>1273</t>
  </si>
  <si>
    <t>BL I 422</t>
  </si>
  <si>
    <t>BL II 164</t>
  </si>
  <si>
    <t>BL I 523</t>
  </si>
  <si>
    <t>BL II 165</t>
  </si>
  <si>
    <t>BL II 166</t>
  </si>
  <si>
    <t>1280</t>
  </si>
  <si>
    <t>BL I 631</t>
  </si>
  <si>
    <t>BL II 167</t>
  </si>
  <si>
    <t>BL I 378</t>
  </si>
  <si>
    <t>BL II 168</t>
  </si>
  <si>
    <t>BL I 866</t>
  </si>
  <si>
    <t>BL II 169</t>
  </si>
  <si>
    <t>1284</t>
  </si>
  <si>
    <t>BL I 483</t>
  </si>
  <si>
    <t>BL II 170</t>
  </si>
  <si>
    <t>BL I 296</t>
  </si>
  <si>
    <t>BL II 171</t>
  </si>
  <si>
    <t>1286</t>
  </si>
  <si>
    <t>BL I 769</t>
  </si>
  <si>
    <t>BL II 172</t>
  </si>
  <si>
    <t>BL I 947</t>
  </si>
  <si>
    <t>BL II 173</t>
  </si>
  <si>
    <t>1292</t>
  </si>
  <si>
    <t>BL I 150</t>
  </si>
  <si>
    <t>BL II 174</t>
  </si>
  <si>
    <t>BL I 547</t>
  </si>
  <si>
    <t>BL II 176</t>
  </si>
  <si>
    <t>BL I 291</t>
  </si>
  <si>
    <t>BL II 177</t>
  </si>
  <si>
    <t>1295</t>
  </si>
  <si>
    <t>BL I 618</t>
  </si>
  <si>
    <t>BL II 178</t>
  </si>
  <si>
    <t>BL I 777</t>
  </si>
  <si>
    <t>BL II 179ab</t>
  </si>
  <si>
    <t>BL I 810</t>
  </si>
  <si>
    <t>BL II 180</t>
  </si>
  <si>
    <t>BL I 772</t>
  </si>
  <si>
    <t>BL II 181</t>
  </si>
  <si>
    <t>BL I 525</t>
  </si>
  <si>
    <t>BL II 182</t>
  </si>
  <si>
    <t>1302</t>
  </si>
  <si>
    <t>BL I 397</t>
  </si>
  <si>
    <t>BL II 183</t>
  </si>
  <si>
    <t>BL I 950</t>
  </si>
  <si>
    <t>BL II 184</t>
  </si>
  <si>
    <t>1303</t>
  </si>
  <si>
    <t>BL I 744</t>
  </si>
  <si>
    <t>BL II 185</t>
  </si>
  <si>
    <t>BL I 515</t>
  </si>
  <si>
    <t>BL II 186</t>
  </si>
  <si>
    <t>c.913</t>
  </si>
  <si>
    <t>Ca I 135</t>
  </si>
  <si>
    <t>Ca II 9</t>
  </si>
  <si>
    <t>c.925</t>
  </si>
  <si>
    <t>Ca II 10</t>
  </si>
  <si>
    <t>betw. 934 &amp; 939</t>
  </si>
  <si>
    <t>Ca I 137</t>
  </si>
  <si>
    <t>952</t>
  </si>
  <si>
    <t>Ca I 140</t>
  </si>
  <si>
    <t>Ca II 12</t>
  </si>
  <si>
    <t>1021 or 1022</t>
  </si>
  <si>
    <t>Ca I 69</t>
  </si>
  <si>
    <t>Ca II 16</t>
  </si>
  <si>
    <t>1035 or 1036</t>
  </si>
  <si>
    <t>Ca I 357</t>
  </si>
  <si>
    <t>Ca II 18</t>
  </si>
  <si>
    <t>betw. 1050 &amp; 1072</t>
  </si>
  <si>
    <t>Ca I 48</t>
  </si>
  <si>
    <t>Ca II 20abc</t>
  </si>
  <si>
    <t>Ca I 54</t>
  </si>
  <si>
    <t>Ca II 21</t>
  </si>
  <si>
    <t>Ca I 55</t>
  </si>
  <si>
    <t>Ca II 22</t>
  </si>
  <si>
    <t>Ca I 138</t>
  </si>
  <si>
    <t>Ca II 23ab</t>
  </si>
  <si>
    <t>Ca I 139</t>
  </si>
  <si>
    <t>Ca II 24</t>
  </si>
  <si>
    <t>Ca I 141</t>
  </si>
  <si>
    <t>Ca II 25</t>
  </si>
  <si>
    <t>Ca I 144</t>
  </si>
  <si>
    <t>Ca II 26</t>
  </si>
  <si>
    <t>Ca I 164</t>
  </si>
  <si>
    <t>Ca II 27</t>
  </si>
  <si>
    <t>betw. 1059 &amp; 1070</t>
  </si>
  <si>
    <t>Ca I 342</t>
  </si>
  <si>
    <t>Ca II 29</t>
  </si>
  <si>
    <t>c.1061</t>
  </si>
  <si>
    <t>Ca I 165</t>
  </si>
  <si>
    <t>Ca II 30</t>
  </si>
  <si>
    <t>betw. 1064 &amp; 1069</t>
  </si>
  <si>
    <t>Ca I 157</t>
  </si>
  <si>
    <t>Ca II 31ab</t>
  </si>
  <si>
    <t>betw. 1079 &amp; 1101</t>
  </si>
  <si>
    <t>Ca I 58</t>
  </si>
  <si>
    <t>Ca II 32</t>
  </si>
  <si>
    <t>betw. 1085 &amp; 1091</t>
  </si>
  <si>
    <t>Ca I 142</t>
  </si>
  <si>
    <t>Ca II 33</t>
  </si>
  <si>
    <t>betw. 1091 &amp; 1100</t>
  </si>
  <si>
    <t>Ca I 148</t>
  </si>
  <si>
    <t>Ca II 34</t>
  </si>
  <si>
    <t>Ca I 63</t>
  </si>
  <si>
    <t>Ca II 43</t>
  </si>
  <si>
    <t>1095-1109?</t>
  </si>
  <si>
    <t>Ca I 162</t>
  </si>
  <si>
    <t>Ca II 35ab</t>
  </si>
  <si>
    <t>betw. 1096 &amp; 1112</t>
  </si>
  <si>
    <t>Ca I 134</t>
  </si>
  <si>
    <t>Ca II 37</t>
  </si>
  <si>
    <t>betw. c.1112 &amp; 1126</t>
  </si>
  <si>
    <t>Ca I 298</t>
  </si>
  <si>
    <t>Ca II 39</t>
  </si>
  <si>
    <t>betw. 1113? &amp; c.1130</t>
  </si>
  <si>
    <t>Ca I 154</t>
  </si>
  <si>
    <t>Ca II 40</t>
  </si>
  <si>
    <t>betw. 1114 &amp; 1125</t>
  </si>
  <si>
    <t>Ca I 155</t>
  </si>
  <si>
    <t>Ca II 41</t>
  </si>
  <si>
    <t>betw. 1116 &amp; 1135?</t>
  </si>
  <si>
    <t>Ca I 158</t>
  </si>
  <si>
    <t>Ca II 42</t>
  </si>
  <si>
    <t>betw. 1120 &amp; c.1130?</t>
  </si>
  <si>
    <t>betw. c.1120 &amp; 1140?</t>
  </si>
  <si>
    <t>Ca I 351</t>
  </si>
  <si>
    <t>Ca II 44</t>
  </si>
  <si>
    <t>betw. 1122 &amp; c.1130</t>
  </si>
  <si>
    <t>Ca I 167</t>
  </si>
  <si>
    <t>Ca II 47</t>
  </si>
  <si>
    <t>betw. 1125 &amp; c.1143</t>
  </si>
  <si>
    <t>Ca I 379</t>
  </si>
  <si>
    <t>Ca II 52</t>
  </si>
  <si>
    <t>betw. 1128 &amp; 1149</t>
  </si>
  <si>
    <t>Ca I 216</t>
  </si>
  <si>
    <t>Ca II 54</t>
  </si>
  <si>
    <t>betw. c.1130 &amp; 1145</t>
  </si>
  <si>
    <t>Ca I 65</t>
  </si>
  <si>
    <t>Ca II 57</t>
  </si>
  <si>
    <t>c.1132</t>
  </si>
  <si>
    <t>Ca I 293</t>
  </si>
  <si>
    <t>Ca II 58</t>
  </si>
  <si>
    <t>c.1140</t>
  </si>
  <si>
    <t>Ca I 294</t>
  </si>
  <si>
    <t>Ca II 61</t>
  </si>
  <si>
    <t>betw. 1145 &amp; 1170</t>
  </si>
  <si>
    <t>Ca I 358</t>
  </si>
  <si>
    <t>Ca II 63</t>
  </si>
  <si>
    <t>betw. 1152 &amp; 1173</t>
  </si>
  <si>
    <t>Ca I 296</t>
  </si>
  <si>
    <t>Ca II 65</t>
  </si>
  <si>
    <t>Ca I 336</t>
  </si>
  <si>
    <t>Ca II 67</t>
  </si>
  <si>
    <t>betw. 1121 &amp; c.1138</t>
  </si>
  <si>
    <t>Ca I 119</t>
  </si>
  <si>
    <t>Ca II 45+46</t>
  </si>
  <si>
    <t>betw. 1159 &amp; 1170</t>
  </si>
  <si>
    <t>Ca I 126</t>
  </si>
  <si>
    <t>Ca II 68</t>
  </si>
  <si>
    <t>betw. 1164 &amp; 1170</t>
  </si>
  <si>
    <t>Ca I 324</t>
  </si>
  <si>
    <t>Ca II 69</t>
  </si>
  <si>
    <t>Ca I 327</t>
  </si>
  <si>
    <t>Ca II 70</t>
  </si>
  <si>
    <t>Ca I 330</t>
  </si>
  <si>
    <t>Ca II 71</t>
  </si>
  <si>
    <t>Ca I 341</t>
  </si>
  <si>
    <t>Ca II 73</t>
  </si>
  <si>
    <t>Ca I 346</t>
  </si>
  <si>
    <t>Ca II 72</t>
  </si>
  <si>
    <t>betw. 1164&amp; 1175</t>
  </si>
  <si>
    <t>Ca I 133</t>
  </si>
  <si>
    <t>Ca II 74ab</t>
  </si>
  <si>
    <t>betw. 1164 &amp; 1194?</t>
  </si>
  <si>
    <t>Ca I 325</t>
  </si>
  <si>
    <t>Ca II 75</t>
  </si>
  <si>
    <t>Ca I 328</t>
  </si>
  <si>
    <t>Ca II 76</t>
  </si>
  <si>
    <t>betw. 1165 &amp; 1194</t>
  </si>
  <si>
    <t>Ca I 264</t>
  </si>
  <si>
    <t>Ca II 77</t>
  </si>
  <si>
    <t>Ca I 265</t>
  </si>
  <si>
    <t>Ca II 78</t>
  </si>
  <si>
    <t>Ca I 267</t>
  </si>
  <si>
    <t>Ca II 79</t>
  </si>
  <si>
    <t>Ca I 306</t>
  </si>
  <si>
    <t>Ca II 80</t>
  </si>
  <si>
    <t>Ca I 391</t>
  </si>
  <si>
    <t>Ca II 81</t>
  </si>
  <si>
    <t>betw. 1167 &amp; 1183?</t>
  </si>
  <si>
    <t>Ca I 380</t>
  </si>
  <si>
    <t>Ca II 82</t>
  </si>
  <si>
    <t>betw. 1170? &amp; 1177</t>
  </si>
  <si>
    <t>Ca I 331</t>
  </si>
  <si>
    <t>Ca II 83</t>
  </si>
  <si>
    <t>betw. 1173 &amp; 1177</t>
  </si>
  <si>
    <t>Ca I 329</t>
  </si>
  <si>
    <t>Ca II 84</t>
  </si>
  <si>
    <t>betw. 1173 &amp; 1189</t>
  </si>
  <si>
    <t>Ca I 362</t>
  </si>
  <si>
    <t>Ca II 85</t>
  </si>
  <si>
    <t>c.1175</t>
  </si>
  <si>
    <t>Ca I 230</t>
  </si>
  <si>
    <t>Ca II 89</t>
  </si>
  <si>
    <t>betw. 1188 &amp; 1191</t>
  </si>
  <si>
    <t>Ca I 354</t>
  </si>
  <si>
    <t>Ca II 93</t>
  </si>
  <si>
    <t>betw. 1192 &amp; 1198</t>
  </si>
  <si>
    <t>Ca I 153</t>
  </si>
  <si>
    <t>Ca II 95</t>
  </si>
  <si>
    <t>betw. 1193 &amp; 1194</t>
  </si>
  <si>
    <t>Ca I 248</t>
  </si>
  <si>
    <t>Ca II 96</t>
  </si>
  <si>
    <t>1204</t>
  </si>
  <si>
    <t>Ca I 215</t>
  </si>
  <si>
    <t>Ca II 100</t>
  </si>
  <si>
    <t>betw. 1209 &amp; 1216</t>
  </si>
  <si>
    <t>Ca I 151</t>
  </si>
  <si>
    <t>Ca II 101</t>
  </si>
  <si>
    <t>betw. 1209 &amp; 1223</t>
  </si>
  <si>
    <t>Ca I 166</t>
  </si>
  <si>
    <t>Ca II 102</t>
  </si>
  <si>
    <t>1219</t>
  </si>
  <si>
    <t>Ca I 345</t>
  </si>
  <si>
    <t>Ca II 105</t>
  </si>
  <si>
    <t>betw. 1240? &amp; 1259</t>
  </si>
  <si>
    <t>Ca I 125</t>
  </si>
  <si>
    <t>Ca II 106</t>
  </si>
  <si>
    <t>betw. 1241 &amp; 1259</t>
  </si>
  <si>
    <t>Ca I 24</t>
  </si>
  <si>
    <t>Ca II 107</t>
  </si>
  <si>
    <t>betw. 1243 &amp; 1250</t>
  </si>
  <si>
    <t>Ca I 14</t>
  </si>
  <si>
    <t>Ca II 108</t>
  </si>
  <si>
    <t>betw.1249 &amp; 1251</t>
  </si>
  <si>
    <t>Ca I 317</t>
  </si>
  <si>
    <t>Ca II 109</t>
  </si>
  <si>
    <t>betw. 1253 &amp; 1262</t>
  </si>
  <si>
    <t>Ca I 74</t>
  </si>
  <si>
    <t>Ca II 110</t>
  </si>
  <si>
    <t>betw. 1253 &amp; 1270</t>
  </si>
  <si>
    <t>Ca I 202</t>
  </si>
  <si>
    <t>Ca II 111</t>
  </si>
  <si>
    <t>c.1255</t>
  </si>
  <si>
    <t>Ca I 333</t>
  </si>
  <si>
    <t>Ca II 112</t>
  </si>
  <si>
    <t>betw. 1255 &amp; 1267?</t>
  </si>
  <si>
    <t>Ca I 208</t>
  </si>
  <si>
    <t>Ca II 113</t>
  </si>
  <si>
    <t>betw. 1257 &amp; 1265</t>
  </si>
  <si>
    <t>Ca I 170</t>
  </si>
  <si>
    <t>Ca II 114</t>
  </si>
  <si>
    <t>betw. 1261 &amp; 1268</t>
  </si>
  <si>
    <t>Ca I 241</t>
  </si>
  <si>
    <t>Ca II 115</t>
  </si>
  <si>
    <t>betw. 1270 &amp; 1271</t>
  </si>
  <si>
    <t>Ca I 75</t>
  </si>
  <si>
    <t>Ca II 116</t>
  </si>
  <si>
    <t>betw. 1273 &amp; 1291</t>
  </si>
  <si>
    <t>Ca I 95</t>
  </si>
  <si>
    <t>Ca II 117</t>
  </si>
  <si>
    <t>1276</t>
  </si>
  <si>
    <t>Ca I 56</t>
  </si>
  <si>
    <t>Ca II 118</t>
  </si>
  <si>
    <t>c.1276</t>
  </si>
  <si>
    <t>Ca I 251</t>
  </si>
  <si>
    <t>Ca II 119</t>
  </si>
  <si>
    <t>1278</t>
  </si>
  <si>
    <t>Ca I 18</t>
  </si>
  <si>
    <t>Ca II 120</t>
  </si>
  <si>
    <t>betw. 1278 &amp; 1282</t>
  </si>
  <si>
    <t>Ca I 190</t>
  </si>
  <si>
    <t>Ca II 121</t>
  </si>
  <si>
    <t>betw. 1278 &amp; 1288</t>
  </si>
  <si>
    <t>Ca I 169</t>
  </si>
  <si>
    <t>Ca II 122</t>
  </si>
  <si>
    <t>betw. 1280 &amp; 1289</t>
  </si>
  <si>
    <t>Ca I 20</t>
  </si>
  <si>
    <t>Ca II 123ab</t>
  </si>
  <si>
    <t>betw. 1290 &amp; c.1307</t>
  </si>
  <si>
    <t>Ca I 150</t>
  </si>
  <si>
    <t>Ca II 124</t>
  </si>
  <si>
    <t>betw. 1295 &amp; 1299</t>
  </si>
  <si>
    <t>Ca I 249</t>
  </si>
  <si>
    <t>Ca II 125</t>
  </si>
  <si>
    <t>1298</t>
  </si>
  <si>
    <t>Ca I 77</t>
  </si>
  <si>
    <t>Ca II 126</t>
  </si>
  <si>
    <t>1299</t>
  </si>
  <si>
    <t>Ca I 35</t>
  </si>
  <si>
    <t>Ca II 127</t>
  </si>
  <si>
    <t>c.1299</t>
  </si>
  <si>
    <t>Ca I 283</t>
  </si>
  <si>
    <t>Ca II 128ab</t>
  </si>
  <si>
    <t>betw. 1301 &amp; 1306</t>
  </si>
  <si>
    <t>Ca I 252</t>
  </si>
  <si>
    <t>Ca II 130</t>
  </si>
  <si>
    <t>Ox I 519</t>
  </si>
  <si>
    <t>Ox I 421</t>
  </si>
  <si>
    <t>Ox I 270</t>
  </si>
  <si>
    <t>Ox I 471</t>
  </si>
  <si>
    <t>Ox I 63</t>
  </si>
  <si>
    <t>Ox I 374</t>
  </si>
  <si>
    <t>Ox I 520</t>
  </si>
  <si>
    <t>Ox I 530</t>
  </si>
  <si>
    <t>Ox I 30</t>
  </si>
  <si>
    <t>Ox I 436</t>
  </si>
  <si>
    <t>Ox I 267</t>
  </si>
  <si>
    <t>Ox I 149</t>
  </si>
  <si>
    <t>Ox I 867</t>
  </si>
  <si>
    <t>Ox I 666</t>
  </si>
  <si>
    <t>Ox I 657</t>
  </si>
  <si>
    <t>Ox I 797</t>
  </si>
  <si>
    <t>Ox I 620</t>
  </si>
  <si>
    <t>Ox I 99</t>
  </si>
  <si>
    <t>Ox I 818</t>
  </si>
  <si>
    <t>Ox I 696</t>
  </si>
  <si>
    <t>Ox I 775</t>
  </si>
  <si>
    <t>Ox I 42</t>
  </si>
  <si>
    <t>Ox I 399</t>
  </si>
  <si>
    <t>Ox I 417</t>
  </si>
  <si>
    <t>Ox I 799</t>
  </si>
  <si>
    <t>Ox I 802</t>
  </si>
  <si>
    <t>Ox I 798</t>
  </si>
  <si>
    <t>Ox I 800</t>
  </si>
  <si>
    <t>Ox I 801</t>
  </si>
  <si>
    <t>Ox I 269</t>
  </si>
  <si>
    <t>Ox I 870</t>
  </si>
  <si>
    <t>Ox I 1173</t>
  </si>
  <si>
    <t>Ox I 49</t>
  </si>
  <si>
    <t>Ox I 79</t>
  </si>
  <si>
    <t>Ox I 418</t>
  </si>
  <si>
    <t>Ox I 691</t>
  </si>
  <si>
    <t>Ox I 48</t>
  </si>
  <si>
    <t>Ox I 271</t>
  </si>
  <si>
    <t>Ox I 661</t>
  </si>
  <si>
    <t>Ox I 619</t>
  </si>
  <si>
    <t>Ox I 65</t>
  </si>
  <si>
    <t>Ox I 705</t>
  </si>
  <si>
    <t>Ox I 108</t>
  </si>
  <si>
    <t>Ox I 765</t>
  </si>
  <si>
    <t>Ox I 676</t>
  </si>
  <si>
    <t>Ox I 275</t>
  </si>
  <si>
    <t>Ox I 315</t>
  </si>
  <si>
    <t>Ox I 658</t>
  </si>
  <si>
    <t>Ox I 547</t>
  </si>
  <si>
    <t>Ox I 469</t>
  </si>
  <si>
    <t>Ox I 623</t>
  </si>
  <si>
    <t>Ox I 276</t>
  </si>
  <si>
    <t>Ox I 518</t>
  </si>
  <si>
    <t>Ox I 573</t>
  </si>
  <si>
    <t>Ox I 692</t>
  </si>
  <si>
    <t>Ox I 565</t>
  </si>
  <si>
    <t>Ox I 866</t>
  </si>
  <si>
    <t>Ox I 878</t>
  </si>
  <si>
    <t>Ox I 693</t>
  </si>
  <si>
    <t>Ox I 531</t>
  </si>
  <si>
    <t>Ox I 464</t>
  </si>
  <si>
    <t>Ox I 551</t>
  </si>
  <si>
    <t>Ox I 616</t>
  </si>
  <si>
    <t>Ox I 460</t>
  </si>
  <si>
    <t>Ox I 458</t>
  </si>
  <si>
    <t>Ox I 633</t>
  </si>
  <si>
    <t>Ox I 34</t>
  </si>
  <si>
    <t>Ox I 280</t>
  </si>
  <si>
    <t>Ox I 782</t>
  </si>
  <si>
    <t>Ox I 813</t>
  </si>
  <si>
    <t>Ox I 31</t>
  </si>
  <si>
    <t>Ox I 422</t>
  </si>
  <si>
    <t>Ox I 622</t>
  </si>
  <si>
    <t>Ox I 715</t>
  </si>
  <si>
    <t>Ox I 416</t>
  </si>
  <si>
    <t>Ox I 734</t>
  </si>
  <si>
    <t>Ox I 590</t>
  </si>
  <si>
    <t>Ox I 795</t>
  </si>
  <si>
    <t>Ox I 678</t>
  </si>
  <si>
    <t>Ox I 844</t>
  </si>
  <si>
    <t>Ox I 35</t>
  </si>
  <si>
    <t>Ox I 453</t>
  </si>
  <si>
    <t>Ox I 602</t>
  </si>
  <si>
    <t>Ox I 842</t>
  </si>
  <si>
    <t>Ox I 83</t>
  </si>
  <si>
    <t>Ox I 107</t>
  </si>
  <si>
    <t>Lo I 87</t>
  </si>
  <si>
    <t>Lo II 2+3</t>
  </si>
  <si>
    <t>betw. 1086 &amp; 1088?</t>
  </si>
  <si>
    <t>Lo I 126</t>
  </si>
  <si>
    <t>Lo II 6</t>
  </si>
  <si>
    <t>betw. 1086 &amp; 1088? 126</t>
  </si>
  <si>
    <t>Lo I 7</t>
  </si>
  <si>
    <t>Lo I 65</t>
  </si>
  <si>
    <t>Lo II 8</t>
  </si>
  <si>
    <t>betw. 1145 &amp; 1153</t>
  </si>
  <si>
    <t>Lo I 165</t>
  </si>
  <si>
    <t>Lo II 12</t>
  </si>
  <si>
    <t>c.1148</t>
  </si>
  <si>
    <t>Lo I 152</t>
  </si>
  <si>
    <t>Lo II 13</t>
  </si>
  <si>
    <t>Lo I 55</t>
  </si>
  <si>
    <t>Lo II 14</t>
  </si>
  <si>
    <t>Lo I 42</t>
  </si>
  <si>
    <t>Lo II 17</t>
  </si>
  <si>
    <t>betw. c.1197? &amp; 1220</t>
  </si>
  <si>
    <t>Lo I 192</t>
  </si>
  <si>
    <t>Lo II 18</t>
  </si>
  <si>
    <t>Lo I 47</t>
  </si>
  <si>
    <t>Lo II 19</t>
  </si>
  <si>
    <t>Lo I 80</t>
  </si>
  <si>
    <t>Lo II 20</t>
  </si>
  <si>
    <t>betw. 1214 &amp; 1222</t>
  </si>
  <si>
    <t>Lo I 148</t>
  </si>
  <si>
    <t>Lo II 21</t>
  </si>
  <si>
    <t>Lo I 66</t>
  </si>
  <si>
    <t>Lo II 22</t>
  </si>
  <si>
    <t>Lo I 30</t>
  </si>
  <si>
    <t>Lo II 23</t>
  </si>
  <si>
    <t>betw. 1224 &amp; 1246?</t>
  </si>
  <si>
    <t>Lo I 139</t>
  </si>
  <si>
    <t>Lo II 24</t>
  </si>
  <si>
    <t>Lo I 3</t>
  </si>
  <si>
    <t>Lo II 25</t>
  </si>
  <si>
    <t>Lo I 63</t>
  </si>
  <si>
    <t>Lo II 26</t>
  </si>
  <si>
    <t>Lo I 18</t>
  </si>
  <si>
    <t>Lo II 27</t>
  </si>
  <si>
    <t>Lo I 88</t>
  </si>
  <si>
    <t>Lo II 28</t>
  </si>
  <si>
    <t>betw. 1275 &amp; 1290</t>
  </si>
  <si>
    <t>Lo I 150</t>
  </si>
  <si>
    <t>Lo II 29</t>
  </si>
  <si>
    <t>Lo I 102</t>
  </si>
  <si>
    <t>Lo II 30</t>
  </si>
  <si>
    <t>Lo I 5</t>
  </si>
  <si>
    <t>Lo II 31</t>
  </si>
  <si>
    <t>Lo I 106</t>
  </si>
  <si>
    <t>Lo II 32</t>
  </si>
  <si>
    <t>Lo I 109</t>
  </si>
  <si>
    <t>Lo II 33</t>
  </si>
  <si>
    <t>Lo I 40</t>
  </si>
  <si>
    <t>Lo II 34</t>
  </si>
  <si>
    <t>betw. 1285 &amp; 1306</t>
  </si>
  <si>
    <t>Lo I 121</t>
  </si>
  <si>
    <t>Lo II 35</t>
  </si>
  <si>
    <t>Lo I 9</t>
  </si>
  <si>
    <t>Lo I 33</t>
  </si>
  <si>
    <t>Lo II 37</t>
  </si>
  <si>
    <t>c.1291</t>
  </si>
  <si>
    <t>Lo I 130</t>
  </si>
  <si>
    <t>Lo II 38</t>
  </si>
  <si>
    <t>Lo I 17</t>
  </si>
  <si>
    <t>Lo II 39</t>
  </si>
  <si>
    <t>betw. 1300 &amp; 1307</t>
  </si>
  <si>
    <t>Lo I 128</t>
  </si>
  <si>
    <t>Lo II 40</t>
  </si>
  <si>
    <t>iiif_url</t>
  </si>
  <si>
    <t>meta_url</t>
  </si>
  <si>
    <t>Wellesley College</t>
  </si>
  <si>
    <t>MS 11</t>
  </si>
  <si>
    <t>DS16403</t>
  </si>
  <si>
    <t>Rome, Italy</t>
  </si>
  <si>
    <t>https://repository.wellesley.edu/node/35379/manifest</t>
  </si>
  <si>
    <t>University of Pennsylvania</t>
  </si>
  <si>
    <t>Ms. Codex 80</t>
  </si>
  <si>
    <t>https://find.library.upenn.edu/catalog/9915803883503681</t>
  </si>
  <si>
    <t>https://colenda.library.upenn.edu/items/ark:/81431/p3b92z/manifest</t>
  </si>
  <si>
    <t>1261-1273</t>
  </si>
  <si>
    <t>Citta di Castello, Italy</t>
  </si>
  <si>
    <t>DS1673</t>
  </si>
  <si>
    <t>University of California, Berkeley</t>
  </si>
  <si>
    <t>BANC MS UCB 4</t>
  </si>
  <si>
    <t>https://search.library.berkeley.edu/permalink/01UCS_BER/1thfj9n/alma991044791889706532</t>
  </si>
  <si>
    <t>https://digicoll.lib.berkeley.edu/nanna/proxy/iiif/manifest/228849/</t>
  </si>
  <si>
    <t xml:space="preserve">DS12479 </t>
  </si>
  <si>
    <t xml:space="preserve"> The Huntington Library, Art Museum, and Botanical Gardens</t>
  </si>
  <si>
    <t>mssHM 65</t>
  </si>
  <si>
    <t>DS9867</t>
  </si>
  <si>
    <t>https://catalog.huntington.org/record=b1862098</t>
  </si>
  <si>
    <t>https://cdm16003.contentdm.oclc.org/iiif/p15150coll7:52698/manifest.json</t>
  </si>
  <si>
    <t>https://libcat.wellesley.edu/Record/in00000625536</t>
  </si>
  <si>
    <t>931-934</t>
  </si>
  <si>
    <t>c. 951</t>
  </si>
  <si>
    <t>960-1001</t>
  </si>
  <si>
    <t>974-1007</t>
  </si>
  <si>
    <t>987-996</t>
  </si>
  <si>
    <t>c. 988?</t>
  </si>
  <si>
    <t>c. 1028</t>
  </si>
  <si>
    <t>1028-1034</t>
  </si>
  <si>
    <t>1029-1034</t>
  </si>
  <si>
    <t>c. 1031-1034</t>
  </si>
  <si>
    <t>1052-1076</t>
  </si>
  <si>
    <t>1060-1089</t>
  </si>
  <si>
    <t>1107-1121</t>
  </si>
  <si>
    <t>1113-1124</t>
  </si>
  <si>
    <t>1120-1124</t>
  </si>
  <si>
    <t>1123-1141</t>
  </si>
  <si>
    <t>c. 1127</t>
  </si>
  <si>
    <t>c. 1134-1150</t>
  </si>
  <si>
    <t>1143-1156</t>
  </si>
  <si>
    <t>1145-1153</t>
  </si>
  <si>
    <t>c. 1148</t>
  </si>
  <si>
    <t>c. 1154</t>
  </si>
  <si>
    <t>1259 or 1260</t>
  </si>
  <si>
    <t>1167-1183</t>
  </si>
  <si>
    <t>1185-1191</t>
  </si>
  <si>
    <t>1198-1205</t>
  </si>
  <si>
    <t>1198-1207</t>
  </si>
  <si>
    <t>c. 1200-1203</t>
  </si>
  <si>
    <t>c. 1202</t>
  </si>
  <si>
    <t>1213-1224</t>
  </si>
  <si>
    <t>1230-1248</t>
  </si>
  <si>
    <t>1230-1250</t>
  </si>
  <si>
    <t>c. 1242</t>
  </si>
  <si>
    <t>1253-1280</t>
  </si>
  <si>
    <t>1253-1296</t>
  </si>
  <si>
    <t>c. 1256-1285</t>
  </si>
  <si>
    <t>1265-1272</t>
  </si>
  <si>
    <t>1269-1271</t>
  </si>
  <si>
    <t>1274?-1285</t>
  </si>
  <si>
    <t>1279-1282</t>
  </si>
  <si>
    <t>1280?</t>
  </si>
  <si>
    <t>1288-1304</t>
  </si>
  <si>
    <t>1297?</t>
  </si>
  <si>
    <t>Fr 2 II IX</t>
  </si>
  <si>
    <t>Fr 2 II VIII</t>
  </si>
  <si>
    <t>Fr 2 II X</t>
  </si>
  <si>
    <t>Fr 2 II XI</t>
  </si>
  <si>
    <t>Fr 2 II XII</t>
  </si>
  <si>
    <t>Fr 2 II XIII</t>
  </si>
  <si>
    <t>Fr 2 II XIV</t>
  </si>
  <si>
    <t>Fr 2 II XIX</t>
  </si>
  <si>
    <t>Fr 2 II XV</t>
  </si>
  <si>
    <t>Fr 2 II XVI</t>
  </si>
  <si>
    <t>Fr 2 II XVII</t>
  </si>
  <si>
    <t>Fr 2 II XVIII</t>
  </si>
  <si>
    <t>Fr 2 II XX</t>
  </si>
  <si>
    <t>Fr 2 II XXI</t>
  </si>
  <si>
    <t>Fr 2 II XXIII</t>
  </si>
  <si>
    <t>Fr 2 II XXIV</t>
  </si>
  <si>
    <t>Fr 2 II XXIX</t>
  </si>
  <si>
    <t>Fr 2 II XXV</t>
  </si>
  <si>
    <t>Fr 2 II XXVI</t>
  </si>
  <si>
    <t>Fr 2 II XXVII</t>
  </si>
  <si>
    <t>Fr 2 II XXVIII</t>
  </si>
  <si>
    <t>Fr 2 II XXX</t>
  </si>
  <si>
    <t>Fr 2 II XXXI</t>
  </si>
  <si>
    <t>Fr 2 II XXXII</t>
  </si>
  <si>
    <t>Fr 2 II XXXIII</t>
  </si>
  <si>
    <t>Fr 2 II XXXIV</t>
  </si>
  <si>
    <t>Fr 2 II XXXV</t>
  </si>
  <si>
    <t>Fr 2 II XXXVII</t>
  </si>
  <si>
    <t>Fr 2 II XXXVIII</t>
  </si>
  <si>
    <t>Fr 2 II XXII; Fr 2 II XXV</t>
  </si>
  <si>
    <t>Paris, Arsenal 3139</t>
  </si>
  <si>
    <t>Chantilly, Mus. Condé 476 (644)</t>
  </si>
  <si>
    <t>Chantilly, Mus. Condé 428 (912)</t>
  </si>
  <si>
    <t>Paris, Sainte-Geneviéve 566</t>
  </si>
  <si>
    <t>Paris, Sainte-Geneviéve 2200</t>
  </si>
  <si>
    <t>Chantilly, Mus. Condé 649 (1111)</t>
  </si>
  <si>
    <t>Paris, Mazarine 844</t>
  </si>
  <si>
    <t>Paris, Mazarine 2015</t>
  </si>
  <si>
    <t>Paris, Sainte-Geneviéve 98</t>
  </si>
  <si>
    <t>Paris, Arsenal 805</t>
  </si>
  <si>
    <t>Paris, Arsenal 352</t>
  </si>
  <si>
    <t>Paris, Sainte-Geneviéve 1403</t>
  </si>
  <si>
    <t>Paris, Arsenal 854</t>
  </si>
  <si>
    <t>Paris, Arsenal 734</t>
  </si>
  <si>
    <t>Paris, Mazarine 870</t>
  </si>
  <si>
    <t>Paris, Arsenal 534</t>
  </si>
  <si>
    <t>1276-1277</t>
  </si>
  <si>
    <t>Fr 1 II IV-V</t>
  </si>
  <si>
    <t>Fr 1 II VI</t>
  </si>
  <si>
    <t>Fr 1 II VII</t>
  </si>
  <si>
    <t>Fr 1 II IX</t>
  </si>
  <si>
    <t>Fr 1 II XI</t>
  </si>
  <si>
    <t>Fr 1 II XIII</t>
  </si>
  <si>
    <t>Fr 1 II XII</t>
  </si>
  <si>
    <t>Fr 1 II XIV</t>
  </si>
  <si>
    <t>Fr 1 II XV</t>
  </si>
  <si>
    <t>Fr 1 II XVI</t>
  </si>
  <si>
    <t>Fr 1 II XVII</t>
  </si>
  <si>
    <t>Fr 1 II XVIII</t>
  </si>
  <si>
    <t>Fr 1 II XIX</t>
  </si>
  <si>
    <t>Fr 1 II XIX-XX</t>
  </si>
  <si>
    <t>Fr 1 II XXI</t>
  </si>
  <si>
    <t>Fr 1 II XX</t>
  </si>
  <si>
    <t>Fr 1 II XXII</t>
  </si>
  <si>
    <t>Fr 1 II XXIII</t>
  </si>
  <si>
    <t>Fr 1 II XXIV</t>
  </si>
  <si>
    <t>Fr 1 II XXV</t>
  </si>
  <si>
    <t>Fr 1 II XXVI</t>
  </si>
  <si>
    <t>Fr 1 II XXVII</t>
  </si>
  <si>
    <t>Paris, Sainte-Genevieve 1256</t>
  </si>
  <si>
    <t>Paris, Mazarine 3347</t>
  </si>
  <si>
    <t>Paris, Mazarine 536</t>
  </si>
  <si>
    <t>Paris, Mazarine 5</t>
  </si>
  <si>
    <t>Paris, Arsenal 2995</t>
  </si>
  <si>
    <t>Paris, Arsenal 3152</t>
  </si>
  <si>
    <t>Paris, Mazarine 851</t>
  </si>
  <si>
    <t>Paris, Sainte-Geneviéve 2899</t>
  </si>
  <si>
    <t>Paris, Bibl. univ. 173</t>
  </si>
  <si>
    <t>11273-13061</t>
  </si>
  <si>
    <t>1296-1297</t>
  </si>
  <si>
    <t>1065-1081?</t>
  </si>
  <si>
    <t>c. 1082-1103</t>
  </si>
  <si>
    <t>1087-1095</t>
  </si>
  <si>
    <t>1095-1105?</t>
  </si>
  <si>
    <t>1102-1123</t>
  </si>
  <si>
    <t>c. 1113</t>
  </si>
  <si>
    <t>1122-1155</t>
  </si>
  <si>
    <t>1134-1150</t>
  </si>
  <si>
    <t>c. 1136?</t>
  </si>
  <si>
    <t>1137-1147</t>
  </si>
  <si>
    <t>c. 1139</t>
  </si>
  <si>
    <t>c. 1141</t>
  </si>
  <si>
    <t>1149-1173 ?</t>
  </si>
  <si>
    <t>c. 1152</t>
  </si>
  <si>
    <t>c. 1172-1174</t>
  </si>
  <si>
    <t>1173-1187</t>
  </si>
  <si>
    <t>c. 1174</t>
  </si>
  <si>
    <t>c. 1174-1178</t>
  </si>
  <si>
    <t>1180-1190</t>
  </si>
  <si>
    <t>1184-1207</t>
  </si>
  <si>
    <t>c. 1196</t>
  </si>
  <si>
    <t>Paris, BnF, Lat. 1118</t>
  </si>
  <si>
    <t>Paris, BnF, Lat. 943</t>
  </si>
  <si>
    <t>Paris, BnF, Lat. 6190</t>
  </si>
  <si>
    <t>Paris, BnF, Lat. 2469</t>
  </si>
  <si>
    <t>Paris, BnF, Lat. 1231</t>
  </si>
  <si>
    <t>Paris, BnF, Lat. 2500</t>
  </si>
  <si>
    <t>Paris, BnF, Lat. 2502</t>
  </si>
  <si>
    <t>Paris, BnF, Lat. 2900</t>
  </si>
  <si>
    <t>Paris, BnF, Lat. 3853</t>
  </si>
  <si>
    <t>Paris, BnF, Lat. 5506</t>
  </si>
  <si>
    <t>Paris, BnF, Lat. 1654</t>
  </si>
  <si>
    <t>Paris, BnF, Lat. 3790</t>
  </si>
  <si>
    <t>Paris, BnF, Lat. 5064</t>
  </si>
  <si>
    <t>Paris, BnF, Lat. 5129</t>
  </si>
  <si>
    <t>Paris, BnF, Lat. 2444</t>
  </si>
  <si>
    <t>Paris, BnF, Lat. 946</t>
  </si>
  <si>
    <t>Paris, BnF, Lat. 5411</t>
  </si>
  <si>
    <t>Paris, BnF, Lat. 2406</t>
  </si>
  <si>
    <t>Paris, BnF, Lat. 2428</t>
  </si>
  <si>
    <t>Paris, BnF, Lat. 6191</t>
  </si>
  <si>
    <t>Paris, BnF, Lat. 1835</t>
  </si>
  <si>
    <t>Paris, BnF, Lat. 6901</t>
  </si>
  <si>
    <t>Paris, BnF, Lat. 363</t>
  </si>
  <si>
    <t>Paris, BnF, Lat. 2529</t>
  </si>
  <si>
    <t>Paris, BnF, Lat. 469</t>
  </si>
  <si>
    <t>Paris, BnF, Lat. 1105</t>
  </si>
  <si>
    <t>Paris, BnF, Lat. 4249A</t>
  </si>
  <si>
    <t>Paris, BnF, Lat. 5005A</t>
  </si>
  <si>
    <t>Paris, BnF, Lat. 6912</t>
  </si>
  <si>
    <t>Paris, BnF, Lat. 523A</t>
  </si>
  <si>
    <t>Paris, BnF, Lat. 3538</t>
  </si>
  <si>
    <t>Paris, BnF, Lat. 346A</t>
  </si>
  <si>
    <t>Paris, BnF, Lat. 1029A</t>
  </si>
  <si>
    <t>Paris, BnF, Lat. 2113</t>
  </si>
  <si>
    <t>Paris, BnF, Lat. 5228</t>
  </si>
  <si>
    <t>Paris, BnF, Lat. 909</t>
  </si>
  <si>
    <t>Paris, BnF, Lat. 1873</t>
  </si>
  <si>
    <t>Paris, BnF, Lat. 4894</t>
  </si>
  <si>
    <t>Paris, BnF, Lat. 120</t>
  </si>
  <si>
    <t>Paris, BnF, Lat. 3301A</t>
  </si>
  <si>
    <t>Paris, BnF, Lat. 1023</t>
  </si>
  <si>
    <t>Paris, BnF, Lat. 3295</t>
  </si>
  <si>
    <t>Paris, BnF, Lat. 4250</t>
  </si>
  <si>
    <t>Paris, BnF, Lat. 7622</t>
  </si>
  <si>
    <t>1216-1220</t>
  </si>
  <si>
    <t>1225-1249</t>
  </si>
  <si>
    <t>c. 1231-1249</t>
  </si>
  <si>
    <t>1233-1243</t>
  </si>
  <si>
    <t>1239-1249</t>
  </si>
  <si>
    <t>1239-1253</t>
  </si>
  <si>
    <t>c. 1239?</t>
  </si>
  <si>
    <t>c. 1240-1245</t>
  </si>
  <si>
    <t>1244-1273</t>
  </si>
  <si>
    <t>1246-1248</t>
  </si>
  <si>
    <t>1250-1272?</t>
  </si>
  <si>
    <t>1252-1264</t>
  </si>
  <si>
    <t>1254-1264</t>
  </si>
  <si>
    <t>1256-1272?</t>
  </si>
  <si>
    <t>1256-1283</t>
  </si>
  <si>
    <t>1257-1275</t>
  </si>
  <si>
    <t>1258-1270</t>
  </si>
  <si>
    <t>1258-1271</t>
  </si>
  <si>
    <t/>
  </si>
  <si>
    <t>Fr 3 II XIV</t>
  </si>
  <si>
    <t>Fr 3 II XV</t>
  </si>
  <si>
    <t>Fr 3 II XVII</t>
  </si>
  <si>
    <t>Fr 3 II XVI-XVII</t>
  </si>
  <si>
    <t>Fr 3 II XVIII</t>
  </si>
  <si>
    <t>Fr 3 II XIX</t>
  </si>
  <si>
    <t>Fr 3 II XX</t>
  </si>
  <si>
    <t>Fr 3 II XXII</t>
  </si>
  <si>
    <t>Fr 3 II XXI</t>
  </si>
  <si>
    <t>Fr 3 II XXIII</t>
  </si>
  <si>
    <t>Fr 3 II XXIV</t>
  </si>
  <si>
    <t>Fr 3 II XXV</t>
  </si>
  <si>
    <t>Fr 3 II XXVI</t>
  </si>
  <si>
    <t>Fr 3 II XXVII</t>
  </si>
  <si>
    <t>Fr 3 II XXVIII</t>
  </si>
  <si>
    <t>Fr 3 II XXIX</t>
  </si>
  <si>
    <t>Fr 3 II XXX</t>
  </si>
  <si>
    <t>Fr 3 II XXXI</t>
  </si>
  <si>
    <t>Fr 3 II XXXII</t>
  </si>
  <si>
    <t>Fr 3 II XXXIV</t>
  </si>
  <si>
    <t>Fr 3 II XXXIII</t>
  </si>
  <si>
    <t>Fr 3 II XXXV</t>
  </si>
  <si>
    <t>Fr 3 II XXXVI</t>
  </si>
  <si>
    <t>Fr 3 II XXXVII</t>
  </si>
  <si>
    <t>Fr 3 II XXXVIII</t>
  </si>
  <si>
    <t>Fr 3 II XXXIX</t>
  </si>
  <si>
    <t>Fr 3 II XL</t>
  </si>
  <si>
    <t>Fr 3 II XLI</t>
  </si>
  <si>
    <t>Fr 3 II XLII</t>
  </si>
  <si>
    <t>Fr 3 II XLIII</t>
  </si>
  <si>
    <t>Fr 3 II XLIV</t>
  </si>
  <si>
    <t>Fr 3 II XLV</t>
  </si>
  <si>
    <t>Fr 3 II XLVI</t>
  </si>
  <si>
    <t>Fr 3 II XLVII</t>
  </si>
  <si>
    <t>Fr 3 II XLVIII</t>
  </si>
  <si>
    <t>Fr 3 II XLIX</t>
  </si>
  <si>
    <t>Fr 3 II L</t>
  </si>
  <si>
    <t>Fr 3 II LI</t>
  </si>
  <si>
    <t>Fr 3 II LII</t>
  </si>
  <si>
    <t>Fr 3 II LIII</t>
  </si>
  <si>
    <t>Fr 3 II LVI</t>
  </si>
  <si>
    <t>Fr 3 II LVII</t>
  </si>
  <si>
    <t>Fr 3 II LVIII</t>
  </si>
  <si>
    <t>Fr 3 II LIX</t>
  </si>
  <si>
    <t>Fr 3 II LX</t>
  </si>
  <si>
    <t>Fr 3 II LIV</t>
  </si>
  <si>
    <t>Fr 3 II LXI</t>
  </si>
  <si>
    <t>Fr 3 II LXII</t>
  </si>
  <si>
    <t>Fr 3 II LXIII</t>
  </si>
  <si>
    <t>Fr 3 II LXIV</t>
  </si>
  <si>
    <t>Fr 3 II LXV</t>
  </si>
  <si>
    <t>Fr 3 II LXVI</t>
  </si>
  <si>
    <t>Fr 3 II LXVIII</t>
  </si>
  <si>
    <t>Fr 3 II LXVII</t>
  </si>
  <si>
    <t>Fr 3 II LXIX</t>
  </si>
  <si>
    <t>Fr 3 II LXX</t>
  </si>
  <si>
    <t>Fr 3 II LXXI</t>
  </si>
  <si>
    <t>Fr 3 II LXXII</t>
  </si>
  <si>
    <t>Fr 3 II LXXIII</t>
  </si>
  <si>
    <t>Fr 3 II LXXIV</t>
  </si>
  <si>
    <t>Fr 3 II LXXVI</t>
  </si>
  <si>
    <t>Fr 3 II LXXVII</t>
  </si>
  <si>
    <t>Fr 3 II LXXVIII</t>
  </si>
  <si>
    <t>Fr 4 II II</t>
  </si>
  <si>
    <t>Fr 4 II III</t>
  </si>
  <si>
    <t>Fr 4 II IV</t>
  </si>
  <si>
    <t>Fr 4 II V</t>
  </si>
  <si>
    <t>Fr 4 II VI</t>
  </si>
  <si>
    <t>Fr 4 II VII</t>
  </si>
  <si>
    <t>Fr 4 II VIII</t>
  </si>
  <si>
    <t>Fr 4 II IX</t>
  </si>
  <si>
    <t>Fr 4 II X</t>
  </si>
  <si>
    <t>Fr 4 II XI</t>
  </si>
  <si>
    <t>Fr 4 II XII</t>
  </si>
  <si>
    <t>Fr 4 II XIV</t>
  </si>
  <si>
    <t>Fr 4 II XV</t>
  </si>
  <si>
    <t>Fr 4 II XVI</t>
  </si>
  <si>
    <t>Fr 4 II XVII</t>
  </si>
  <si>
    <t>Fr 4 II XIII</t>
  </si>
  <si>
    <t>Fr 4 II XVIII</t>
  </si>
  <si>
    <t>Fr 4 II XIX</t>
  </si>
  <si>
    <t>Fr 4 II XX</t>
  </si>
  <si>
    <t>Fr 4 II XXI</t>
  </si>
  <si>
    <t>Fr 4 II XXII</t>
  </si>
  <si>
    <t>Fr 4 II XXIII</t>
  </si>
  <si>
    <t>Fr 4 II XXIV</t>
  </si>
  <si>
    <t>Fr 4 II XXV</t>
  </si>
  <si>
    <t>Fr 4 II XXVI</t>
  </si>
  <si>
    <t>Fr 4 II XXVII</t>
  </si>
  <si>
    <t>Fr 4 II XXVIII</t>
  </si>
  <si>
    <t>Fr 4 II XXIX</t>
  </si>
  <si>
    <t>Fr 4 II XXX</t>
  </si>
  <si>
    <t>Fr 4 II XXXI</t>
  </si>
  <si>
    <t>Fr 4 II XXXII</t>
  </si>
  <si>
    <t>Fr 4 II XXXIII</t>
  </si>
  <si>
    <t>Fr 4 II XXXIV</t>
  </si>
  <si>
    <t>Fr 4 II XXXV</t>
  </si>
  <si>
    <t>Fr 4 II XXXVI</t>
  </si>
  <si>
    <t>Fr 4 II XXXVII</t>
  </si>
  <si>
    <t>Fr 4 II XXXVIII</t>
  </si>
  <si>
    <t>Fr 4 II XXXIX</t>
  </si>
  <si>
    <t>Troyes, Bibl. mun. 960</t>
  </si>
  <si>
    <t>Reims, Bibl. mun. 250</t>
  </si>
  <si>
    <t>Charleville, Bibl. mun. 172</t>
  </si>
  <si>
    <t>Reims, Bibl. mun. 452</t>
  </si>
  <si>
    <t>Troyes, Bibl. mun. 426</t>
  </si>
  <si>
    <t>Troyes, Bibl. mun. 799</t>
  </si>
  <si>
    <t>Troyes, Bibl. mun. 1484</t>
  </si>
  <si>
    <t>Strasbourg, Grand Séminaire 37</t>
  </si>
  <si>
    <t>Charleville, Bibl. mun. 2</t>
  </si>
  <si>
    <t>Charleville, Bibl. mun. 246D</t>
  </si>
  <si>
    <t>Reims, Bibl. mun. 1330</t>
  </si>
  <si>
    <t>Troyes, Bibl. mun. 597</t>
  </si>
  <si>
    <t>Troyes, Bibl. mun. 1159</t>
  </si>
  <si>
    <t>Charleville, Bibl. mun. 34</t>
  </si>
  <si>
    <t>Dole, Bibl. mun. 15</t>
  </si>
  <si>
    <t>Verdun, Bibl. mun. 6</t>
  </si>
  <si>
    <t>Reims, Bibl. mun. 1843</t>
  </si>
  <si>
    <t>Saint-Mihiel, Bibl. mun. 14</t>
  </si>
  <si>
    <t>Colmar, Bibl. mun. 331</t>
  </si>
  <si>
    <t>Troyes, Bibl. mun. 268</t>
  </si>
  <si>
    <t>Reims, Bibl. mun. 248</t>
  </si>
  <si>
    <t>Reims, Bibl. mun. 812</t>
  </si>
  <si>
    <t>Troyes, Bibl. mun. 1739</t>
  </si>
  <si>
    <t>Dole, Bibl. mun. 269</t>
  </si>
  <si>
    <t>Troyes, Bibl. mun. 2403</t>
  </si>
  <si>
    <t>Troyes, Bibl. mun. 2402</t>
  </si>
  <si>
    <t>Troyes, Bibl. mun. 1709</t>
  </si>
  <si>
    <t>Besancon, Bibl. mun. 538</t>
  </si>
  <si>
    <t>Metz, Bibl. mun. 262 (2° ms.)</t>
  </si>
  <si>
    <t>Troyes, Bibl. mun. 665</t>
  </si>
  <si>
    <t>Troyes, Bibl. mun. 792</t>
  </si>
  <si>
    <t>Nancy, Bibl. mun. 494</t>
  </si>
  <si>
    <t>Troyes, Bibl. mun. 1402</t>
  </si>
  <si>
    <t>Troyes, Bibl. mun. 2006</t>
  </si>
  <si>
    <t>Troyes, Bibl. mun. 1999</t>
  </si>
  <si>
    <t>Reims, Bibl. mun. 816</t>
  </si>
  <si>
    <t>Troyes, Bibl. mun. 386</t>
  </si>
  <si>
    <t>Reims, Bibl. mun. 492</t>
  </si>
  <si>
    <t>Paris, BnF, Lat. 9448</t>
  </si>
  <si>
    <t>Paris, BnF, Lat. 16819</t>
  </si>
  <si>
    <t>Paris, BnF, Lat. 12302</t>
  </si>
  <si>
    <t>Paris, BnF, Lat. 8851</t>
  </si>
  <si>
    <t>Paris, BnF, Lat. 15392</t>
  </si>
  <si>
    <t>Paris, BnF, Lat. 17333</t>
  </si>
  <si>
    <t>Paris, BnF, Lat. 8878</t>
  </si>
  <si>
    <t>Paris, BnF, Lat. 11751</t>
  </si>
  <si>
    <t>Paris, BnF, Lat. 9518</t>
  </si>
  <si>
    <t>Paris, BnF, Lat. 10500</t>
  </si>
  <si>
    <t>Paris, BnF, Lat. 10438</t>
  </si>
  <si>
    <t>Paris, BnF, Lat. 8912</t>
  </si>
  <si>
    <t>Paris, BnF, Lat. 8922</t>
  </si>
  <si>
    <t>Paris, BnF, Lat. 8960</t>
  </si>
  <si>
    <t>Paris, BnF, Lat. 9528</t>
  </si>
  <si>
    <t>Paris, BnF, Lat. 9568</t>
  </si>
  <si>
    <t>Paris, BnF, Lat. 9666</t>
  </si>
  <si>
    <t>Paris, BnF, Lat. 10510</t>
  </si>
  <si>
    <t>Paris, BnF, Lat. 9449</t>
  </si>
  <si>
    <t>Paris, BnF, Lat. 12117</t>
  </si>
  <si>
    <t>Paris, BnF, Lat. 12170</t>
  </si>
  <si>
    <t>Paris, BnF, Lat. 12223</t>
  </si>
  <si>
    <t>Paris, BnF, Lat. 13758</t>
  </si>
  <si>
    <t>Paris, BnF, Lat. 12225</t>
  </si>
  <si>
    <t>Paris, BnF, Lat. 9438</t>
  </si>
  <si>
    <t>Paris, BnF, Lat. 9536</t>
  </si>
  <si>
    <t>Paris, BnF, Lat. 12055</t>
  </si>
  <si>
    <t>Paris, BnF, Lat. 11577</t>
  </si>
  <si>
    <t>Paris, BnF, Lat. 12072</t>
  </si>
  <si>
    <t>Paris, BnF, Lat. 14480</t>
  </si>
  <si>
    <t>Paris, BnF, Lat. 17545</t>
  </si>
  <si>
    <t>Paris, BnF, Lat. 11851</t>
  </si>
  <si>
    <t>Paris, BnF, Lat. 10913</t>
  </si>
  <si>
    <t>Paris, BnF, Lat. 14314</t>
  </si>
  <si>
    <t>Paris, BnF, Lat. 14802</t>
  </si>
  <si>
    <t>Paris, BnF, Lat. 11575</t>
  </si>
  <si>
    <t>Paris, BnF, Lat. 11576</t>
  </si>
  <si>
    <t>Paris, BnF, Lat. 9688</t>
  </si>
  <si>
    <t>Paris, BnF, Lat. 12583</t>
  </si>
  <si>
    <t>Paris, BnF, Lat. 17768</t>
  </si>
  <si>
    <t>Paris, BnF, Lat. 11564</t>
  </si>
  <si>
    <t>Paris, BnF, Lat. 11700</t>
  </si>
  <si>
    <t>Paris, BnF, Lat. 8898</t>
  </si>
  <si>
    <t>Paris, BnF, Lat. 16729</t>
  </si>
  <si>
    <t>Paris, BnF, Lat. 16943</t>
  </si>
  <si>
    <t>Paris, BnF, Lat. 17801</t>
  </si>
  <si>
    <t>Paris, BnF, Lat. 16528</t>
  </si>
  <si>
    <t>Paris, BnF, Lat. 16200</t>
  </si>
  <si>
    <t>Paris, BnF, Lat. 13889</t>
  </si>
  <si>
    <t>Paris, BnF, Lat. 9894</t>
  </si>
  <si>
    <t>Paris, BnF, Lat. 8097</t>
  </si>
  <si>
    <t>Paris, BnF, Lat. 10488</t>
  </si>
  <si>
    <t>Paris, BnF, Lat. 8884</t>
  </si>
  <si>
    <t>Paris, BnF, Lat. 15239</t>
  </si>
  <si>
    <t>Paris, BnF, Lat. 9970</t>
  </si>
  <si>
    <t>Paris, BnF, Lat. 15613</t>
  </si>
  <si>
    <t>Paris, BnF, Lat. 15652</t>
  </si>
  <si>
    <t>Paris, BnF, Lat. 15702</t>
  </si>
  <si>
    <t>Paris, BnF, Lat. 15453</t>
  </si>
  <si>
    <t>Paris, BnF, Lat. 15947</t>
  </si>
  <si>
    <t>Paris, BnF, Lat. 15948</t>
  </si>
  <si>
    <t>Paris, BnF, Lat. 9992</t>
  </si>
  <si>
    <t>Paris, BnF, Lat. 15906</t>
  </si>
  <si>
    <t>Paris, BnF, Lat. 10016</t>
  </si>
  <si>
    <t>Paris, BnF, Lat. 16334</t>
  </si>
  <si>
    <t>Paris, BnF, Lat. 15773</t>
  </si>
  <si>
    <t>Paris, BnF, Lat. 15411</t>
  </si>
  <si>
    <t>Paris, BnF, Lat. 12422</t>
  </si>
  <si>
    <t>Paris, BnF, Lat. 12423</t>
  </si>
  <si>
    <t>Paris, BnF, Lat. 12424</t>
  </si>
  <si>
    <t>Paris, BnF, Lat. 10525</t>
  </si>
  <si>
    <t>Paris, BnF, Lat. 17880</t>
  </si>
  <si>
    <t>Paris, BnF, Lat. 11063</t>
  </si>
  <si>
    <t>Paris, BnF, Lat. 9975</t>
  </si>
  <si>
    <t>Paris, BnF, Lat. 16407</t>
  </si>
  <si>
    <t>Paris, BnF, Lat. 15951</t>
  </si>
  <si>
    <t>Paris, BnF, Lat. 15954</t>
  </si>
  <si>
    <t>Paris, BnF, Lat. 15955</t>
  </si>
  <si>
    <t>Paris, BnF, Lat. 15959</t>
  </si>
  <si>
    <t>Paris, BnF, Lat. 15964</t>
  </si>
  <si>
    <t>Paris, BnF, Lat. 16471</t>
  </si>
  <si>
    <t>Paris, BnF, Lat. 18224</t>
  </si>
  <si>
    <t>Paris, BnF, Lat. 15971</t>
  </si>
  <si>
    <t>Paris, BnF, Lat. 16505</t>
  </si>
  <si>
    <t>Paris, BnF, Lat. 15746</t>
  </si>
  <si>
    <t>Paris, BnF, Lat. 11728</t>
  </si>
  <si>
    <t>Paris, BnF, Lat. 11000</t>
  </si>
  <si>
    <t>Paris, BnF, Lat. 15783</t>
  </si>
  <si>
    <t>Paris, BnF, Lat. 15467</t>
  </si>
  <si>
    <t>Paris, BnF, Lat. 15133</t>
  </si>
  <si>
    <t>Paris, BnF, Lat. 15791</t>
  </si>
  <si>
    <t>Paris, BnF, Lat. 15349</t>
  </si>
  <si>
    <t>Paris, BnF, Lat. 15796</t>
  </si>
  <si>
    <t>Paris, BnF, Lat. 15795</t>
  </si>
  <si>
    <t>Paris, BnF, Lat. 16053</t>
  </si>
  <si>
    <t>Paris, BnF, Lat. 16106</t>
  </si>
  <si>
    <t>Paris, BnF, Lat. 16055</t>
  </si>
  <si>
    <t>Paris, BnF, Lat. 16563</t>
  </si>
  <si>
    <t>Paris, BnF, Lat. 8350</t>
  </si>
  <si>
    <t>Paris, BnF, Lat. 16096</t>
  </si>
  <si>
    <t>Paris, BnF, Lat. 16481</t>
  </si>
  <si>
    <t>Paris, BnF, Lat. 16482</t>
  </si>
  <si>
    <t>Paris, BnF, Lat. 13222</t>
  </si>
  <si>
    <t>Paris, BnF, Lat. 16114</t>
  </si>
  <si>
    <t>Paris, BnF, Lat. 16616</t>
  </si>
  <si>
    <t>Paris, BnF, Lat. 8422</t>
  </si>
  <si>
    <t>Paris, BnF, Lat. 8116</t>
  </si>
  <si>
    <t>Paris, BnF, Lat. 11337</t>
  </si>
  <si>
    <t>Paris, BnF, Lat. 15952</t>
  </si>
  <si>
    <t>Paris, BnF, Lat. 16206</t>
  </si>
  <si>
    <t>Paris, BnF, Lat. 14596</t>
  </si>
  <si>
    <t>Paris, BnF, Lat. 16113</t>
  </si>
  <si>
    <t>Paris, BnF, Lat. 16119</t>
  </si>
  <si>
    <t>Paris, BnF, Lat. 17551</t>
  </si>
  <si>
    <t>Paris, BnF, Lat. 16157</t>
  </si>
  <si>
    <t>Paris, BnF, Lat. 8351</t>
  </si>
  <si>
    <t>Paris, BnF, Lat. 11019</t>
  </si>
  <si>
    <t>Paris, BnF, Lat. 14560</t>
  </si>
  <si>
    <t>Paris, BnF, Lat. 16184</t>
  </si>
  <si>
    <t>Paris, BnF, Lat. 15863</t>
  </si>
  <si>
    <t>Paris, BnF, Lat. 14092</t>
  </si>
  <si>
    <t>Paris, BnF, Lat. 15279</t>
  </si>
  <si>
    <t>Paris, BnF, Lat. 15158</t>
  </si>
  <si>
    <t>Paris, BnF, Lat. 16118</t>
  </si>
  <si>
    <t>Paris, BnF, Lat. 15355</t>
  </si>
  <si>
    <t>Paris, BnF, Lat. 9885</t>
  </si>
  <si>
    <t>Paris, BnF, Lat. 16122</t>
  </si>
  <si>
    <t>Paris, BnF, Lat. 15848</t>
  </si>
  <si>
    <t>Paris, BnF, Lat. 8942</t>
  </si>
  <si>
    <t>Paris, BnF, Lat. 14382</t>
  </si>
  <si>
    <t>Paris, BnF, Lat. 16210</t>
  </si>
  <si>
    <t>Paris, BnF, Lat. 16492</t>
  </si>
  <si>
    <t>Paris, BnF, Lat. 16493</t>
  </si>
  <si>
    <t>Paris, BnF, Lat. 15350</t>
  </si>
  <si>
    <t>Paris, BnF, Lat. 16717</t>
  </si>
  <si>
    <t>Paris, BnF, Lat. 9187</t>
  </si>
  <si>
    <t>Paris, BnF, Lat. 8603</t>
  </si>
  <si>
    <t>Paris, BnF, Lat. 15842</t>
  </si>
  <si>
    <t>Paris, BnF, Lat. 15845</t>
  </si>
  <si>
    <t>Paris, BnF, Lat. 9444</t>
  </si>
  <si>
    <t>Paris, BnF, Lat. 14167</t>
  </si>
  <si>
    <t>Paris, BnF, NAL 1442</t>
  </si>
  <si>
    <t>Paris, BnF, NAL 1452</t>
  </si>
  <si>
    <t>Paris, BnF, NAL 1460</t>
  </si>
  <si>
    <t>Paris, BnF, NAL 1611</t>
  </si>
  <si>
    <t>Paris, BnF, NAL 1454</t>
  </si>
  <si>
    <t>Paris, BnF, NAL 1453</t>
  </si>
  <si>
    <t>Paris, BnF, NAL 1437</t>
  </si>
  <si>
    <t>Paris, BnF, NAL 1461</t>
  </si>
  <si>
    <t>Paris, BnF, NAL 1478</t>
  </si>
  <si>
    <t>Paris, BnF, NAL 1438</t>
  </si>
  <si>
    <t>Paris, BnF, NAL 2180</t>
  </si>
  <si>
    <t>Paris, BnF, NAL 2253</t>
  </si>
  <si>
    <t>Paris, BnF, NAL 2390</t>
  </si>
  <si>
    <t>Paris, BnF, Lat. 17275</t>
  </si>
  <si>
    <t>Paris, BnF, NAL 2196</t>
  </si>
  <si>
    <t>Paris, BnF, NAL 1548</t>
  </si>
  <si>
    <t>Paris, BnF, NAL 2169</t>
  </si>
  <si>
    <t>Paris, BnF, NAL 2246</t>
  </si>
  <si>
    <t>Paris, BnF, NAL 2195</t>
  </si>
  <si>
    <t>Paris, BnF, NAL 1064</t>
  </si>
  <si>
    <t>Paris, BnF, NAL 706</t>
  </si>
  <si>
    <t>Paris, BnF, NAL 1772</t>
  </si>
  <si>
    <t>Paris, BnF, NAL 1543</t>
  </si>
  <si>
    <t>Paris, BnF, NAL 264</t>
  </si>
  <si>
    <t>Paris, BnF, NAL 296</t>
  </si>
  <si>
    <t>Paris, BnF, NAL 605</t>
  </si>
  <si>
    <t>Paris, BnF, NAL 541</t>
  </si>
  <si>
    <t>Paris, BnF, NAL 338</t>
  </si>
  <si>
    <t>Paris, BnF, NAL 1077</t>
  </si>
  <si>
    <t>Paris, BnF, NAL 836</t>
  </si>
  <si>
    <t>Paris, BnF, Lat. 3173</t>
  </si>
  <si>
    <t>Paris, BnF, NAL 273</t>
  </si>
  <si>
    <t>Paris, BnF, NAL 1469</t>
  </si>
  <si>
    <t>Paris, BnF, NAL 859</t>
  </si>
  <si>
    <t>Paris, BnF, NAL 1468</t>
  </si>
  <si>
    <t>Paris, BnF, NAL 2605</t>
  </si>
  <si>
    <t>Paris, BnF, NAL 2042</t>
  </si>
  <si>
    <t>Paris, BnF, NAL 1401</t>
  </si>
  <si>
    <t>Paris, BnF, NAL 1800</t>
  </si>
  <si>
    <t>Paris, BnF, NAL 428</t>
  </si>
  <si>
    <t>Paris, BnF, NAL 927</t>
  </si>
  <si>
    <t>Paris, BnF, NAL 1608</t>
  </si>
  <si>
    <t>Paris, BnF, NAL 311</t>
  </si>
  <si>
    <t>Paris, BnF, NAL 594</t>
  </si>
  <si>
    <t>Paris, BnF, NAL 352</t>
  </si>
  <si>
    <t>Paris, BnF, Esp. 566</t>
  </si>
  <si>
    <t>Charleville, Bibl. mun. 114</t>
  </si>
  <si>
    <t>Charleville, Bibl. mun. 26, t. I</t>
  </si>
  <si>
    <t>Charleville, Bibl. mun. 197A, t. II</t>
  </si>
  <si>
    <t>Charleville, Bibl. mun. 26, t. II</t>
  </si>
  <si>
    <t>Charleville, Bibl. mun. 246B</t>
  </si>
  <si>
    <t>Fr 5 II IV</t>
  </si>
  <si>
    <t>Fr 5 II V</t>
  </si>
  <si>
    <t>Fr 5 II VI</t>
  </si>
  <si>
    <t>Fr 5 II VII</t>
  </si>
  <si>
    <t>Fr 5 II XI</t>
  </si>
  <si>
    <t>Fr 5 II X</t>
  </si>
  <si>
    <t>Fr 5 II XII</t>
  </si>
  <si>
    <t>Fr 5 II XIII</t>
  </si>
  <si>
    <t>Fr 5 II XV</t>
  </si>
  <si>
    <t>Fr 5 II XIV</t>
  </si>
  <si>
    <t>Fr 5 II XVI</t>
  </si>
  <si>
    <t>Fr 5 II XVII</t>
  </si>
  <si>
    <t>Fr 5 II XVIII</t>
  </si>
  <si>
    <t>Fr 5 II XX</t>
  </si>
  <si>
    <t>Fr 5 II XXI</t>
  </si>
  <si>
    <t>Fr 5 II XXIII</t>
  </si>
  <si>
    <t>Fr 5 II XXII</t>
  </si>
  <si>
    <t>Fr 5 II XXIV</t>
  </si>
  <si>
    <t>Fr 5 II XXV</t>
  </si>
  <si>
    <t>Fr 5 II XXVI</t>
  </si>
  <si>
    <t>Fr 5 II XXVII</t>
  </si>
  <si>
    <t>Fr 5 II XXVIII</t>
  </si>
  <si>
    <t>Fr 5 II XXIX</t>
  </si>
  <si>
    <t>Fr 5 II XXX</t>
  </si>
  <si>
    <t>Fr 5 II XXXI</t>
  </si>
  <si>
    <t>Fr 5 II XXXII</t>
  </si>
  <si>
    <t>Fr 5 II XXXIII</t>
  </si>
  <si>
    <t>Fr 5 II XXXVI</t>
  </si>
  <si>
    <t>Fr 5 II XXXIV</t>
  </si>
  <si>
    <t>Fr 5 II XXXV</t>
  </si>
  <si>
    <t>Avignon, Bibl. mun. 98</t>
  </si>
  <si>
    <t>Dijon, Bibl. mun. 130</t>
  </si>
  <si>
    <t>Dijon, Bibl. mun. 658</t>
  </si>
  <si>
    <t>Auxerre, Bibl. mun. 142</t>
  </si>
  <si>
    <t>Nîmes, Bibl. mun. 14</t>
  </si>
  <si>
    <t>Auxerre, Bibl. mun. 145</t>
  </si>
  <si>
    <t>Dijon, Bibl. mun. 114</t>
  </si>
  <si>
    <t>Auxerre, Bibl. mun. 227</t>
  </si>
  <si>
    <t>Dijon, Bibl. mun. 60</t>
  </si>
  <si>
    <t>Perpignan, Bibl. mun. 4</t>
  </si>
  <si>
    <t>1249-1250</t>
  </si>
  <si>
    <t>Dijon, Bibl. mun. 219</t>
  </si>
  <si>
    <t>Dijon, Bibl. mun. 633</t>
  </si>
  <si>
    <t>Lyon, Bibl. mun. 678</t>
  </si>
  <si>
    <t>Albi, Bibl. mun. 25 (76)</t>
  </si>
  <si>
    <t>Grenoble, Bibl. mun. 73 (874)</t>
  </si>
  <si>
    <t>1291-1293</t>
  </si>
  <si>
    <t>Dijon, Bibl. mun. 595</t>
  </si>
  <si>
    <t>Toulouse, Bibl. mun. 609</t>
  </si>
  <si>
    <t>Auxerre, Bibl. mun. 78</t>
  </si>
  <si>
    <t>Clermont-Ferrand, Bibl. mun. 102</t>
  </si>
  <si>
    <t>Clermont-Ferrand, Bibl. mun. 674</t>
  </si>
  <si>
    <t>Montpellier, Fac. méd. 395</t>
  </si>
  <si>
    <t>Toulouse, Bibl. mun. 161</t>
  </si>
  <si>
    <t>Toulouse, Bibl. mun. 168</t>
  </si>
  <si>
    <t>Toulouse, Bibl. mun. 185</t>
  </si>
  <si>
    <t>Toulouse, Bibl. mun. 154</t>
  </si>
  <si>
    <t>Toulouse, Bibl. mun. 189</t>
  </si>
  <si>
    <t>Beaune, Bibl. mun. 61</t>
  </si>
  <si>
    <t>Toulouse, Bibl. mun. 418</t>
  </si>
  <si>
    <t>Dijon, Bibl. mun. 597</t>
  </si>
  <si>
    <t>1297-1298</t>
  </si>
  <si>
    <t>Lyon, Bibl. mun. 464</t>
  </si>
  <si>
    <t>Toulouse, Bibl. mun. 178</t>
  </si>
  <si>
    <t>Montpellier, Fac. méd. 373</t>
  </si>
  <si>
    <t>Grenoble, Bibl. mun. 830 (1087)</t>
  </si>
  <si>
    <t>Chambéry, Bibl. mun. 29</t>
  </si>
  <si>
    <t>Sens, Bibl. mun. 55</t>
  </si>
  <si>
    <t>Sens, Bibl. mun. 56</t>
  </si>
  <si>
    <t>Toulouse, Bibl. mun. 188</t>
  </si>
  <si>
    <t>Toulouse, Bibl. mun. 44</t>
  </si>
  <si>
    <t>Sens, Bibl. mun. 62</t>
  </si>
  <si>
    <t>Grenoble, Bibl. mun. 861 (293)</t>
  </si>
  <si>
    <t>Fr 6 II IX</t>
  </si>
  <si>
    <t>Fr 6 II X</t>
  </si>
  <si>
    <t>Fr 6 II XI</t>
  </si>
  <si>
    <t>Fr 6 II XIII</t>
  </si>
  <si>
    <t>Fr 6 II XII</t>
  </si>
  <si>
    <t>Fr 6 II XIV</t>
  </si>
  <si>
    <t>Fr 6 II XV</t>
  </si>
  <si>
    <t>Fr 6 II XVI</t>
  </si>
  <si>
    <t>Fr 6 II XVII</t>
  </si>
  <si>
    <t>Fr 6 II XVIII</t>
  </si>
  <si>
    <t>Fr 6 II XIX</t>
  </si>
  <si>
    <t>Fr 6 II XXI</t>
  </si>
  <si>
    <t>Fr 6 II XXII</t>
  </si>
  <si>
    <t>Fr 6 II XXIII</t>
  </si>
  <si>
    <t>Fr 6 II XXIV</t>
  </si>
  <si>
    <t>Fr 6 II XXV</t>
  </si>
  <si>
    <t>Fr 6 II XXVI</t>
  </si>
  <si>
    <t>Fr 6 II XXVII</t>
  </si>
  <si>
    <t>Fr 6 II XXVIII</t>
  </si>
  <si>
    <t>Fr 6 II XXIX</t>
  </si>
  <si>
    <t>Fr 6 II XXX</t>
  </si>
  <si>
    <t>Fr 6 II XXXI</t>
  </si>
  <si>
    <t>Fr 6 II XXXIII</t>
  </si>
  <si>
    <t>Fr 6 II XXXII</t>
  </si>
  <si>
    <t>1272-1279</t>
  </si>
  <si>
    <t>Rouen, Bibl. mun. 1378 (U. 40)</t>
  </si>
  <si>
    <t>Tours, Bibl. mun. 1028</t>
  </si>
  <si>
    <t>Orléans, Bibl. mun. 127 (105)</t>
  </si>
  <si>
    <t>Orléans, Bibl. mun. 175 (152)</t>
  </si>
  <si>
    <t>Avranches, Bibl. mun. 95</t>
  </si>
  <si>
    <t>Avranches, Bibl. mun. 98</t>
  </si>
  <si>
    <t>Avranches, Bibl. mun. 240</t>
  </si>
  <si>
    <t>Rouen, Bibl. mun. 395 (Y. 127)</t>
  </si>
  <si>
    <t>Rouen, Bibl. mun. 272 (Y. 196)</t>
  </si>
  <si>
    <t>Rouen, Bibl. mun. 489 (A. 254)</t>
  </si>
  <si>
    <t>Vendôme, Bibl. mun. 203</t>
  </si>
  <si>
    <t>Quimper, Bibl. mun. 16</t>
  </si>
  <si>
    <t>Angers, Bibl. mun. 121 (113)</t>
  </si>
  <si>
    <t>Avranches, Bibl. mun. 193</t>
  </si>
  <si>
    <t>Angers, Bibl. mun. 827 (743)</t>
  </si>
  <si>
    <t>Blois, Bibl. mun. 44</t>
  </si>
  <si>
    <t>Blois, Bibl. mun. 470 (A. 291)</t>
  </si>
  <si>
    <t>Saint-Brieuc, Bibl. mun. 7</t>
  </si>
  <si>
    <t>Évreux, Bibl. mun. 92 L.</t>
  </si>
  <si>
    <t>Évreux, Bibl. mun. 17 L.</t>
  </si>
  <si>
    <t>Tours, Bibl. mun. 344</t>
  </si>
  <si>
    <t>Tours, Bibl. mun. 308</t>
  </si>
  <si>
    <t>Rouen, Bibl. mun. 67 (A. 196)</t>
  </si>
  <si>
    <t>Rouen, Bibl. mun. 77 (A. 155)</t>
  </si>
  <si>
    <t>Rouen, Bibl. mun. 80 (A. 182)</t>
  </si>
  <si>
    <t>Angers, Bibl. mun. 676 (613)</t>
  </si>
  <si>
    <t>Angers, Bibl. mun. 283 (274)</t>
  </si>
  <si>
    <t>Rouen, Bibl. mun. 1405 (Y. 27)</t>
  </si>
  <si>
    <t>Angers, Bibl. mun. 837 (753) [4-46]</t>
  </si>
  <si>
    <t>Alençon, Bibl. mun. 26</t>
  </si>
  <si>
    <t>Rouen, Bibl. mun. 1343 (U. 43)</t>
  </si>
  <si>
    <t>Nantes, Bibl. mun. 1</t>
  </si>
  <si>
    <t>Angers, Bibl. mun. 123 (115)</t>
  </si>
  <si>
    <t>Bourges, Bibl. mun. 218</t>
  </si>
  <si>
    <t>Angers, Bibl. mun. 400 (387)</t>
  </si>
  <si>
    <t>Angers, Bibl. mun. 797 (713)</t>
  </si>
  <si>
    <t>Angers, Bibl. mun. 92 (84)</t>
  </si>
  <si>
    <t>Rouen, Bibl. mun. 477 (A. 191)</t>
  </si>
  <si>
    <t>Rouen, Bibl. mun. 1409 (Y. 189)</t>
  </si>
  <si>
    <t>Rouen, Bibl. mun. 1406 (Y. 41)</t>
  </si>
  <si>
    <t>Orléans, Bibl. mun. 229 (200)</t>
  </si>
  <si>
    <t>Le Mans, Bibl. mun. 23</t>
  </si>
  <si>
    <t>Angers, Bibl. mun. 187 (179)</t>
  </si>
  <si>
    <t>Tours, Bibl. mun. 90</t>
  </si>
  <si>
    <t>Rouen, Bibl. mun. 32 (A. 21)</t>
  </si>
  <si>
    <t>Évreux, Bibl. mun. 60 L.</t>
  </si>
  <si>
    <t>Évreux, Bibl. mun. 67 L.</t>
  </si>
  <si>
    <t>Tours, Bibl. mun. 1</t>
  </si>
  <si>
    <t>Angers, Bibl. mun. 7 (4)</t>
  </si>
  <si>
    <t>Rennes, Bibl. mun. 1</t>
  </si>
  <si>
    <t>Rouen, Bibl. mun. 144 (A. 257)</t>
  </si>
  <si>
    <t>Rouen, Bibl. mun. 277 (Y. 50)</t>
  </si>
  <si>
    <t>Évreux, Bibl. mun. 2 L.</t>
  </si>
  <si>
    <t>Orléans, Bibl. mun. 32 (29)</t>
  </si>
  <si>
    <t>Orléans, Bibl. mun. 202 (179)</t>
  </si>
  <si>
    <t>Orléans, Bibl. mun. 28 (25)</t>
  </si>
  <si>
    <t>Orléans, Bibl. mun. 29 (26)</t>
  </si>
  <si>
    <t>Rouen, Bibl. mun. 544 (A. 315)</t>
  </si>
  <si>
    <t>Orléans, Bibl. mun. 23 (20)</t>
  </si>
  <si>
    <t>Orléans, Bibl. mun. 24 (21)</t>
  </si>
  <si>
    <t>Orléans, Bibl. mun. 25 (22)</t>
  </si>
  <si>
    <t>Orléans, Bibl. mun. 26 (23)</t>
  </si>
  <si>
    <t>Orléans, Bibl. mun. 27 (24)</t>
  </si>
  <si>
    <t>Orléans, Bibl. mun. 30 (27)</t>
  </si>
  <si>
    <t>Vendôme, Bibl. mun. 17E</t>
  </si>
  <si>
    <t>Tours, Bibl. mun. 77</t>
  </si>
  <si>
    <t>Rouen, Bibl. mun. 276 (A. 459)</t>
  </si>
  <si>
    <t>Tours, Bibl. mun. 127</t>
  </si>
  <si>
    <t>Tours, Bibl. mun. 654</t>
  </si>
  <si>
    <t>Orléans, Bibl. mun. 315 (267bis)</t>
  </si>
  <si>
    <t>Angers, Bibl. mun. 668 (605)</t>
  </si>
  <si>
    <t>Avranches, Bibl. mun. 151</t>
  </si>
  <si>
    <t>Angers, Bibl. mun. 371 (358)</t>
  </si>
  <si>
    <t>Rouen, Bibl. mun. 733 (E. 37)</t>
  </si>
  <si>
    <t>Orléans, Bibl. mun. 299 (252)</t>
  </si>
  <si>
    <t>Orléans, Bibl. mun. 143 (120)</t>
  </si>
  <si>
    <t>Tours, Bibl. mun. 558</t>
  </si>
  <si>
    <t>Caen, Mus. des Beaux-Art, coll. Mancel 86</t>
  </si>
  <si>
    <t>Bayeux, Bibl. du Chapitre, 122</t>
  </si>
  <si>
    <t>Orléans, Bibl. mun. 129 (127)</t>
  </si>
  <si>
    <t>Angers, Bibl. mun. 225 (216)</t>
  </si>
  <si>
    <t>Orléans, Bibl. mun. 336 (284bis)</t>
  </si>
  <si>
    <t>Tours, Bibl. mun. 98</t>
  </si>
  <si>
    <t>Rouen, Bibl. mun. 74 (A. 183)</t>
  </si>
  <si>
    <t>Rouen, Bibl. mun. 75 (A. 184)</t>
  </si>
  <si>
    <t>Rouen, Bibl. mun. 310 (A. 293)</t>
  </si>
  <si>
    <t>Alençon, Bibl. mun. 151</t>
  </si>
  <si>
    <t>Angers, Bibl. mun. 302 (293)</t>
  </si>
  <si>
    <t>Rouen, Bibl. mun. 209 (Y. 175)</t>
  </si>
  <si>
    <t>Rouen, Bibl. mun. 210 (Y. 175)</t>
  </si>
  <si>
    <t>Fr 7 II VII</t>
  </si>
  <si>
    <t>Fr 7 II IX</t>
  </si>
  <si>
    <t>Fr 7 II VIII</t>
  </si>
  <si>
    <t>Fr 7 II X</t>
  </si>
  <si>
    <t>Fr 7 II XI</t>
  </si>
  <si>
    <t>Fr 7 II XII</t>
  </si>
  <si>
    <t>Fr 7 II XIV</t>
  </si>
  <si>
    <t>Fr 7 II XIII</t>
  </si>
  <si>
    <t>Fr 7 II XV</t>
  </si>
  <si>
    <t>Fr 7 II XVII</t>
  </si>
  <si>
    <t>Fr 7 II XVIII</t>
  </si>
  <si>
    <t>Fr 7 II XLI</t>
  </si>
  <si>
    <t>Fr 7 II XLIII</t>
  </si>
  <si>
    <t>Fr 7 II XLIV</t>
  </si>
  <si>
    <t>Fr 7 II XLVIII</t>
  </si>
  <si>
    <t>Fr 7 II XLVII</t>
  </si>
  <si>
    <t>Fr 7 II LI</t>
  </si>
  <si>
    <t>Fr 7 II XLIX</t>
  </si>
  <si>
    <t>Fr 7 II LIII</t>
  </si>
  <si>
    <t>Fr 7 II XIX</t>
  </si>
  <si>
    <t>Fr 7 II XXXI</t>
  </si>
  <si>
    <t>Fr 7 II XXXIII</t>
  </si>
  <si>
    <t>Fr 7 II XXXIV</t>
  </si>
  <si>
    <t>Fr 7 II XXXV</t>
  </si>
  <si>
    <t>Fr 7 II LXVII</t>
  </si>
  <si>
    <t>Fr 7 II LXVIII</t>
  </si>
  <si>
    <t>Fr 7 II XXI</t>
  </si>
  <si>
    <t>Fr 7 II XXII</t>
  </si>
  <si>
    <t>Fr 7 II XXIV</t>
  </si>
  <si>
    <t>Fr 7 II XXVII</t>
  </si>
  <si>
    <t>Fr 7 II XXV</t>
  </si>
  <si>
    <t>Fr 7 II XXVIII</t>
  </si>
  <si>
    <t>Fr 7 II XXVI</t>
  </si>
  <si>
    <t>Fr 7 II XXIX</t>
  </si>
  <si>
    <t>Fr 7 II XXX</t>
  </si>
  <si>
    <t>Fr 7 II LIV</t>
  </si>
  <si>
    <t>Fr 7 II LV</t>
  </si>
  <si>
    <t>Fr 7 II LVI</t>
  </si>
  <si>
    <t>Fr 7 II LVII</t>
  </si>
  <si>
    <t>Fr 7 II LVIII</t>
  </si>
  <si>
    <t>Fr 7 II LIX</t>
  </si>
  <si>
    <t>Fr 7 II LX</t>
  </si>
  <si>
    <t>Fr 7 II LXI</t>
  </si>
  <si>
    <t>Fr 7 II LXII</t>
  </si>
  <si>
    <t>Fr 7 II LXIII</t>
  </si>
  <si>
    <t>Fr 7 II LXIV</t>
  </si>
  <si>
    <t>Fr 7 II LXV</t>
  </si>
  <si>
    <t>Fr 7 II LXVI</t>
  </si>
  <si>
    <t>Fr 7 II LXIX</t>
  </si>
  <si>
    <t>Fr 7 II LXX</t>
  </si>
  <si>
    <t>Fr 7 II LXXI</t>
  </si>
  <si>
    <t>Fr 7 II LXXII</t>
  </si>
  <si>
    <t>Fr 7 II LXXIII</t>
  </si>
  <si>
    <t>1076-1092</t>
  </si>
  <si>
    <t>1095-1113</t>
  </si>
  <si>
    <t>1113-1131</t>
  </si>
  <si>
    <t>1125-1133</t>
  </si>
  <si>
    <t>1131-1173</t>
  </si>
  <si>
    <t>1142-1148</t>
  </si>
  <si>
    <t>1157-1173</t>
  </si>
  <si>
    <t>1173-1228</t>
  </si>
  <si>
    <t>1180-1203</t>
  </si>
  <si>
    <t>1198-1217</t>
  </si>
  <si>
    <t>1211-1222</t>
  </si>
  <si>
    <t>1224-1235</t>
  </si>
  <si>
    <t>1234-1235</t>
  </si>
  <si>
    <t>1235-1238</t>
  </si>
  <si>
    <t>1235-1245</t>
  </si>
  <si>
    <t>1238-1253</t>
  </si>
  <si>
    <t>1242-1245</t>
  </si>
  <si>
    <t>1247-1263</t>
  </si>
  <si>
    <t>1248-1259</t>
  </si>
  <si>
    <t>1267-1284</t>
  </si>
  <si>
    <t>1282-1284</t>
  </si>
  <si>
    <t>1296-1298</t>
  </si>
  <si>
    <t>Paris, BnF, Lat. 2885 [ff. 69-160]</t>
  </si>
  <si>
    <t>Paris, BnF, Lat. 3786 [ff. 240-243, 252-259]</t>
  </si>
  <si>
    <t>Paris, BnF, Lat. 5253 [ff. 1-61]</t>
  </si>
  <si>
    <t>Paris, BnF, Lat. 1918 [ff. 1-105]</t>
  </si>
  <si>
    <t>Paris, BnF, Lat. 1793 [ff. 95-150]</t>
  </si>
  <si>
    <t>Paris, BnF, Lat. 1663 [ff. 56-59]</t>
  </si>
  <si>
    <t>Paris, BnF, Lat. 994 [ff. 1-29]</t>
  </si>
  <si>
    <t>Paris, BnF, Lat. 2770 [ff. 146-153]</t>
  </si>
  <si>
    <t>Paris, BnF, Lat. 3549 [ff. 18-24, 67-74, 75-100, 112v-116, 148]</t>
  </si>
  <si>
    <t>Paris, BnF, Lat. 2474 [ff. 24-91]</t>
  </si>
  <si>
    <t>Paris, BnF, Lat. 6963 [ff. 34-40]</t>
  </si>
  <si>
    <t>Paris, BnF, Lat. 3237 [ff. 101v-106, 111-112]</t>
  </si>
  <si>
    <t>Paris, BnF, Lat. 7545 [ff. 1-34]</t>
  </si>
  <si>
    <t>Paris, BnF, Lat. 4427 [ff. 241-324]</t>
  </si>
  <si>
    <t>Paris, BnF, Lat. 6755 [ff. 61-70]</t>
  </si>
  <si>
    <t>Paris, BnF, Lat. 5592 [ff. 108-139]</t>
  </si>
  <si>
    <t>Paris, BnF, Lat. 3517 [ff. 1-30]</t>
  </si>
  <si>
    <t>Paris, BnF, Lat. 606 [ff. 1-107bis]</t>
  </si>
  <si>
    <t>Paris, BnF, Lat. 478 [ff. 42-69]</t>
  </si>
  <si>
    <t>Paris, BnF, Lat. 1240 [ff. 1-80]</t>
  </si>
  <si>
    <t>Paris, BnF, Lat. 1969 [ff. 1-163]</t>
  </si>
  <si>
    <t>Paris, BnF, Lat. 13908 [ff. 1-53]</t>
  </si>
  <si>
    <t>Paris, BnF, Lat. 9376 [ff. 39-42]</t>
  </si>
  <si>
    <t>Paris, BnF, Lat. 13220 [ff. 52-59]</t>
  </si>
  <si>
    <t>Paris, BnF, Lat. 12711 [ff. 5-169]</t>
  </si>
  <si>
    <t>Paris, BnF, Lat. 12943 [ff. 1-96]</t>
  </si>
  <si>
    <t>Paris, BnF, Lat. 17742 [ff. 1-105]</t>
  </si>
  <si>
    <t>Paris, BnF, Lat. 17767 [ff. 11-166, 193-196]</t>
  </si>
  <si>
    <t>Paris, BnF, Lat. 10062 [ff. 37-123, 130-160]</t>
  </si>
  <si>
    <t>Paris, BnF, Lat. 15170 [ff. 126-162]</t>
  </si>
  <si>
    <t>Paris, BnF, Lat. 9376 [ff. 21-31]</t>
  </si>
  <si>
    <t>Paris, BnF, Lat. 8314 [ff. 79-86]</t>
  </si>
  <si>
    <t>Paris, BnF, Lat. 10940 [ff. 1-48]</t>
  </si>
  <si>
    <t>Paris, BnF, Lat. 10477 [ff. 5-16]</t>
  </si>
  <si>
    <t>Paris, BnF, Lat. 11949 [ff. 3-32]</t>
  </si>
  <si>
    <t>Paris, BnF, Lat. 14853 [ff. 105-152]</t>
  </si>
  <si>
    <t>Paris, BnF, Lat. 12833 [ff. 19-86, 109-175]</t>
  </si>
  <si>
    <t>Paris, BnF, Lat. 15419 [ff. 65-179]</t>
  </si>
  <si>
    <t>Paris, BnF, Lat. 15170 [ff. 15-70]</t>
  </si>
  <si>
    <t>Paris, BnF, Lat. 12886 [ff. 51-111]</t>
  </si>
  <si>
    <t>Paris, BnF, Lat. 10938 [ff. 7-15, 32-95]</t>
  </si>
  <si>
    <t>Paris, BnF, Lat. 12886 [ff. 1-23]</t>
  </si>
  <si>
    <t>Paris, BnF, Lat. 12834 [ff. 17-177]</t>
  </si>
  <si>
    <t>Paris, BnF, Lat. 8447 [ff. 1-57]</t>
  </si>
  <si>
    <t>Paris, BnF, Lat. 15143 [ff. 199-241]</t>
  </si>
  <si>
    <t>Paris, BnF, Lat. 16297 [ff. 25-262]</t>
  </si>
  <si>
    <t>Paris, BnF, Lat. 15986 [ff. 234-259]</t>
  </si>
  <si>
    <t>Paris, BnF, Lat. 9754 [ff. 1-105]</t>
  </si>
  <si>
    <t>Paris, BnF, Lat. 16144 [ff. 35-85]</t>
  </si>
  <si>
    <t>Paris, BnF, Lat. 15972 [ff. 174-177]</t>
  </si>
  <si>
    <t>Paris, BnF, Lat. 14348 [ff. 1-60]</t>
  </si>
  <si>
    <t>Paris, BnF, Lat. 14947 [ff. 1-249]</t>
  </si>
  <si>
    <t>Paris, BnF, Lat. 15005 [ff. 87-193]</t>
  </si>
  <si>
    <t>Paris, BnF, Lat. 10105 [ff. 114-220]</t>
  </si>
  <si>
    <t>Paris, BnF, Lat. 16112 [ff. 34v-130]</t>
  </si>
  <si>
    <t>Paris, BnF, Lat. 15131 [ff. 177-189]</t>
  </si>
  <si>
    <t>Paris, BnF, Lat. 10940 [ff. 49-80]</t>
  </si>
  <si>
    <t>Paris, BnF, Lat. 15035 [ff. 1-55]</t>
  </si>
  <si>
    <t>Paris, BnF, Lat. 15363 [ff. 1-69]</t>
  </si>
  <si>
    <t>Paris, BnF, Lat. 15844 [ff. 65-400]</t>
  </si>
  <si>
    <t>Paris, BnF, Lat. 16678 [ff. 40-212]</t>
  </si>
  <si>
    <t>Paris, BnF, Lat. 16615 [ff. 69-75]</t>
  </si>
  <si>
    <t>Paris, BnF, NAL 2170 [ff. 1-234]</t>
  </si>
  <si>
    <t>Paris, BnF, NAL 1441 [ff. 164-263]</t>
  </si>
  <si>
    <t>Paris, BnF, NAL 1455 [ff. 25-31, 74-136]</t>
  </si>
  <si>
    <t>Paris, BnF, NAL 1447 [ff. 1-160]</t>
  </si>
  <si>
    <t>Paris, BnF, NAL 348 [ff. 8-43, 86-134]</t>
  </si>
  <si>
    <t>Paris, BnF, NAL 1496 [ff. 8-26bis]</t>
  </si>
  <si>
    <t>Paris, BnF, Lat. 13779 [ff. 8-31]</t>
  </si>
  <si>
    <t>Paris, BnF, Lat. 13779 [ff. 98-113, 124-129]</t>
  </si>
  <si>
    <t>Paris, BnF, NAL 1870 [ff. 13-36]</t>
  </si>
  <si>
    <t>Paris, BnF, NAL 214 [ff. 1-194]</t>
  </si>
  <si>
    <t>Paris, BnF, Lat. 13779 [ff. 2-7, 32-97]</t>
  </si>
  <si>
    <t>Paris, BnF, Lat. 2702 [ff. 41-131]</t>
  </si>
  <si>
    <t>Paris, BnF, NAL 583 [ff. 1-47]</t>
  </si>
  <si>
    <t>Paris, BnF, NAL 1145 [ff. 1-97]</t>
  </si>
  <si>
    <t>Paris, BnF, NAL 1741 [ff. 79-170]</t>
  </si>
  <si>
    <t>Paris, BnF, NAL 764 [ff. 14-96]</t>
  </si>
  <si>
    <t>Paris, BnF, NAL 855 [ff. 3-37]</t>
  </si>
  <si>
    <t>Paris, BnF, NAL 1404 [ff. 1-28]</t>
  </si>
  <si>
    <t>Verdun, Bibl. mun. 2 [ff. 103-198]</t>
  </si>
  <si>
    <t>Reims, Bibl. mun. 451 [ff. 1-52]</t>
  </si>
  <si>
    <t>Charleville, Bibl. mun. 12 [ff. 1-68]</t>
  </si>
  <si>
    <t>Troyes, Bibl. mun. 1176 [ff. 24-61]</t>
  </si>
  <si>
    <t>Metz, Bibl. mun. 1154 [ff. 1-76]</t>
  </si>
  <si>
    <t>Verdun, Bibl. mun. 3 [ff. 1-3]</t>
  </si>
  <si>
    <t>Troyes, Bibl. mun. 1157 [ff. 1-38]</t>
  </si>
  <si>
    <t>Troyes, Bibl. mun. 1162 [ff. 26-158]</t>
  </si>
  <si>
    <t>Châlons-sur-Marne, Bibl. mun. 48 [ff. 170-239]</t>
  </si>
  <si>
    <t>Metz, Bibl. mun. 651 [ff. 118-133]</t>
  </si>
  <si>
    <t>Colmar, Bibl. mun. 57 [ff. 1-72]</t>
  </si>
  <si>
    <t>Colmar, Bibl. mun. 57 [ff. 73-103]</t>
  </si>
  <si>
    <t>Troyes, Bibl. mun. 244 [ff. 7-191]</t>
  </si>
  <si>
    <t>Châlons-sur-Marne, Bibl. mun. 63 [ff. 2-5]</t>
  </si>
  <si>
    <t>Montpellier, Fac. méd. 303 [ff. 2v-4]</t>
  </si>
  <si>
    <t>Montpellier, Fac. méd. 303 [ff. 5-173]</t>
  </si>
  <si>
    <t>Auxerre, Bibl. mun. 212 [ff. 9-92]</t>
  </si>
  <si>
    <t>Montpellier, Fac. méd. 10 [ff. 1-353]</t>
  </si>
  <si>
    <t>Montpellier, Fac. méd. 142 [ff. 1-32, 107-233]</t>
  </si>
  <si>
    <t>Avignon, Bibl. mun. 2833 [ff. 1-24]</t>
  </si>
  <si>
    <t>Dijon, Bibl. mun. 253 [ff. 2-72]</t>
  </si>
  <si>
    <t>Auxerre, Bibl. mun. 161 [ff. 1-101]</t>
  </si>
  <si>
    <t>Toulouse, Bibl. mun. 157 [ff. 1-129]</t>
  </si>
  <si>
    <t>Avranches, Bibl. mun. 236 [ff. 82bis-97]</t>
  </si>
  <si>
    <t>Avranches, Bibl. mun. 115 [ff. 1-192]</t>
  </si>
  <si>
    <t>Avranches, Bibl. mun. 211 [ff. 156-210]</t>
  </si>
  <si>
    <t>Avranches, Bibl. mun. 229 [ff. 116-192]</t>
  </si>
  <si>
    <t>Avranches, Bibl. mun. 97 [ff. 257-264]</t>
  </si>
  <si>
    <t>Avranches, Bibl. mun. 211 [ff. 67-77]</t>
  </si>
  <si>
    <t>Le Mans, Bibl. mun. 224 [ff. 1-4]</t>
  </si>
  <si>
    <t>Rouen, Bibl. mun. 1174 (Y. 14) [ff. 116-139]</t>
  </si>
  <si>
    <t>Alençon, Bibl. mun. 14 [ff. 11-90, 109-110, 115-156]</t>
  </si>
  <si>
    <t>Rouen, Bibl. mun. 31 (A. 24) [ff. 9-48]</t>
  </si>
  <si>
    <t>Rouen, Bibl. mun. 1174 (Y. 14) [ff. 1-100]</t>
  </si>
  <si>
    <t>Angers, Bibl. mun. 381 (368) [ff. 1-92]</t>
  </si>
  <si>
    <t>Angers, Bibl. mun. 312 (303) [ff. 1-40]</t>
  </si>
  <si>
    <t>Angers, Bibl. mun. 381 (368) [ff. 93-115]</t>
  </si>
  <si>
    <t>Angers, Bibl. mun. 799 (715) [ff. 1-100, 120-171]</t>
  </si>
  <si>
    <t>Rouen, Bibl. mun. 766 (E. 105) [ff. 1-70]</t>
  </si>
  <si>
    <t>Rouen, Bibl. mun. 741 (E. 79) [ff. 1-42]</t>
  </si>
  <si>
    <t>Cambrai, Bibl. mun. 863</t>
  </si>
  <si>
    <t>Cambrai, Bibl. mun. 864</t>
  </si>
  <si>
    <t>Cambrai, Bibl. mun. 215</t>
  </si>
  <si>
    <t>Cambrai, Bibl. mun. 218</t>
  </si>
  <si>
    <t>Cambrai, Bibl. mun. 219 [ff. 1-89]</t>
  </si>
  <si>
    <t>Cambrai, Bibl. mun. 247</t>
  </si>
  <si>
    <t>Cambrai, Bibl. mun. 504</t>
  </si>
  <si>
    <t>Cambrai, Bibl. mun. 506</t>
  </si>
  <si>
    <t>Cambrai, Bibl. mun. 807</t>
  </si>
  <si>
    <t>Cambrai, Bibl. mun. 819</t>
  </si>
  <si>
    <t>Cambrai, Bibl. mun. 229 [ff. 1-57r]</t>
  </si>
  <si>
    <t>Cambrai, Bibl. mun. 229 [ff. 57v-83]</t>
  </si>
  <si>
    <t>Cambrai, Bibl. mun. 1222 [ff. 1-13]</t>
  </si>
  <si>
    <t>Cambrai, Bibl. mun. 193</t>
  </si>
  <si>
    <t>Cambrai, Bibl. mun. 829</t>
  </si>
  <si>
    <t>Cambrai, Bibl. mun. 965</t>
  </si>
  <si>
    <t>Cambrai, Bibl. mun. 90</t>
  </si>
  <si>
    <t>Cambrai, Bibl. mun. 825 [ff. 1-93]</t>
  </si>
  <si>
    <t>Cambrai, Bibl. mun. 172</t>
  </si>
  <si>
    <t>Cambrai, Bibl. mun. 46 [ff. 1-246]</t>
  </si>
  <si>
    <t>Cambrai, Bibl. mun. 561</t>
  </si>
  <si>
    <t>Cambrai, Bibl. mun. 1161</t>
  </si>
  <si>
    <t>Cambrai, Bibl. mun. 861</t>
  </si>
  <si>
    <t>Cambrai, Bibl. mun. 37</t>
  </si>
  <si>
    <t>Cambrai, Bibl. mun. 809 [ff. 90-103]</t>
  </si>
  <si>
    <t>Cambrai, Bibl. mun. 28</t>
  </si>
  <si>
    <t>Cambrai, Bibl. mun. 38</t>
  </si>
  <si>
    <t>Cambrai, Bibl. mun. 56 [ff. 1-186]</t>
  </si>
  <si>
    <t>Cambrai, Bibl. mun. 93 [ff. 1-338]</t>
  </si>
  <si>
    <t>Cambrai, Bibl. mun. 96</t>
  </si>
  <si>
    <t>Cambrai, Bibl. mun. 181</t>
  </si>
  <si>
    <t>Cambrai, Bibl. mun. 1233</t>
  </si>
  <si>
    <t>Cambrai, Bibl. mun. 646</t>
  </si>
  <si>
    <t>Cambrai, Bibl. mun. 183</t>
  </si>
  <si>
    <t>Cambrai, Bibl. mun. 1152 [ff. 1-63]</t>
  </si>
  <si>
    <t>Cambrai, Bibl. mun. 170 [ff. 1-24]</t>
  </si>
  <si>
    <t>Cambrai, Bibl. mun. 1108</t>
  </si>
  <si>
    <t>Cambrai, Bibl. mun. 1109</t>
  </si>
  <si>
    <t>Cambrai, Bibl. mun. 190</t>
  </si>
  <si>
    <t>Cambrai, Bibl. mun. 189</t>
  </si>
  <si>
    <t>Cambrai, Bibl. mun. 99</t>
  </si>
  <si>
    <t>Cambrai, Bibl. mun. 519</t>
  </si>
  <si>
    <t>Cambrai, Bibl. mun. 1225</t>
  </si>
  <si>
    <t>Cambrai, Bibl. mun. 1039 [ff. 1-8, 25-80, 93-114]</t>
  </si>
  <si>
    <t>Cambrai, Bibl. mun. 534</t>
  </si>
  <si>
    <t>Cambrai, Bibl. mun. 139</t>
  </si>
  <si>
    <t>Cam 12</t>
  </si>
  <si>
    <t>Cam 13</t>
  </si>
  <si>
    <t>Cam 14</t>
  </si>
  <si>
    <t>Cam 15</t>
  </si>
  <si>
    <t>Cam 16</t>
  </si>
  <si>
    <t>Cam 17</t>
  </si>
  <si>
    <t>Cam 18</t>
  </si>
  <si>
    <t>Cam 19</t>
  </si>
  <si>
    <t>Cam 25</t>
  </si>
  <si>
    <t>Cam 26</t>
  </si>
  <si>
    <t>Cam 27</t>
  </si>
  <si>
    <t>Cam 28</t>
  </si>
  <si>
    <t>Cam 40</t>
  </si>
  <si>
    <t>Cam 41</t>
  </si>
  <si>
    <t>Cam 42</t>
  </si>
  <si>
    <t>Cam 43</t>
  </si>
  <si>
    <t>Cam 47</t>
  </si>
  <si>
    <t>Cam 50</t>
  </si>
  <si>
    <t>Cam 54</t>
  </si>
  <si>
    <t>Cam 56</t>
  </si>
  <si>
    <t>Cam 57</t>
  </si>
  <si>
    <t>Cam 58</t>
  </si>
  <si>
    <t>Cam 59</t>
  </si>
  <si>
    <t>Cam 60</t>
  </si>
  <si>
    <t>Cam 61</t>
  </si>
  <si>
    <t>Cam 62</t>
  </si>
  <si>
    <t>Cam 63</t>
  </si>
  <si>
    <t>Cam 64</t>
  </si>
  <si>
    <t>Cam 65</t>
  </si>
  <si>
    <t>Cam 66</t>
  </si>
  <si>
    <t>Cam 67</t>
  </si>
  <si>
    <t>Cam 68</t>
  </si>
  <si>
    <t>Cam 69</t>
  </si>
  <si>
    <t>Cam 70</t>
  </si>
  <si>
    <t>Cam 71</t>
  </si>
  <si>
    <t>Cam 73</t>
  </si>
  <si>
    <t>Cam 74</t>
  </si>
  <si>
    <t>Cam 75</t>
  </si>
  <si>
    <t>Cam 77</t>
  </si>
  <si>
    <t>Cam 78</t>
  </si>
  <si>
    <t>Cam 79</t>
  </si>
  <si>
    <t>Cam 80</t>
  </si>
  <si>
    <t>Cam 81</t>
  </si>
  <si>
    <t>Admont, Benediktinerstift, Cod. 18</t>
  </si>
  <si>
    <t>Admont, Benediktinerstift, Cod. 185</t>
  </si>
  <si>
    <t>Admont, Benediktinerstift, Cod. 221</t>
  </si>
  <si>
    <t>Admont, Benediktinerstift, Cod. 501</t>
  </si>
  <si>
    <t>Admont, Benediktinerstift, Cod. 714</t>
  </si>
  <si>
    <t>Graz, Universitätsbibliothek, Ms 117</t>
  </si>
  <si>
    <t>Graz, Universitätsbibliothek, Ms 713</t>
  </si>
  <si>
    <t>Innsbruck, Universitäts- und Landesbibliothek Tirol (ULBT), Cod. 187</t>
  </si>
  <si>
    <t>Linz, Oberösterreichische Landesbibliothek (früher: Studienbibliothek), Hs.-439 (Schiffmann 85)</t>
  </si>
  <si>
    <t>Rein, Zisterzienserstift, Cod. 94</t>
  </si>
  <si>
    <t>Wien, Österreichische Nationalbibliothek (ÖNB), Cod. 113</t>
  </si>
  <si>
    <t>Wien, Österreichische Nationalbibliothek (ÖNB), Cod. 1247</t>
  </si>
  <si>
    <t>Wien, Österreichische Nationalbibliothek (ÖNB), Cod. 1599</t>
  </si>
  <si>
    <t>Wien, Österreichische Nationalbibliothek (ÖNB), Cod. 2585</t>
  </si>
  <si>
    <t>http://hdl.handle.net/1887.1/item:4243440</t>
  </si>
  <si>
    <t>http://hdl.handle.net/1887.1/item:4219919</t>
  </si>
  <si>
    <t>http://hdl.handle.net/1887.1/item:4227203</t>
  </si>
  <si>
    <t>http://hdl.handle.net/1887.1/item:4153920</t>
  </si>
  <si>
    <t>http://hdl.handle.net/1887.1/item:4119608</t>
  </si>
  <si>
    <t>VLF 67</t>
  </si>
  <si>
    <t>http://hdl.handle.net/1887.1/item:4154089</t>
  </si>
  <si>
    <t>VLQ 69</t>
  </si>
  <si>
    <t>http://hdl.handle.net/1887.1/item:4243570</t>
  </si>
  <si>
    <t>http://hdl.handle.net/1887.1/item:2708056</t>
  </si>
  <si>
    <t>BPL 30</t>
  </si>
  <si>
    <t>http://hdl.handle.net/1887.1/item:1943535</t>
  </si>
  <si>
    <t>http://hdl.handle.net/1887.1/item:1614211</t>
  </si>
  <si>
    <t>BPL 196</t>
  </si>
  <si>
    <t>http://hdl.handle.net/1887.1/item:1611194</t>
  </si>
  <si>
    <t>BPL 20</t>
  </si>
  <si>
    <t>http://hdl.handle.net/1887.1/item:881875</t>
  </si>
  <si>
    <t>PER Q 17</t>
  </si>
  <si>
    <t>http://hdl.handle.net/1887.1/item:848447</t>
  </si>
  <si>
    <t>BPL 118</t>
  </si>
  <si>
    <t>http://hdl.handle.net/1887.1/item:847727</t>
  </si>
  <si>
    <t>BPL 114 B</t>
  </si>
  <si>
    <t>City</t>
  </si>
  <si>
    <t>Leiden</t>
  </si>
  <si>
    <t>Tilburg, TFT : ms. Haaren 12</t>
  </si>
  <si>
    <t>The Hague, KB : ms. 70 H 66 : 1</t>
  </si>
  <si>
    <t>The Hague, KB : ms. 73 J 47</t>
  </si>
  <si>
    <t>The Hague, KB : ms. 70 E 3, ff. 001-267v</t>
  </si>
  <si>
    <t>The Hague, KB : ms. 130 E 9</t>
  </si>
  <si>
    <t>Amsterdam (UvA), UB : ms. VI E 11</t>
  </si>
  <si>
    <t>The Hague, KB : ms. 70 H 54</t>
  </si>
  <si>
    <t>Nijmegen, UB : ms. 61</t>
  </si>
  <si>
    <t>Groningen, UB : ms. 116</t>
  </si>
  <si>
    <t>The Hague, KB : ms. 75 F 15</t>
  </si>
  <si>
    <t>The Hague, KB : ms. 76 E 15</t>
  </si>
  <si>
    <t>'s-Heerenberg, HB : fr. 13</t>
  </si>
  <si>
    <t>iiif_manifest</t>
  </si>
  <si>
    <t>url_meta</t>
  </si>
  <si>
    <t>https://www.e-codices.unifr.ch/metadata/iiif/bbb-0087/manifest.json</t>
  </si>
  <si>
    <t>https://www.e-codices.ch/en/list/one/bbb/0087</t>
  </si>
  <si>
    <t>https://www.e-codices.unifr.ch/en/searchresult/list/one/fmb/cb-0074</t>
  </si>
  <si>
    <t>Schaffhausen, Stadtbibliothek, Ministerialbibliothek, Min. 2</t>
  </si>
  <si>
    <t>https://www.e-codices.unifr.ch/en/searchresult/list/one/sbs/min0002</t>
  </si>
  <si>
    <t>Schaffhausen, Stadtbibliothek, Ministerialbibliothek, Min. 3</t>
  </si>
  <si>
    <t>https://www.e-codices.unifr.ch/en/searchresult/list/one/sbs/min0003</t>
  </si>
  <si>
    <t>Schaffhausen, Stadtbibliothek, Ministerialbibliothek, Min. 4</t>
  </si>
  <si>
    <t>https://www.e-codices.unifr.ch/en/searchresult/list/one/sbs/min0004</t>
  </si>
  <si>
    <t>Schaffhausen, Stadtbibliothek, Ministerialbibliothek, Min. 18</t>
  </si>
  <si>
    <t>https://www.e-codices.unifr.ch/en/searchresult/list/one/sbs/min0018</t>
  </si>
  <si>
    <t>Schaffhausen, Stadtbibliothek, Ministerialbibliothek, Min. 20</t>
  </si>
  <si>
    <t>https://www.e-codices.unifr.ch/en/searchresult/list/one/sbs/min0020</t>
  </si>
  <si>
    <t>Schaffhausen, Stadtbibliothek, Ministerialbibliothek, Min. 24</t>
  </si>
  <si>
    <t>https://www.e-codices.unifr.ch/en/searchresult/list/one/sbs/min0024</t>
  </si>
  <si>
    <t>Schaffhausen, Stadtbibliothek, Ministerialbibliothek, Min. 25</t>
  </si>
  <si>
    <t>https://www.e-codices.unifr.ch/en/searchresult/list/one/sbs/min0025</t>
  </si>
  <si>
    <t>Schaffhausen, Stadtbibliothek, Ministerialbibliothek, Min. 27</t>
  </si>
  <si>
    <t>https://www.e-codices.unifr.ch/en/searchresult/list/one/sbs/min0027</t>
  </si>
  <si>
    <t>Schaffhausen, Stadtbibliothek, Ministerialbibliothek, Min. 28</t>
  </si>
  <si>
    <t>Schaffhausen, Stadtbibliothek, Ministerialbibliothek, Min. 29</t>
  </si>
  <si>
    <t>https://www.e-codices.unifr.ch/en/searchresult/list/one/sbs/min0029</t>
  </si>
  <si>
    <t>Schaffhausen, Stadtbibliothek, Ministerialbibliothek, Min. 31</t>
  </si>
  <si>
    <t>https://www.e-codices.unifr.ch/en/searchresult/list/one/sbs/min0031</t>
  </si>
  <si>
    <t>Schaffhausen, Stadtbibliothek, Ministerialbibliothek, Min. 32</t>
  </si>
  <si>
    <t>https://www.e-codices.unifr.ch/en/searchresult/list/one/sbs/min0032</t>
  </si>
  <si>
    <t>Schaffhausen, Stadtbibliothek, Ministerialbibliothek, Min. 35</t>
  </si>
  <si>
    <t>https://www.e-codices.unifr.ch/en/searchresult/list/one/sbs/min0035</t>
  </si>
  <si>
    <t>Schaffhausen, Stadtbibliothek, Ministerialbibliothek, Min. 36</t>
  </si>
  <si>
    <t>https://www.e-codices.unifr.ch/en/searchresult/list/one/sbs/min0036</t>
  </si>
  <si>
    <t>Schaffhausen, Stadtbibliothek, Ministerialbibliothek, Min. 39</t>
  </si>
  <si>
    <t>https://www.e-codices.unifr.ch/en/searchresult/list/one/sbs/min0039</t>
  </si>
  <si>
    <t>Schaffhausen, Stadtbibliothek, Ministerialbibliothek, Min. 40</t>
  </si>
  <si>
    <t>https://www.e-codices.unifr.ch/en/searchresult/list/one/sbs/min0040</t>
  </si>
  <si>
    <t>Schaffhausen, Stadtbibliothek, Ministerialbibliothek, Min. 44</t>
  </si>
  <si>
    <t>https://www.e-codices.unifr.ch/en/searchresult/list/one/sbs/min0044</t>
  </si>
  <si>
    <t>Schaffhausen, Stadtbibliothek, Ministerialbibliothek, Min. 46</t>
  </si>
  <si>
    <t>https://www.e-codices.unifr.ch/en/searchresult/list/one/sbs/min0046</t>
  </si>
  <si>
    <t>Schaffhausen, Stadtbibliothek, Ministerialbibliothek, Min. 50</t>
  </si>
  <si>
    <t>https://www.e-codices.unifr.ch/en/searchresult/list/one/sbs/min0050</t>
  </si>
  <si>
    <t>Schaffhausen, Stadtbibliothek, Ministerialbibliothek, Min. 51</t>
  </si>
  <si>
    <t>https://www.e-codices.unifr.ch/en/searchresult/list/one/sbs/min0051</t>
  </si>
  <si>
    <t>Schaffhausen, Stadtbibliothek, Ministerialbibliothek, Min. 52</t>
  </si>
  <si>
    <t>https://www.e-codices.unifr.ch/en/searchresult/list/one/sbs/min0052</t>
  </si>
  <si>
    <t>Schaffhausen, Stadtbibliothek, Ministerialbibliothek, Min. 53</t>
  </si>
  <si>
    <t>https://www.e-codices.unifr.ch/en/searchresult/list/one/sbs/min0053</t>
  </si>
  <si>
    <t>Schaffhausen, Stadtbibliothek, Ministerialbibliothek, Min. 54</t>
  </si>
  <si>
    <t>https://www.e-codices.unifr.ch/en/searchresult/list/one/sbs/min0054</t>
  </si>
  <si>
    <t>Schaffhausen, Stadtbibliothek, Ministerialbibliothek, Min. 55</t>
  </si>
  <si>
    <t>https://www.e-codices.unifr.ch/en/searchresult/list/one/sbs/min0055</t>
  </si>
  <si>
    <t>Schaffhausen, Stadtbibliothek, Ministerialbibliothek, Min. 104</t>
  </si>
  <si>
    <t>https://www.e-codices.unifr.ch/en/searchresult/list/one/sbs/min0104</t>
  </si>
  <si>
    <t>Schaffhausen, Stadtbibliothek, Ministerialbibliothek, Min. 107</t>
  </si>
  <si>
    <t>https://www.e-codices.unifr.ch/en/searchresult/list/one/sbs/min0107</t>
  </si>
  <si>
    <t>https://www.e-codices.unifr.ch/en/searchresult/list/one/bke/0043</t>
  </si>
  <si>
    <t>[sine loco], codices restituti, Cod. 2 (Frowinus dispersus)</t>
  </si>
  <si>
    <t>https://www.e-codices.unifr.ch/en/searchresult/list/one/sl/0002</t>
  </si>
  <si>
    <t>https://www.e-codices.unifr.ch/en/searchresult/list/one/fmb/cb-0161</t>
  </si>
  <si>
    <t>https://www.e-codices.unifr.ch/en/searchresult/list/one/sbe/0629</t>
  </si>
  <si>
    <t>Zürich, Braginsky Collection, B274</t>
  </si>
  <si>
    <t>https://www.e-codices.unifr.ch/en/searchresult/list/one/bc/b-0274</t>
  </si>
  <si>
    <t>https://www.e-codices.unifr.ch/en/searchresult/list/one/bbb/0200</t>
  </si>
  <si>
    <t>https://www.e-codices.unifr.ch/en/searchresult/list/one/zbz/Ms-Car-C0126</t>
  </si>
  <si>
    <t>Biblioteca statale del Monumento nazionale di Montecassino, Archivio, Cod. 99</t>
  </si>
  <si>
    <t>https://omnes.dbseret.com/montecassino/iiif/IT-FR0084_ams_0099/manifest</t>
  </si>
  <si>
    <t>https://fuldig.hs-fulda.de/viewer/api/v1/records/PPN312049412/manifest/</t>
  </si>
  <si>
    <t>https://fuldig.hs-fulda.de/viewer/api/v1/records/PPN313436304/manifest/</t>
  </si>
  <si>
    <t>https://fuldig.hs-fulda.de/viewer/api/v1/records/PPN442198345/manifest/</t>
  </si>
  <si>
    <t>Fulda, Stadsbibliothek, 100 C 1</t>
  </si>
  <si>
    <t>Fulda, Stadsbibliothek, 100 B 2</t>
  </si>
  <si>
    <t>Fulda, Stadsbibliothek, 100 Aa 31</t>
  </si>
  <si>
    <t>https://www.alvin-portal.org/alvin/view.jsf?aq=%5B%5B%7B%22A_FQ%22%3A%22Katalog+der+datierten+Handschriften%22%7D%5D%5D&amp;c=46&amp;aqe=%5B%5D&amp;af=%5B%5D&amp;searchType=TEXT&amp;query=Katalog+der+datierten+Handschriften&amp;pid=alvin-record%3A473725&amp;dswid=-4160#alvin-record%3A473725</t>
  </si>
  <si>
    <t>Stockholm, National Library Sweden, V u 16</t>
  </si>
  <si>
    <t>Uppsula, University Library, C 88</t>
  </si>
  <si>
    <t>https://www.alvin-portal.org/alvin/view.jsf?aq=%5B%5B%5D%5D&amp;c=1&amp;aqe=%5B%5D&amp;af=%5B%22alpha3_facet%3Alat%22%2C%22CRP_facet%3A1000%22%5D&amp;searchType=TEXT&amp;pid=alvin-record%3A162814&amp;dswid=2790#alvin-record%3A162814</t>
  </si>
  <si>
    <t>Uppsula, University Library, C 42</t>
  </si>
  <si>
    <t>https://www.alvin-portal.org/alvin/view.jsf?aq=%5B%5B%7B%22A_FQ%22%3A%22Katalog+der+datierten+Handschriften%22%7D%5D%5D&amp;c=61&amp;aqe=%5B%5D&amp;af=%5B%5D&amp;searchType=TEXT&amp;query=Katalog+der+datierten+Handschriften&amp;pid=alvin-record%3A473783&amp;dswid=9035#alvin-record%3A473783</t>
  </si>
  <si>
    <t>https://www.alvin-portal.org/alvin/view.jsf?aq=%5B%5B%7B%22A_FQ%22%3A%22Katalog+der+datierten+Handschriften%22%7D%5D%5D&amp;c=87&amp;aqe=%5B%5D&amp;af=%5B%5D&amp;searchType=TEXT&amp;query=Katalog+der+datierten+Handschriften&amp;pid=alvin-record%3A473820&amp;dswid=-3318#alvin-record%3A473820</t>
  </si>
  <si>
    <t>https://resolver.staatsbibliothek-berlin.de/HSP0003A1A400000000</t>
  </si>
  <si>
    <t>München, Bayerische Staatsbibliothek, Clm 13029</t>
  </si>
  <si>
    <t>https://resolver.staatsbibliothek-berlin.de/HSP00035BFC00000000</t>
  </si>
  <si>
    <t>Nürnberg, Stadtbibliothek im Bildungscampus Nürnberg, Cent. II, 79</t>
  </si>
  <si>
    <t>München, Bayerische Staatsbibliothek, Clm 13002</t>
  </si>
  <si>
    <t>https://resolver.staatsbibliothek-berlin.de/HSP0003A18B00000000</t>
  </si>
  <si>
    <t>München, Bayerische Staatsbibliothek, Clm 12513</t>
  </si>
  <si>
    <t>https://resolver.staatsbibliothek-berlin.de/HSP0003A0DA00000000</t>
  </si>
  <si>
    <t>Karlsruhe, Badische Landesbibliothek, Cod. Aug. perg. 109 [ff. 52-53]</t>
  </si>
  <si>
    <t>https://resolver.staatsbibliothek-berlin.de/HSP00064EA100000000</t>
  </si>
  <si>
    <t>München, Bayerische Staatsbibliothek, Clm 187</t>
  </si>
  <si>
    <t>https://resolver.staatsbibliothek-berlin.de/HSP0003AF8B00000000</t>
  </si>
  <si>
    <t>Leipzig, Universitätsbibliothek Leipzig, Ms 982</t>
  </si>
  <si>
    <t>https://resolver.staatsbibliothek-berlin.de/HSP00051A7E00000000</t>
  </si>
  <si>
    <t>München, Bayerische Staatsbibliothek, Clm 2654</t>
  </si>
  <si>
    <t>https://resolver.staatsbibliothek-berlin.de/HSP0004892A00000000</t>
  </si>
  <si>
    <t>Leipzig, Universitätsbibliothek Leipzig, Ms 300</t>
  </si>
  <si>
    <t>https://resolver.staatsbibliothek-berlin.de/HSP0005189D00000000</t>
  </si>
  <si>
    <t>Düsseldorf, Universitäts- und Landesbibliothek Düsseldorf, Ms. C 91</t>
  </si>
  <si>
    <t>https://resolver.staatsbibliothek-berlin.de/HSP00063EE000000000</t>
  </si>
  <si>
    <t>Düsseldorf, Universitäts- und Landesbibliothek Düsseldorf, Ms. B 117</t>
  </si>
  <si>
    <t>https://resolver.staatsbibliothek-berlin.de/HSP00063E4200000000</t>
  </si>
  <si>
    <t>Leipzig, Universitätsbibliothek Leipzig, Ms 191</t>
  </si>
  <si>
    <t>https://resolver.staatsbibliothek-berlin.de/HSP0005183000000000</t>
  </si>
  <si>
    <t>Leipzig, Universitätsbibliothek Leipzig, Ms 1081</t>
  </si>
  <si>
    <t>https://resolver.staatsbibliothek-berlin.de/HSP00051AE100000000</t>
  </si>
  <si>
    <t>Leipzig, Universitätsbibliothek Leipzig, Ms 923</t>
  </si>
  <si>
    <t>https://resolver.staatsbibliothek-berlin.de/HSP00051A4200000000</t>
  </si>
  <si>
    <t>Leipzig, Universitätsbibliothek Leipzig, Ms 1131</t>
  </si>
  <si>
    <t>https://resolver.staatsbibliothek-berlin.de/HSP00051B0700000000</t>
  </si>
  <si>
    <t>Leipzig, Universitätsbibliothek Leipzig, Ms 874</t>
  </si>
  <si>
    <t>https://resolver.staatsbibliothek-berlin.de/HSP00051A1100000000</t>
  </si>
  <si>
    <t>München, Bayerische Staatsbibliothek, Clm 2652</t>
  </si>
  <si>
    <t>https://resolver.staatsbibliothek-berlin.de/HSP0004890D00000000</t>
  </si>
  <si>
    <t>Leipzig, Universitätsbibliothek Leipzig, Ms 148</t>
  </si>
  <si>
    <t>https://resolver.staatsbibliothek-berlin.de/HSP0005180500000000</t>
  </si>
  <si>
    <t>München, Bayerische Staatsbibliothek, Clm 22201</t>
  </si>
  <si>
    <t>https://resolver.staatsbibliothek-berlin.de/HSP0003B60000000000</t>
  </si>
  <si>
    <t>München, Bayerische Staatsbibliothek, Clm 14523 [facs. IV]</t>
  </si>
  <si>
    <t>https://resolver.staatsbibliothek-berlin.de/HSP0003A4D000000000</t>
  </si>
  <si>
    <t>München, Bayerische Staatsbibliothek, Clm 17403</t>
  </si>
  <si>
    <t>https://resolver.staatsbibliothek-berlin.de/HSP0003AB7200000000</t>
  </si>
  <si>
    <t>Erfurt, Universitätsbibliothek Erfurt, Dep. Erf., CA 2° 285</t>
  </si>
  <si>
    <t>https://resolver.staatsbibliothek-berlin.de/HSP0003EE1B00000000</t>
  </si>
  <si>
    <t>München, Bayerische Staatsbibliothek, Clm 28171</t>
  </si>
  <si>
    <t>https://resolver.staatsbibliothek-berlin.de/HSP000490BA00000000</t>
  </si>
  <si>
    <t>München, Bayerische Staatsbibliothek, Clm 28180</t>
  </si>
  <si>
    <t>https://resolver.staatsbibliothek-berlin.de/HSP000490C400000000</t>
  </si>
  <si>
    <t>Erfurt, Universitätsbibliothek Erfurt, Dep. Erf., CA 2° 264</t>
  </si>
  <si>
    <t>https://resolver.staatsbibliothek-berlin.de/HSP0003EE0500000000</t>
  </si>
  <si>
    <t>Bamberg, Staatsbibliothek Bamberg, Msc.Lit.5</t>
  </si>
  <si>
    <t>https://resolver.staatsbibliothek-berlin.de/HSP0004E7B300000000</t>
  </si>
  <si>
    <t>Bamberg, Staatsbibliothek Bamberg, Msc.Bibl.78</t>
  </si>
  <si>
    <t>https://resolver.staatsbibliothek-berlin.de/HSP0004E4D300000000</t>
  </si>
  <si>
    <t>Leipzig, Universitätsbibliothek Leipzig, Ms 1466</t>
  </si>
  <si>
    <t>https://resolver.staatsbibliothek-berlin.de/HSP00051BD900000000</t>
  </si>
  <si>
    <t>Bremen, Staats- und Universitätsbibliothek Bremen, msa 0139</t>
  </si>
  <si>
    <t>https://resolver.staatsbibliothek-berlin.de/HSP0003F6C000000000</t>
  </si>
  <si>
    <t>München, Bayerische Staatsbibliothek, Clm 28330</t>
  </si>
  <si>
    <t>https://resolver.staatsbibliothek-berlin.de/HSP0004917400000000</t>
  </si>
  <si>
    <t>Bamberg, Staatsbibliothek Bamberg, Msc.Bibl.44</t>
  </si>
  <si>
    <t>https://resolver.staatsbibliothek-berlin.de/HSP0004E4AB00000000</t>
  </si>
  <si>
    <t>Baden-Baden, Abtei Lichtenthal (Baden-Baden), Kl. L. 7</t>
  </si>
  <si>
    <t>https://resolver.staatsbibliothek-berlin.de/HSP0004579F00000000</t>
  </si>
  <si>
    <t>Baden-Baden, Abtei Lichtenthal (Baden-Baden), Kl. L. 29</t>
  </si>
  <si>
    <t>https://resolver.staatsbibliothek-berlin.de/HSP0004579700000000</t>
  </si>
  <si>
    <t>München, Bayerische Staatsbibliothek, Clm 14034</t>
  </si>
  <si>
    <t>https://resolver.staatsbibliothek-berlin.de/HSP0003A2C600000000</t>
  </si>
  <si>
    <t>Jena, Thüringer Universitäts- und Landesbibliothek Jena, Ms. Bos. q. 19</t>
  </si>
  <si>
    <t>https://resolver.staatsbibliothek-berlin.de/HSP0004E1BD00000000</t>
  </si>
  <si>
    <t>Berlin, Staatsbibliothek zu Berlin, Ms. lat. qu. 198</t>
  </si>
  <si>
    <t>https://resolver.staatsbibliothek-berlin.de/HSP000479F600000000</t>
  </si>
  <si>
    <t>Cava de' Tirreni, Biblioteca statale del Monumento nazionale della Abbazia Benedettina della Ss. Trinità, Codices Cavenses, Cod.18</t>
  </si>
  <si>
    <t>https://www.internetculturale.it/it/16/search/detail?instance=magindice&amp;case=&amp;id=oai%3Awww.internetculturale.sbn.it%2FTeca%3A20%3ANT0000%3ACNMD0000206330&amp;qt=</t>
  </si>
  <si>
    <t>Firenze, Biblioteca Riccardiana, Ricc.323</t>
  </si>
  <si>
    <t>https://www.internetculturale.it/it/16/search/detail?instance=magindice&amp;case=&amp;id=oai%3Awww.internetculturale.sbn.it%2FTeca%3A20%3ANT0000%3AN%3ACNMD0000161094&amp;qt=</t>
  </si>
  <si>
    <t>Cava de' Tirreni, Biblioteca statale del Monumento nazionale della Abbazia Benedettina della Ss. Trinità, Codices Cavenses, Cod.23</t>
  </si>
  <si>
    <t>https://www.internetculturale.it/it/16/search/detail?instance=magindice&amp;case=&amp;id=oai%3Awww.internetculturale.sbn.it%2FTeca%3A20%3ANT0000%3ACNMD0000206333&amp;qt=</t>
  </si>
  <si>
    <t>Cava de' Tirreni, Biblioteca statale del Monumento nazionale della Abbazia Benedettina della Ss. Trinità, Codices Cavenses, Cod.19</t>
  </si>
  <si>
    <t>https://www.internetculturale.it/it/16/search/detail?instance=magindice&amp;case=&amp;id=oai%3Awww.internetculturale.sbn.it%2FTeca%3A20%3ANT0000%3ACNMD0000206331&amp;qt=</t>
  </si>
  <si>
    <t>Cava de' Tirreni, Biblioteca statale del Monumento nazionale della Abbazia Benedettina della Ss. Trinità, Codices Cavenses, Cod.24</t>
  </si>
  <si>
    <t>https://www.internetculturale.it/it/16/search/detail?instance=magindice&amp;case=&amp;id=oai%3Awww.internetculturale.sbn.it%2FTeca%3A20%3ANT0000%3ACNMD0000206332&amp;qt=</t>
  </si>
  <si>
    <t>Cava de' Tirreni, Biblioteca statale del Monumento nazionale della Abbazia Benedettina della Ss. Trinità, Codices Cavenses, Cod.33</t>
  </si>
  <si>
    <t>https://www.internetculturale.it/it/16/search/detail?instance=magindice&amp;case=&amp;id=oai%3Awww.internetculturale.sbn.it%2FTeca%3A20%3ANT0000%3ACNMD0000207220&amp;qt=</t>
  </si>
  <si>
    <t>Cava de' Tirreni, Biblioteca statale del Monumento nazionale della Abbazia Benedettina della Ss. Trinità, Codices Cavenses, Cod.4</t>
  </si>
  <si>
    <t>https://www.internetculturale.it/it/16/search/detail?instance=magindice&amp;case=&amp;id=oai%3Awww.internetculturale.sbn.it%2FTeca%3A20%3ANT0000%3ACNMD0000205012&amp;qt=</t>
  </si>
  <si>
    <t>Tournai, BdS, 1</t>
  </si>
  <si>
    <t>Bruxelles, B. R., II 2524</t>
  </si>
  <si>
    <t>1132-1135</t>
  </si>
  <si>
    <t>Bruxelles, B. R., 104-05</t>
  </si>
  <si>
    <t>Bruxelles, B. R., II 1065</t>
  </si>
  <si>
    <t>Mons, B. V., 333/335</t>
  </si>
  <si>
    <t>Bruxelles, B. R., II 1035</t>
  </si>
  <si>
    <t>Tournai, B. V., 5</t>
  </si>
  <si>
    <t>Bornem, Abbbaye de Saint-Bernard, Ms. 1</t>
  </si>
  <si>
    <t>1244-1245</t>
  </si>
  <si>
    <t>Heverlee-lez-Louvain, Abbaye de Parc, Ms 3</t>
  </si>
  <si>
    <t>cmd_text</t>
  </si>
  <si>
    <t>Bruxelles, B. R., 139</t>
  </si>
  <si>
    <t>Bruxelles, B. R., 21885</t>
  </si>
  <si>
    <t>Bruxelles, B. R., 10893-94 [ff. 1-62v]</t>
  </si>
  <si>
    <t>Bruges, B. V., 373, part 1 [ff. 1-80v]</t>
  </si>
  <si>
    <t>Bruxelles, B. R., 21877</t>
  </si>
  <si>
    <t>Bruxelles, B. R., II. 934 [ff. 1-2]</t>
  </si>
  <si>
    <t>Bruxelles, B. R., IV. 173</t>
  </si>
  <si>
    <t>Bruxelles, B. R., II. 3634, 1-2</t>
  </si>
  <si>
    <t>Bruxelles, B. R., 11526</t>
  </si>
  <si>
    <t>Bruxelles, B. R., 21190 [ff. 2-275]</t>
  </si>
  <si>
    <t>Bruxelles, B. R., 10168-72 [ff. 1-170v]</t>
  </si>
  <si>
    <t>Bruges, B. V., 269 [ff. 1-148]</t>
  </si>
  <si>
    <t>Bruges, B. V., 269 [ff. 151-332]</t>
  </si>
  <si>
    <t>Bruxelles, B. R., 1079-84 [ff. 128-204v]</t>
  </si>
  <si>
    <t>Bruxelles, B. R., II. 1031 [ff. 1-65v]</t>
  </si>
  <si>
    <t>Bruxelles, B. R., 5083-91 [ff. 190-225v]</t>
  </si>
  <si>
    <t>Bruxelles, B. R., II. 2297 [ff. 73-178v]</t>
  </si>
  <si>
    <t>B I 2</t>
  </si>
  <si>
    <t>B I 3</t>
  </si>
  <si>
    <t>B I 4</t>
  </si>
  <si>
    <t>B I 5</t>
  </si>
  <si>
    <t>B I 6</t>
  </si>
  <si>
    <t>B I 7</t>
  </si>
  <si>
    <t>B I 8</t>
  </si>
  <si>
    <t>B I 9</t>
  </si>
  <si>
    <t>B I 10</t>
  </si>
  <si>
    <t>B I 11</t>
  </si>
  <si>
    <t>B I 12</t>
  </si>
  <si>
    <t>B I 13</t>
  </si>
  <si>
    <t>B I 14</t>
  </si>
  <si>
    <t>B I 15</t>
  </si>
  <si>
    <t>B I 16</t>
  </si>
  <si>
    <t>B I 17</t>
  </si>
  <si>
    <t>B I 18</t>
  </si>
  <si>
    <t>B I 19</t>
  </si>
  <si>
    <t>B I 20</t>
  </si>
  <si>
    <t>B I 21</t>
  </si>
  <si>
    <t>B I 22</t>
  </si>
  <si>
    <t>B I 23</t>
  </si>
  <si>
    <t>B I 24</t>
  </si>
  <si>
    <t>B I 25</t>
  </si>
  <si>
    <t>B I 26</t>
  </si>
  <si>
    <t>B I 27</t>
  </si>
  <si>
    <t>B I 28</t>
  </si>
  <si>
    <t>B I Pl. 3-7</t>
  </si>
  <si>
    <t>B I Pl. 8-13</t>
  </si>
  <si>
    <t>B I Pl. 14-17</t>
  </si>
  <si>
    <t>B I Pl. 18-21</t>
  </si>
  <si>
    <t>B I Pl. 22-26</t>
  </si>
  <si>
    <t>B I Pl. 27-29</t>
  </si>
  <si>
    <t>B I Pl. 30-33</t>
  </si>
  <si>
    <t>B I Pl. 34-36</t>
  </si>
  <si>
    <t>B I Pl. 35-41</t>
  </si>
  <si>
    <t>B I Pl. 42-44</t>
  </si>
  <si>
    <t>B I Pl. 45-48</t>
  </si>
  <si>
    <t>B I Pl. 49-50</t>
  </si>
  <si>
    <t>B I Pl. 51-53</t>
  </si>
  <si>
    <t>B I Pl. 54-57</t>
  </si>
  <si>
    <t>B I Pl. 58-59</t>
  </si>
  <si>
    <t>B I Pl. 60-62</t>
  </si>
  <si>
    <t>B I Pl. 63-65</t>
  </si>
  <si>
    <t>B I Pl. 66-67</t>
  </si>
  <si>
    <t>B I Pl. 68-69</t>
  </si>
  <si>
    <t>B I Pl. 70-71</t>
  </si>
  <si>
    <t>B I Pl. 72-74</t>
  </si>
  <si>
    <t>B I Pl. 75-78</t>
  </si>
  <si>
    <t>B I Pl. 79</t>
  </si>
  <si>
    <t>B I Pl. 80-83</t>
  </si>
  <si>
    <t>B I Pl. 84-86</t>
  </si>
  <si>
    <t>B I Pl. 87-88</t>
  </si>
  <si>
    <t>B I Pl. 89-90</t>
  </si>
  <si>
    <t>https://portail.biblissima.fr/ark:/43093/mdata394b05fc0514e03da3f5456cd74a14a83e176b73</t>
  </si>
  <si>
    <t>https://iiif.biblissima.fr/collections/manifest/8e47017f2164596f881fc86fd0acb550edb64f90</t>
  </si>
  <si>
    <t>https://iiif.biblissima.fr/collections/manifest/5279e7ea1b8296c57d790cc16c544b66956dc930</t>
  </si>
  <si>
    <t>Liege, B. S., 1B</t>
  </si>
  <si>
    <t>X</t>
  </si>
  <si>
    <t>https://opac.kbr.be/LIBRARY/doc/SYRACUSE/10730190</t>
  </si>
  <si>
    <t>https://opac.kbr.be/LIBRARY/doc/SYRACUSE/16989530</t>
  </si>
  <si>
    <t>https://opac.kbr.be/LIBRARY/doc/SYRACUSE/10748126</t>
  </si>
  <si>
    <t>https://opac.kbr.be/LIBRARY/doc/SYRACUSE/18149476</t>
  </si>
  <si>
    <t>https://opac.kbr.be/LIBRARY/doc/SYRACUSE/10751282</t>
  </si>
  <si>
    <t>1051-1056</t>
  </si>
  <si>
    <t>Echternach, Luxemburg</t>
  </si>
  <si>
    <t>1085-1089</t>
  </si>
  <si>
    <t>c. 1230-1248</t>
  </si>
  <si>
    <t>1263-1266</t>
  </si>
  <si>
    <t>1302?</t>
  </si>
  <si>
    <t>Uppsula, University Library, Uppsula, University Library, C 134</t>
  </si>
  <si>
    <t>Uppsula, University Library, C 93</t>
  </si>
  <si>
    <t>Uppsula, University Library, C 587</t>
  </si>
  <si>
    <t>Uppsula, University Library, C 67</t>
  </si>
  <si>
    <t>https://www.alvin-portal.org/alvin/view.jsf?pid=alvin-record%3A56059&amp;dswid=1687</t>
  </si>
  <si>
    <t>https://www.alvin-portal.org/alvin/view.jsf?dswid=1687&amp;searchType=TEXT&amp;query=C+587&amp;aq=%5B%5B%7B%22A_FQ%22%3A%22C+587%22%7D%5D%5D&amp;aqe=%5B%5D&amp;af=%5B%5D&amp;pid=alvin-record%3A158986&amp;c=1#alvin-record%3A158986</t>
  </si>
  <si>
    <t>https://www.alvin-portal.org/alvin/view.jsf?dswid=1687&amp;searchType=TEXT&amp;query=C+67&amp;aq=%5B%5B%7B%22A_FQ%22%3A%22C+67%22%7D%5D%5D&amp;aqe=%5B%5D&amp;af=%5B%22CRP_facet%3A1300%22%5D&amp;pid=alvin-record%3A184918&amp;c=1#alvin-record%3A184918</t>
  </si>
  <si>
    <t>Vat. Lat. 2083</t>
  </si>
  <si>
    <t>tav. 1</t>
  </si>
  <si>
    <t>tav. 2</t>
  </si>
  <si>
    <t>tav. 3</t>
  </si>
  <si>
    <t>tav. 4</t>
  </si>
  <si>
    <t>tav. 5</t>
  </si>
  <si>
    <t>Tolosa</t>
  </si>
  <si>
    <t>N Vat 65</t>
  </si>
  <si>
    <t>N Vat131</t>
  </si>
  <si>
    <t>N Vat 118</t>
  </si>
  <si>
    <t>N Vat 3</t>
  </si>
  <si>
    <t>N Vat 168</t>
  </si>
  <si>
    <t>Vat. Lat. 151</t>
  </si>
  <si>
    <t>Vat. Lat. 1435</t>
  </si>
  <si>
    <t>Vat. Lat. 1600</t>
  </si>
  <si>
    <t>Vat. Lat. 811</t>
  </si>
  <si>
    <t xml:space="preserve"> Vercelli</t>
  </si>
  <si>
    <t xml:space="preserve"> Marsiglia</t>
  </si>
  <si>
    <t xml:space="preserve"> Roma</t>
  </si>
  <si>
    <t xml:space="preserve"> Viterbo</t>
  </si>
  <si>
    <t>pl. III</t>
  </si>
  <si>
    <t>pl. II</t>
  </si>
  <si>
    <t>pl. I</t>
  </si>
  <si>
    <t>pl. IV</t>
  </si>
  <si>
    <t>pl. V</t>
  </si>
  <si>
    <t>Vat I 3</t>
  </si>
  <si>
    <t>Vat I 7</t>
  </si>
  <si>
    <t>Vat I 54</t>
  </si>
  <si>
    <t>Vat I 112</t>
  </si>
  <si>
    <t>Vat I 127</t>
  </si>
  <si>
    <t>Vat I 274</t>
  </si>
  <si>
    <t>Vat I 278</t>
  </si>
  <si>
    <t>Vat I 297</t>
  </si>
  <si>
    <t>Vat I 298</t>
  </si>
  <si>
    <t>Vat I 303</t>
  </si>
  <si>
    <t>Vat I 304</t>
  </si>
  <si>
    <t>Vat I 360</t>
  </si>
  <si>
    <t>Vat I 398</t>
  </si>
  <si>
    <t>Vat I 423</t>
  </si>
  <si>
    <t>Arch. S. Pietro A. 26</t>
  </si>
  <si>
    <t>Arch. S. Pietro A. 181</t>
  </si>
  <si>
    <t>Barb. Lat. 587 [ff. 304-308]</t>
  </si>
  <si>
    <t>Borgh. 127</t>
  </si>
  <si>
    <t>Borgh. Lat. 435 [ff. 294-365]</t>
  </si>
  <si>
    <t>Ott. Lat. 5</t>
  </si>
  <si>
    <t>Ott. Lat. 532 [ff. 7-470]</t>
  </si>
  <si>
    <t>Ott. Lat. 57</t>
  </si>
  <si>
    <t>Ott. Lat. 536 [ff. 1-1174v]</t>
  </si>
  <si>
    <t>Ott. Lat. 566</t>
  </si>
  <si>
    <t>Ott. Lat. 608</t>
  </si>
  <si>
    <t>Ott. Lat. 1430 [ff. 95-119v]</t>
  </si>
  <si>
    <t>Ott. Lat. 1850 [ff. 7b-64v]</t>
  </si>
  <si>
    <t>Ott. Lat. 2082</t>
  </si>
  <si>
    <t>1127-1148</t>
  </si>
  <si>
    <t>Laon, Saint-Vincent</t>
  </si>
  <si>
    <t>Loan, BM, 348 [ff.2-89]</t>
  </si>
  <si>
    <t>Loan, BM, 332</t>
  </si>
  <si>
    <t>Loan, BM, 270bis [ff. 52-96]</t>
  </si>
  <si>
    <t>Loan, BM, 166bis</t>
  </si>
  <si>
    <t>Soisson, BM, 5</t>
  </si>
  <si>
    <t>Loan, BM, 280bis</t>
  </si>
  <si>
    <t>1147-1150</t>
  </si>
  <si>
    <t>Soisson, BM, 132 [ff. 390-4611]</t>
  </si>
  <si>
    <t>Loan, BM, 246</t>
  </si>
  <si>
    <t>Loan, BM, 404</t>
  </si>
  <si>
    <t>Loan, BM, 38bis [pp. 1-24]</t>
  </si>
  <si>
    <t>Loan, BM, 400</t>
  </si>
  <si>
    <t>Loan, BM, 243</t>
  </si>
  <si>
    <t>Loan, BM, 227</t>
  </si>
  <si>
    <t>Loan, BM, 341</t>
  </si>
  <si>
    <t>Loan, BM, 17</t>
  </si>
  <si>
    <t>Saint-Quentin, BM, 1</t>
  </si>
  <si>
    <t>Loan, BM, 71 [ff. 89v-92]</t>
  </si>
  <si>
    <t>Loan, BM, 410 [ff. 27-46]</t>
  </si>
  <si>
    <t>Soisson, BM, 9 [ff. 117-262]</t>
  </si>
  <si>
    <t>Loan, BM, 202</t>
  </si>
  <si>
    <t>Loan, BM, 213</t>
  </si>
  <si>
    <t>Loan, BM, 232</t>
  </si>
  <si>
    <t>Loan, BM, 109 [ff. 5-6]</t>
  </si>
  <si>
    <t>Loan, BM, 230</t>
  </si>
  <si>
    <t>Soisson, BM, 88</t>
  </si>
  <si>
    <t>Loan, BM, 280</t>
  </si>
  <si>
    <t>Loan, BM, 425</t>
  </si>
  <si>
    <t>Loan, BM, 221</t>
  </si>
  <si>
    <t>Soisson, BM, 87</t>
  </si>
  <si>
    <t>Loan, BM, 229</t>
  </si>
  <si>
    <t>Loan, BM, 219</t>
  </si>
  <si>
    <t>Loan, BM, 228</t>
  </si>
  <si>
    <t>Soisson, BM, 7</t>
  </si>
  <si>
    <t>Loan, BM, 242</t>
  </si>
  <si>
    <t>Loan, BM, 206</t>
  </si>
  <si>
    <t>Loan, BM, 247</t>
  </si>
  <si>
    <t>Loan, BM, 205 [ff. 1-49]</t>
  </si>
  <si>
    <t>Loan, BM, 544</t>
  </si>
  <si>
    <t>Loan, BM, 13</t>
  </si>
  <si>
    <t>Loan, BM, 193</t>
  </si>
  <si>
    <t>Loan, BM, 532</t>
  </si>
  <si>
    <t>Loan, BM, 333</t>
  </si>
  <si>
    <t>Loan, BM, 362</t>
  </si>
  <si>
    <t>Soisson, BM, 10</t>
  </si>
  <si>
    <t>Soisson, BM, 64</t>
  </si>
  <si>
    <t>1137-1138</t>
  </si>
  <si>
    <t>1140-1174</t>
  </si>
  <si>
    <t>1140-1175</t>
  </si>
  <si>
    <t>1141-1153</t>
  </si>
  <si>
    <t>1178-1179</t>
  </si>
  <si>
    <t>1200-1214</t>
  </si>
  <si>
    <t>1185-1196</t>
  </si>
  <si>
    <t>Laon</t>
  </si>
  <si>
    <t>1185-1198</t>
  </si>
  <si>
    <t>1193-1198</t>
  </si>
  <si>
    <t>1219-1225</t>
  </si>
  <si>
    <t>1222-1224</t>
  </si>
  <si>
    <t>1228-1236</t>
  </si>
  <si>
    <t>1235-1256</t>
  </si>
  <si>
    <t>1239-1250</t>
  </si>
  <si>
    <t>1240-1245</t>
  </si>
  <si>
    <t>1246-1256</t>
  </si>
  <si>
    <t>1246-1257</t>
  </si>
  <si>
    <t>1258-1259</t>
  </si>
  <si>
    <t>1260-1267</t>
  </si>
  <si>
    <t>1262-1270</t>
  </si>
  <si>
    <t>1265-1273</t>
  </si>
  <si>
    <t>1289-1300</t>
  </si>
  <si>
    <t>1290-1292</t>
  </si>
  <si>
    <t>1290-1293</t>
  </si>
  <si>
    <t>Prémontré, Saint-Jean-Baptiste</t>
  </si>
  <si>
    <t>Le Bec-Helluin, Notre-Dame</t>
  </si>
  <si>
    <t>Soissons, Saint-Crépin-en-Chaye [?]</t>
  </si>
  <si>
    <t>Vauclair, Notre-Dame</t>
  </si>
  <si>
    <t>Saint-Quentin-en-Vermandois</t>
  </si>
  <si>
    <t>Melun</t>
  </si>
  <si>
    <t>Beauvais [?]</t>
  </si>
  <si>
    <t>Laon, Saint-Martin</t>
  </si>
  <si>
    <t>Marcheroux, Saint-Nicolas</t>
  </si>
  <si>
    <t>Soissons, Saint-Jean-des-Vignes</t>
  </si>
  <si>
    <t>1157-1164</t>
  </si>
  <si>
    <t>LSS 25</t>
  </si>
  <si>
    <t>LSS 27</t>
  </si>
  <si>
    <t>LSS 28</t>
  </si>
  <si>
    <t>LSS 30</t>
  </si>
  <si>
    <t>LSS 58</t>
  </si>
  <si>
    <t>LSS 59-60</t>
  </si>
  <si>
    <t>LSS 61</t>
  </si>
  <si>
    <t>LSS 69</t>
  </si>
  <si>
    <t>LSS 102</t>
  </si>
  <si>
    <t>LSS 103</t>
  </si>
  <si>
    <t>LSS 107</t>
  </si>
  <si>
    <t>LSS 81</t>
  </si>
  <si>
    <t>LSS 29</t>
  </si>
  <si>
    <t>LSS 32</t>
  </si>
  <si>
    <t>LSS 33</t>
  </si>
  <si>
    <t>LSS 34</t>
  </si>
  <si>
    <t>LSS 35</t>
  </si>
  <si>
    <t>LSS 55</t>
  </si>
  <si>
    <t>LSS 57</t>
  </si>
  <si>
    <t>LSS 68</t>
  </si>
  <si>
    <t>LSS 70</t>
  </si>
  <si>
    <t>LSS 71</t>
  </si>
  <si>
    <t>LSS 72</t>
  </si>
  <si>
    <t>LSS 73</t>
  </si>
  <si>
    <t>LSS 74</t>
  </si>
  <si>
    <t>LSS 80</t>
  </si>
  <si>
    <t>LSS 83</t>
  </si>
  <si>
    <t>LSS 84</t>
  </si>
  <si>
    <t>LSS 85</t>
  </si>
  <si>
    <t>LSS 86</t>
  </si>
  <si>
    <t>LSS 87</t>
  </si>
  <si>
    <t>LSS 88</t>
  </si>
  <si>
    <t>LSS 90</t>
  </si>
  <si>
    <t>LSS 91</t>
  </si>
  <si>
    <t>LSS 93</t>
  </si>
  <si>
    <t>LSS 94</t>
  </si>
  <si>
    <t>LSS 92</t>
  </si>
  <si>
    <t>LSS 96</t>
  </si>
  <si>
    <t>LSS 97</t>
  </si>
  <si>
    <t>LSS 98</t>
  </si>
  <si>
    <t>LSS 99</t>
  </si>
  <si>
    <t>LSS 100</t>
  </si>
  <si>
    <t>LSS 101</t>
  </si>
  <si>
    <t>LSS 104</t>
  </si>
  <si>
    <t>LSS 105</t>
  </si>
  <si>
    <t>LSS 106</t>
  </si>
  <si>
    <t>Udine, B.A., ms. 82 (F. 23.II.8)</t>
  </si>
  <si>
    <t>Udine 46</t>
  </si>
  <si>
    <t>Udine 46-49</t>
  </si>
  <si>
    <t>Salisburg</t>
  </si>
  <si>
    <t>1200-1217</t>
  </si>
  <si>
    <t>Magonza</t>
  </si>
  <si>
    <t>1231-1241</t>
  </si>
  <si>
    <t>Moggio</t>
  </si>
  <si>
    <t>Cividale</t>
  </si>
  <si>
    <t>Bologna</t>
  </si>
  <si>
    <t>Sant' Emmeran</t>
  </si>
  <si>
    <t>1273-1299</t>
  </si>
  <si>
    <t>Aquileia(?)</t>
  </si>
  <si>
    <t>Udine, B.C. ms. Jo. 142</t>
  </si>
  <si>
    <t>Udine, B.A., ms. 75 (F. 16. III.I.)</t>
  </si>
  <si>
    <t>Udine, M.A.N., ms. CXXXVII (M. 3)</t>
  </si>
  <si>
    <t>Udine, B.A., ms. 45 (Qt. 31.II.10)</t>
  </si>
  <si>
    <t>Udine, M.A.N., ms. LXXXVI (M. 65)</t>
  </si>
  <si>
    <t>Udine, M.A.N., ms. XVII (M. 79)</t>
  </si>
  <si>
    <t>Udine, B.A., ms. 72 (F. 12.II.38)</t>
  </si>
  <si>
    <t>Udine, B.A., ms. Jo. 97</t>
  </si>
  <si>
    <t>Udine, B.A., ms. 30 (Qt. 17.I.30)</t>
  </si>
  <si>
    <t>Udine, M.A.N., ms. LXXX (M. 59)</t>
  </si>
  <si>
    <t>Udine, M.A.N., ms. LXXXIII (M. 63)</t>
  </si>
  <si>
    <t>Udine 49</t>
  </si>
  <si>
    <t>Udine 50</t>
  </si>
  <si>
    <t>Udine 51</t>
  </si>
  <si>
    <t>Udine 52</t>
  </si>
  <si>
    <t>Udine 56</t>
  </si>
  <si>
    <t>Udine 57</t>
  </si>
  <si>
    <t>Udine 58</t>
  </si>
  <si>
    <t>Rome, Bibl. Angelica, Ms. 1876</t>
  </si>
  <si>
    <t>Farf. 1 (297)</t>
  </si>
  <si>
    <t>1105-1119</t>
  </si>
  <si>
    <t>Farfa</t>
  </si>
  <si>
    <t>XXIV-XXV</t>
  </si>
  <si>
    <t>Farf. 2 (298)</t>
  </si>
  <si>
    <t>XXII-XXIII</t>
  </si>
  <si>
    <t>Farf. 3 (299)</t>
  </si>
  <si>
    <t>Treviri</t>
  </si>
  <si>
    <t>977-993</t>
  </si>
  <si>
    <t>Cividale, M.N., ms. CXXXVI [ff. 1?-?]</t>
  </si>
  <si>
    <t>Cividale, M.N., ms. CXXXVI [ff. 1r]</t>
  </si>
  <si>
    <t>Polonia</t>
  </si>
  <si>
    <t>1043-1087</t>
  </si>
  <si>
    <t>Udine, A.C., ms. 21 [ff. 305v?-?]</t>
  </si>
  <si>
    <t>Udine, A.C., ms. 21 [ff. 1?-305?]</t>
  </si>
  <si>
    <t>1252-1255</t>
  </si>
  <si>
    <t>Udine Tav 4</t>
  </si>
  <si>
    <t>Udine Tav 5</t>
  </si>
  <si>
    <t>Udine Tav 14</t>
  </si>
  <si>
    <t>Udine Tav 6</t>
  </si>
  <si>
    <t>Udine Tav 8</t>
  </si>
  <si>
    <t>Udine Tav 7</t>
  </si>
  <si>
    <t>Udine Tav 9</t>
  </si>
  <si>
    <t>Udine Tav 12</t>
  </si>
  <si>
    <t>Udine Tav 10</t>
  </si>
  <si>
    <t>Udine Tav 15</t>
  </si>
  <si>
    <t>Sess. 45 (1364)</t>
  </si>
  <si>
    <t>Nonantola</t>
  </si>
  <si>
    <t>1002-1035</t>
  </si>
  <si>
    <t>Sess. 44 (1473)</t>
  </si>
  <si>
    <t>Sess. 71 (1349)</t>
  </si>
  <si>
    <t>899-911</t>
  </si>
  <si>
    <t>V-IX</t>
  </si>
  <si>
    <t>X-XIII</t>
  </si>
  <si>
    <t>XIV-XV</t>
  </si>
  <si>
    <t>XXVI</t>
  </si>
  <si>
    <t>Sess. 2 (XXVI)</t>
  </si>
  <si>
    <t>1193 ?</t>
  </si>
  <si>
    <t>XXVII-XXVIII</t>
  </si>
  <si>
    <t>Sess. 51 (2079)</t>
  </si>
  <si>
    <t>1216-1226</t>
  </si>
  <si>
    <t>XXXV-XXXVII</t>
  </si>
  <si>
    <t>Farf. 28 (340)</t>
  </si>
  <si>
    <t>c. 1273</t>
  </si>
  <si>
    <t>XXXVII-XLI</t>
  </si>
  <si>
    <t>Sess. 103 (1546)</t>
  </si>
  <si>
    <t>Sassatella</t>
  </si>
  <si>
    <t>XLII</t>
  </si>
  <si>
    <t>Sess. 84 (2091)</t>
  </si>
  <si>
    <t>XLIII-XLIV</t>
  </si>
  <si>
    <t>Sess. 145 (1410)</t>
  </si>
  <si>
    <t>1297-1300</t>
  </si>
  <si>
    <t>XLV</t>
  </si>
  <si>
    <t>Pisa</t>
  </si>
  <si>
    <t>c. 1265-1268</t>
  </si>
  <si>
    <t>It 2 tav. II</t>
  </si>
  <si>
    <t>It 2 tav. I</t>
  </si>
  <si>
    <t>It 2 tav. III</t>
  </si>
  <si>
    <t>It 2 83</t>
  </si>
  <si>
    <t>It 2 102</t>
  </si>
  <si>
    <t>It 2 24</t>
  </si>
  <si>
    <t>It 2 75</t>
  </si>
  <si>
    <t>It 3 tav. I</t>
  </si>
  <si>
    <t>Florence, BNC, 1222</t>
  </si>
  <si>
    <t>Florence, BNC, 1237</t>
  </si>
  <si>
    <t>It 3 tav. II-III</t>
  </si>
  <si>
    <t>It 3 38</t>
  </si>
  <si>
    <t>It 3 40</t>
  </si>
  <si>
    <t>Florence, Bibl. Ricardinia, 829 (L. I. 5) [ff. 1-42]</t>
  </si>
  <si>
    <t>Florence, Bibl. Ricardinia, 228 IV [ff. 249-256]</t>
  </si>
  <si>
    <t>Florence, Bibl. Ricardinia, 228 V [ff. 257-312]</t>
  </si>
  <si>
    <t>Florence, Bibl. Ricardinia, 228 VI [ff. 313-330]</t>
  </si>
  <si>
    <t>Florence, Bibl. Ricardinia, 435</t>
  </si>
  <si>
    <t>Florence, Bibl. Ricardinia, 792 (L. I. 8)</t>
  </si>
  <si>
    <t>Florence, Acq. e doni 149</t>
  </si>
  <si>
    <t>It 12 tav. 1</t>
  </si>
  <si>
    <t>It 12 13</t>
  </si>
  <si>
    <t>Cesena, Piana 3.210</t>
  </si>
  <si>
    <t>It 13 tav. 1</t>
  </si>
  <si>
    <t>It 13 98</t>
  </si>
  <si>
    <t>Pistoia, Archivio Capitolare, C. 112</t>
  </si>
  <si>
    <t>It 16 tav. 1</t>
  </si>
  <si>
    <t>It 16 19</t>
  </si>
  <si>
    <t>Pistoia, Forteguerriana, A. 53</t>
  </si>
  <si>
    <t>Pistoia [Lanfranco del Bene]</t>
  </si>
  <si>
    <t>It 16 tav. 2</t>
  </si>
  <si>
    <t>It 16 47</t>
  </si>
  <si>
    <t>Brescia, Bibl. Queriniana, B. VI. 13</t>
  </si>
  <si>
    <t>Inzelerio</t>
  </si>
  <si>
    <t>It 19 tav. 1</t>
  </si>
  <si>
    <t>It 18 tav. 1</t>
  </si>
  <si>
    <t>It 18 25</t>
  </si>
  <si>
    <t>Florence, Bibl. Medicea Laurenziana, Pluteo 34.47</t>
  </si>
  <si>
    <t>Cadouin [Conradus]</t>
  </si>
  <si>
    <t>It 19 97</t>
  </si>
  <si>
    <t>Florence, Bibl. Medicea Laurenziana, Pluteo 25.3</t>
  </si>
  <si>
    <t>[Emanuele]</t>
  </si>
  <si>
    <t>It 19 tav. 2-3</t>
  </si>
  <si>
    <t>It 19 69</t>
  </si>
  <si>
    <t>Naples, BN, VI. C. 26</t>
  </si>
  <si>
    <t>It Sud 247</t>
  </si>
  <si>
    <t>It Sud 291</t>
  </si>
  <si>
    <t>Naples, BN, VII. E. 1</t>
  </si>
  <si>
    <t>Faenza</t>
  </si>
  <si>
    <t>Bressanone, Seminario, E. 11</t>
  </si>
  <si>
    <t>It 35 tav. 1</t>
  </si>
  <si>
    <t>It 35 51</t>
  </si>
  <si>
    <t>Bolzano, Musea Civico, Cod. 1304</t>
  </si>
  <si>
    <t>[Rütlib di Lubiana]</t>
  </si>
  <si>
    <t>It 35 tav. 2</t>
  </si>
  <si>
    <t>It 35 20</t>
  </si>
  <si>
    <t>Bressanone, Clarisse, Ms. 48</t>
  </si>
  <si>
    <t>Bolzano [Bornartino da Verona]</t>
  </si>
  <si>
    <t>It 35 tav. 3</t>
  </si>
  <si>
    <t>It 35 30</t>
  </si>
  <si>
    <t>Pavia, Bibl. Uni., Aldini 373</t>
  </si>
  <si>
    <t>It 33 tav. 1</t>
  </si>
  <si>
    <t>It 33 60</t>
  </si>
  <si>
    <t>[Pietro Medici]</t>
  </si>
  <si>
    <t>It 33 tav. 2</t>
  </si>
  <si>
    <t>It 33 1</t>
  </si>
  <si>
    <t>Pavia, Arch. Di Stato, Notarile, Pavia, 16402</t>
  </si>
  <si>
    <t>Bologna, Bibl. Com. D'Archiginnasio, A. 1035</t>
  </si>
  <si>
    <t>[Margaritus Romanus]</t>
  </si>
  <si>
    <t>It 32 tav. 1</t>
  </si>
  <si>
    <t>It 32 46</t>
  </si>
  <si>
    <t>It 30 tav. 1</t>
  </si>
  <si>
    <t>It 30 6</t>
  </si>
  <si>
    <t>Fabriano, San Silvestro, 12</t>
  </si>
  <si>
    <t>Fabriano, San Silvestro, 2</t>
  </si>
  <si>
    <t>Montefano</t>
  </si>
  <si>
    <t>It 30 tav. 2</t>
  </si>
  <si>
    <t>It 30 5</t>
  </si>
  <si>
    <t>Florence, BNC, Magl. XXXVI. 67</t>
  </si>
  <si>
    <t>[Giacomino Patriarca]</t>
  </si>
  <si>
    <t>It 29 tav. 1</t>
  </si>
  <si>
    <t>It 29 169</t>
  </si>
  <si>
    <t>Florence, BNC, Magl. XI. 112</t>
  </si>
  <si>
    <t>[Roberto Magno Anglico]</t>
  </si>
  <si>
    <t>It 29 tav. 2-3</t>
  </si>
  <si>
    <t>It 29 74</t>
  </si>
  <si>
    <t>Ferrara, B. Ariostea, Nuove Accessioni 32</t>
  </si>
  <si>
    <t>It 28 tav. 1</t>
  </si>
  <si>
    <t>It 28 52</t>
  </si>
  <si>
    <t>Ferrara, B. Ariostea, Classe II 168</t>
  </si>
  <si>
    <t>[Egidiolus]</t>
  </si>
  <si>
    <t>It 28 tav. 2</t>
  </si>
  <si>
    <t>It 28 26</t>
  </si>
  <si>
    <t>Padova, Bibl. Capitolare, E. 1</t>
  </si>
  <si>
    <t>Padova [Isidoro]</t>
  </si>
  <si>
    <t>It 27 tav. 1</t>
  </si>
  <si>
    <t>It 27 71</t>
  </si>
  <si>
    <t>Padova, Bibl. Capitolare, E. 2</t>
  </si>
  <si>
    <t>Padova [Giovanni di Gaibana]</t>
  </si>
  <si>
    <t>It 27 tav. 2</t>
  </si>
  <si>
    <t>It 27 72</t>
  </si>
  <si>
    <t>Padova, Bibl. Capitolare, B. 16*</t>
  </si>
  <si>
    <t>Padova</t>
  </si>
  <si>
    <t>It 27 tav. 3</t>
  </si>
  <si>
    <t>It 27 18</t>
  </si>
  <si>
    <t>Cremona, Archivio Diocesano, s.s.</t>
  </si>
  <si>
    <t>[prete Alberto]</t>
  </si>
  <si>
    <t>It 26 tav. 1</t>
  </si>
  <si>
    <t>It 26 21</t>
  </si>
  <si>
    <t>Cremona, B. Statale, Civ. 1</t>
  </si>
  <si>
    <t>It 26 tav. 2</t>
  </si>
  <si>
    <t>It 26 44</t>
  </si>
  <si>
    <t>Rome, Bibl. Vall., B. 24</t>
  </si>
  <si>
    <t>Guitone</t>
  </si>
  <si>
    <t>It 25 tav. 1</t>
  </si>
  <si>
    <t>It 25 97</t>
  </si>
  <si>
    <t>Florence, Bibl. Ricardinia, 3599</t>
  </si>
  <si>
    <t>It 23 tav. 1</t>
  </si>
  <si>
    <t>It 23 105</t>
  </si>
  <si>
    <t>Milan, Bibl. Trivulziana, 356</t>
  </si>
  <si>
    <t>It 22 tav. 1</t>
  </si>
  <si>
    <t>It 22 17</t>
  </si>
  <si>
    <t>Vicenza</t>
  </si>
  <si>
    <t>Padova, Bibl. Ant. 498, f. Ir</t>
  </si>
  <si>
    <t>Padova, Bibl. Ant. 51</t>
  </si>
  <si>
    <t>Vicenza, Bibl. cap. U. VIII. 1</t>
  </si>
  <si>
    <t>Vicenza, Bibl. cap. U. VIII. 2</t>
  </si>
  <si>
    <t>Vicenza, Bibl. cap. U. VIII. 4</t>
  </si>
  <si>
    <t>Vicenza, Bibl. cap. U. VIII. 3</t>
  </si>
  <si>
    <t>Padova, Bibl. Ant. 550</t>
  </si>
  <si>
    <t>[Bonafides]</t>
  </si>
  <si>
    <t>It 4 79</t>
  </si>
  <si>
    <t>It 4 tav. I</t>
  </si>
  <si>
    <t>It 4 tav. II</t>
  </si>
  <si>
    <t>It 4 31</t>
  </si>
  <si>
    <t>It 4 tav. III</t>
  </si>
  <si>
    <t>It 4 32</t>
  </si>
  <si>
    <t>It 4 tav. IV</t>
  </si>
  <si>
    <t>It 4 34</t>
  </si>
  <si>
    <t>It 4 tav. V</t>
  </si>
  <si>
    <t>It 4 33</t>
  </si>
  <si>
    <t>It 4 tav. VI</t>
  </si>
  <si>
    <t>It 4 83</t>
  </si>
  <si>
    <t>It 4 tav. VII</t>
  </si>
  <si>
    <t>It 4 49</t>
  </si>
  <si>
    <t>Florence, BNC, Conv. Soppr., A.II. 729</t>
  </si>
  <si>
    <t>Florence, BNC, Conv. Soppr., I. V. 47</t>
  </si>
  <si>
    <t>Florence, BNC, Conv. Soppr., C. VI. 209</t>
  </si>
  <si>
    <t>[Oliverius]</t>
  </si>
  <si>
    <t>It 5 tav. I</t>
  </si>
  <si>
    <t>It 5 tav. II</t>
  </si>
  <si>
    <t>It 5 tav. III</t>
  </si>
  <si>
    <t>It 5 2bis</t>
  </si>
  <si>
    <t>It 5 121</t>
  </si>
  <si>
    <t>It 5 59</t>
  </si>
  <si>
    <t>Bergamo, Bibl. Capitolare, 1047</t>
  </si>
  <si>
    <t>It 6 tav. I</t>
  </si>
  <si>
    <t>It 6 2</t>
  </si>
  <si>
    <t>Padova, Bibl. Sem. Vesc., cod. 542</t>
  </si>
  <si>
    <t>[Agnes Scarabela]</t>
  </si>
  <si>
    <t>It 7 tav. I</t>
  </si>
  <si>
    <t>It 7 65</t>
  </si>
  <si>
    <t>[Gualterus]</t>
  </si>
  <si>
    <t>Florence, BNC,  Palatino, 157</t>
  </si>
  <si>
    <t>It 9 tav. I</t>
  </si>
  <si>
    <t>It 9 39</t>
  </si>
  <si>
    <t>Milan, Bibl. Nat. Braidense, AD.XII.14</t>
  </si>
  <si>
    <t>It 10 tav. I</t>
  </si>
  <si>
    <t>It 10 10</t>
  </si>
  <si>
    <t xml:space="preserve">Bodl. Bodley 309 </t>
  </si>
  <si>
    <t>F</t>
  </si>
  <si>
    <t>No</t>
  </si>
  <si>
    <t>Ca</t>
  </si>
  <si>
    <t>?</t>
  </si>
  <si>
    <t>s</t>
  </si>
  <si>
    <t>GB Ox II 31</t>
  </si>
  <si>
    <t>Rouen BM 477</t>
  </si>
  <si>
    <r>
      <t xml:space="preserve">1075,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 xml:space="preserve">. </t>
    </r>
  </si>
  <si>
    <t>F 7 II XXIV</t>
  </si>
  <si>
    <t>ÖNB Cod. 1247 [f. 17r]</t>
  </si>
  <si>
    <t>G</t>
  </si>
  <si>
    <t>A 1 II 21-23</t>
  </si>
  <si>
    <t>Tournai Seminar 1</t>
  </si>
  <si>
    <t>B</t>
  </si>
  <si>
    <t>Mix</t>
  </si>
  <si>
    <t>5*</t>
  </si>
  <si>
    <t>Bodl. Can. Bibl. Lat. 61</t>
  </si>
  <si>
    <t>1081-86 (1083)</t>
  </si>
  <si>
    <t>Y</t>
  </si>
  <si>
    <t>GB Ox II 32</t>
  </si>
  <si>
    <t>Orléans BM 229 [p. 29]</t>
  </si>
  <si>
    <t>1080-87 (1083)</t>
  </si>
  <si>
    <t>F 7 II XXV</t>
  </si>
  <si>
    <t>Rouen BM 1406 (Y. 41)</t>
  </si>
  <si>
    <t>1079-92 (1085)</t>
  </si>
  <si>
    <t>Yes</t>
  </si>
  <si>
    <t>Go</t>
  </si>
  <si>
    <t>F 7 II XXVII</t>
  </si>
  <si>
    <t>Rouen BM 1409 (Y. 189)</t>
  </si>
  <si>
    <t>1078-95 (1086)</t>
  </si>
  <si>
    <t>Le Mans BM 23 [f. 117v]</t>
  </si>
  <si>
    <t>1081-94 (1087)</t>
  </si>
  <si>
    <t>F 7 II XXVIII</t>
  </si>
  <si>
    <t>Uppsala University Libr. C 88</t>
  </si>
  <si>
    <t>1085-89 (1087)</t>
  </si>
  <si>
    <t>I</t>
  </si>
  <si>
    <t>S 1 2</t>
  </si>
  <si>
    <t>London Public Record Office E31/1 [f. 33r]</t>
  </si>
  <si>
    <t>1086-88? (1087)</t>
  </si>
  <si>
    <t>E</t>
  </si>
  <si>
    <t>GB Lond II 4-7</t>
  </si>
  <si>
    <t>12*</t>
  </si>
  <si>
    <t>Cambridge Corpus Christi 199</t>
  </si>
  <si>
    <t>1085-91 (1088)</t>
  </si>
  <si>
    <t>W</t>
  </si>
  <si>
    <t>GB Ca II 33</t>
  </si>
  <si>
    <t>Angers BM 187</t>
  </si>
  <si>
    <t>1083-93 (1088)</t>
  </si>
  <si>
    <t>F 7 II XXVI</t>
  </si>
  <si>
    <t>CUL Ii 3.33</t>
  </si>
  <si>
    <t>1079-1101 (1090)</t>
  </si>
  <si>
    <t>Tours BM 90</t>
  </si>
  <si>
    <t>1084-96 (1090)</t>
  </si>
  <si>
    <t>Rouen BM 32 (A. 21) [f. 1v]</t>
  </si>
  <si>
    <t>1084-97 (1090)</t>
  </si>
  <si>
    <t>F 7 II XXIX</t>
  </si>
  <si>
    <t>Bodl. Lat. th. d. 20 [f. 76r]</t>
  </si>
  <si>
    <t>GB Ox II 34</t>
  </si>
  <si>
    <t>18*</t>
  </si>
  <si>
    <t>Bodl. Rawl. b 503</t>
  </si>
  <si>
    <t>Ir</t>
  </si>
  <si>
    <t>GB Ox II 36</t>
  </si>
  <si>
    <t>19*</t>
  </si>
  <si>
    <t>Évreux BM 60 L</t>
  </si>
  <si>
    <r>
      <t xml:space="preserve">1093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</si>
  <si>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7 II XXX</t>
  </si>
  <si>
    <t>BnF nouv. acq. lat. 348</t>
  </si>
  <si>
    <t>1093-94</t>
  </si>
  <si>
    <t>F 4 II XVII</t>
  </si>
  <si>
    <t>BL Add. 28106 &amp; 28107</t>
  </si>
  <si>
    <t>1094-97 (1095)</t>
  </si>
  <si>
    <t>GB BL II 52</t>
  </si>
  <si>
    <t>Cambridge Corpus Christi 270</t>
  </si>
  <si>
    <t>1091-1100 (1095)</t>
  </si>
  <si>
    <t>GB Ca II 34</t>
  </si>
  <si>
    <t>BnF nouv. acq. lat. 2246 [f. 79v]</t>
  </si>
  <si>
    <t>1090-1100, c. (1095)</t>
  </si>
  <si>
    <t>F 4 II XVI</t>
  </si>
  <si>
    <t>BL Cotton Tiberius A.XIII [f. 103r]</t>
  </si>
  <si>
    <r>
      <t xml:space="preserve">1096,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</si>
  <si>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GB BL II 53</t>
  </si>
  <si>
    <t>BAV Barb. lat. 587</t>
  </si>
  <si>
    <t>It</t>
  </si>
  <si>
    <t>ITBAV 1 II 1</t>
  </si>
  <si>
    <t>BL Arundel 60</t>
  </si>
  <si>
    <t>GB BL II 55</t>
  </si>
  <si>
    <t>27*</t>
  </si>
  <si>
    <t>BL Add. 40000</t>
  </si>
  <si>
    <r>
      <t xml:space="preserve">1100,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</si>
  <si>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GB BL II 56</t>
  </si>
  <si>
    <t>BL Harley 3904 [f. 13r]</t>
  </si>
  <si>
    <t>GB BL II 57</t>
  </si>
  <si>
    <t>Cambridge Corpus Christi 415 [p. 265]</t>
  </si>
  <si>
    <t>1095-1109 (1100)</t>
  </si>
  <si>
    <t>GB Ca II 35</t>
  </si>
  <si>
    <t>Rome BNC Farf. 2 [f. 348r]</t>
  </si>
  <si>
    <t>It Roma II 22-23</t>
  </si>
  <si>
    <t>Paris Mazarine 364</t>
  </si>
  <si>
    <t>1099-1105 (1103)</t>
  </si>
  <si>
    <t>F 1 II VI</t>
  </si>
  <si>
    <t>Cesena Bibl. Malatestiana 3.210</t>
  </si>
  <si>
    <t>nt</t>
  </si>
  <si>
    <t>It 13 1</t>
  </si>
  <si>
    <t>BnF nouv. acq. lat. 2195</t>
  </si>
  <si>
    <t>BL Cotton Nero C.V [f. 76v]</t>
  </si>
  <si>
    <r>
      <t xml:space="preserve">1105,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</si>
  <si>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GB BL II 59</t>
  </si>
  <si>
    <t>BL Cotton Vitellius C.XII</t>
  </si>
  <si>
    <t>1100-1110 (1105)</t>
  </si>
  <si>
    <t>GB BL II 58</t>
  </si>
  <si>
    <t>The Hague KB 128 E 14</t>
  </si>
  <si>
    <t>1106-11 (1108)</t>
  </si>
  <si>
    <t>NL 2 II 956</t>
  </si>
  <si>
    <t>Chantilly Mus. Condé 16 [f. 45v]</t>
  </si>
  <si>
    <t>1105-13 (1108)</t>
  </si>
  <si>
    <t>F 1 II X</t>
  </si>
  <si>
    <t>Dijon BM 12, 13, 14 and 15</t>
  </si>
  <si>
    <t>F 6 II IX</t>
  </si>
  <si>
    <t>Rouen BM 1174 (Y. 14)</t>
  </si>
  <si>
    <t>1109-10</t>
  </si>
  <si>
    <t>F 7 II XXXIV</t>
  </si>
  <si>
    <t>Oxford St John 17</t>
  </si>
  <si>
    <t>1110-11</t>
  </si>
  <si>
    <t>GB Ox II 33</t>
  </si>
  <si>
    <t>Dijon BM 168, 169 and 170</t>
  </si>
  <si>
    <t>F 6 II X</t>
  </si>
  <si>
    <t>BL Royal 6 C.VI</t>
  </si>
  <si>
    <t>1108-14 (1111)</t>
  </si>
  <si>
    <t>GB BL II 61</t>
  </si>
  <si>
    <t>Admont SB Cod. 735</t>
  </si>
  <si>
    <t>1106-18 (1112)</t>
  </si>
  <si>
    <t>A</t>
  </si>
  <si>
    <t>A 7 II 1-2</t>
  </si>
  <si>
    <t>BnF lat. 10062</t>
  </si>
  <si>
    <r>
      <t xml:space="preserve">1113,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</si>
  <si>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3 II XXVI</t>
  </si>
  <si>
    <t>BnF lat. 17767</t>
  </si>
  <si>
    <t>1102-23 (1113)</t>
  </si>
  <si>
    <t>F 3 II XXV</t>
  </si>
  <si>
    <t>BNC Farf. 1 [f. 363r]</t>
  </si>
  <si>
    <t>1105-19 (1113)</t>
  </si>
  <si>
    <t>It Rome II 24-25</t>
  </si>
  <si>
    <t>BnF lat. 1918</t>
  </si>
  <si>
    <t>1107-21 (1114)</t>
  </si>
  <si>
    <t>F 2 II XIII</t>
  </si>
  <si>
    <t>Auxerre BM 212</t>
  </si>
  <si>
    <t>1109-24 (1116)</t>
  </si>
  <si>
    <t>Avranches BM 211 [f. 68r]</t>
  </si>
  <si>
    <r>
      <t xml:space="preserve">1117,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</si>
  <si>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7 II XXXVI</t>
  </si>
  <si>
    <t>Bodl. e Mus. 112</t>
  </si>
  <si>
    <t>1108 &amp; 26 (1117)</t>
  </si>
  <si>
    <t>GB Ox II 37</t>
  </si>
  <si>
    <t>Amsterdam UB 89</t>
  </si>
  <si>
    <t>1109-25 (1117)</t>
  </si>
  <si>
    <t>B?</t>
  </si>
  <si>
    <t>NL 1 II 55-56</t>
  </si>
  <si>
    <t>BnF nouv. acq. lat. 1496</t>
  </si>
  <si>
    <t>F 4 II XVIII</t>
  </si>
  <si>
    <t>Leiden UB BPL 114 B</t>
  </si>
  <si>
    <r>
      <t xml:space="preserve">1118,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</si>
  <si>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NL 1 II 57</t>
  </si>
  <si>
    <t>BnF lat. 2500 [f. 49r]</t>
  </si>
  <si>
    <t>1113-24 (1118)</t>
  </si>
  <si>
    <t>F 2 II XII</t>
  </si>
  <si>
    <t>Cambridge St John’s D. 19 (94)</t>
  </si>
  <si>
    <t>1112-26 (1119)</t>
  </si>
  <si>
    <t>GB Ca II 39</t>
  </si>
  <si>
    <t>Vendôme BM 44</t>
  </si>
  <si>
    <r>
      <t xml:space="preserve">1120,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</si>
  <si>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7 II XXXIX</t>
  </si>
  <si>
    <t>BL Cotton Nero D.II</t>
  </si>
  <si>
    <t>GB BL II 64</t>
  </si>
  <si>
    <t>58*</t>
  </si>
  <si>
    <t>Leiden UB BPL 2505, a-f</t>
  </si>
  <si>
    <t>1113-27 (1120)</t>
  </si>
  <si>
    <t>NL 1 II 104-109</t>
  </si>
  <si>
    <t>Cambridge Corpus Christi 373</t>
  </si>
  <si>
    <t>1114-25 (1120)</t>
  </si>
  <si>
    <t>GB Ca II 41</t>
  </si>
  <si>
    <t>60*</t>
  </si>
  <si>
    <t>Leiden UB BPL 2505</t>
  </si>
  <si>
    <t>NL 2 II 957-960</t>
  </si>
  <si>
    <t>BL Royal 5 D.II</t>
  </si>
  <si>
    <t>1115-24 (1120)</t>
  </si>
  <si>
    <t>GB BL II 62</t>
  </si>
  <si>
    <t>62*</t>
  </si>
  <si>
    <t>Bodl. Laud Misc. 636</t>
  </si>
  <si>
    <t>GB Ox II 39</t>
  </si>
  <si>
    <t>Cambridge Corpus Christi 371</t>
  </si>
  <si>
    <t>1113? &amp; 1130 (1121)</t>
  </si>
  <si>
    <t>GB Ca II 40</t>
  </si>
  <si>
    <t>Oxford Jesus 26</t>
  </si>
  <si>
    <t>1119-24 (1121)</t>
  </si>
  <si>
    <t>GB Ox II 38</t>
  </si>
  <si>
    <t>BnF lat. 2502</t>
  </si>
  <si>
    <t>1120-24 (1122)</t>
  </si>
  <si>
    <t>F 2 II XIV</t>
  </si>
  <si>
    <t>BnF lat. 2900</t>
  </si>
  <si>
    <t>BnF nouv. acq. lat. 1064</t>
  </si>
  <si>
    <t>1114-33 (1123)</t>
  </si>
  <si>
    <t>Oxford Lincoln Lat. 100</t>
  </si>
  <si>
    <t>GB Ox II 45</t>
  </si>
  <si>
    <t>Heerenberg Huis Bergh Inv. 25 [‘fr. b’]</t>
  </si>
  <si>
    <t>NL 1 II 58-59</t>
  </si>
  <si>
    <t>Bergamo Bibl. Capitolare 1047</t>
  </si>
  <si>
    <t>It 6 1</t>
  </si>
  <si>
    <t>Dijon BM 130</t>
  </si>
  <si>
    <r>
      <t xml:space="preserve">1125,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</si>
  <si>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6 II XI</t>
  </si>
  <si>
    <t>Oxford Magdalen Lat. 172</t>
  </si>
  <si>
    <t>GB Ox II 46</t>
  </si>
  <si>
    <t>Alençon BM 26</t>
  </si>
  <si>
    <t>1113-37 (1125)</t>
  </si>
  <si>
    <t>F 7 II XXXIII</t>
  </si>
  <si>
    <t>Rouen BM 1343 (U. 43)</t>
  </si>
  <si>
    <t>Cambridge Corpus Christi 393</t>
  </si>
  <si>
    <t>1116-35 (1125)</t>
  </si>
  <si>
    <t>GB Ca II 42</t>
  </si>
  <si>
    <t>Paris Mazarine 2013 [f. 136r]</t>
  </si>
  <si>
    <t>1120-31 (1125)</t>
  </si>
  <si>
    <t>F?</t>
  </si>
  <si>
    <t>F 1 II VIII</t>
  </si>
  <si>
    <t>Cambridge Corpus Christi 452</t>
  </si>
  <si>
    <t>1122-30, c. (1126)</t>
  </si>
  <si>
    <t>GB Ca II 47</t>
  </si>
  <si>
    <t>BnF lat. 1793</t>
  </si>
  <si>
    <r>
      <t xml:space="preserve">1127,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</si>
  <si>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2 II XV</t>
  </si>
  <si>
    <t>BL Cotton Tiberius C.I &amp; Harley 3667</t>
  </si>
  <si>
    <t>1122-35? (1128)</t>
  </si>
  <si>
    <t>GB BL II 67</t>
  </si>
  <si>
    <t>Bodl. 561</t>
  </si>
  <si>
    <t>1124-33 (1128)</t>
  </si>
  <si>
    <t>GB Ox II 43</t>
  </si>
  <si>
    <t>BL Add. 16979</t>
  </si>
  <si>
    <t>GB BL II 68</t>
  </si>
  <si>
    <t>Bodl. Arch. Selden b. 16</t>
  </si>
  <si>
    <t>GB Ox II 48</t>
  </si>
  <si>
    <t>BnF lat. 13779</t>
  </si>
  <si>
    <r>
      <t xml:space="preserve">1129,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</si>
  <si>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4 II XIX</t>
  </si>
  <si>
    <t>Cambridge Corpus Christi 2</t>
  </si>
  <si>
    <t>1121-38 (1129)</t>
  </si>
  <si>
    <t>GB Ca II 45-46</t>
  </si>
  <si>
    <t>Leiden UB VLF 8 [f. 17v]</t>
  </si>
  <si>
    <r>
      <t xml:space="preserve">1130,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</si>
  <si>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NL 1 II 60-62</t>
  </si>
  <si>
    <t>BL Add. 16918</t>
  </si>
  <si>
    <t>GB BL II 69</t>
  </si>
  <si>
    <t>Cambridge Trinity R. 7. 28 (770)</t>
  </si>
  <si>
    <t>1120-40 (1130)</t>
  </si>
  <si>
    <t>GB Ca II 44</t>
  </si>
  <si>
    <t>Vendôme BM 193</t>
  </si>
  <si>
    <t>1129-32 (1130)</t>
  </si>
  <si>
    <t>F 7 II XL</t>
  </si>
  <si>
    <t>London Lambeth Palace 224</t>
  </si>
  <si>
    <t>1120-43 (1131)</t>
  </si>
  <si>
    <t>GB Lond II 8</t>
  </si>
  <si>
    <t>BL Cotton Vespasian A.IX</t>
  </si>
  <si>
    <t>GB BL II 70</t>
  </si>
  <si>
    <t>Rome BNC Farf. 3</t>
  </si>
  <si>
    <r>
      <t xml:space="preserve">1132,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</si>
  <si>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It Roma II XXVI</t>
  </si>
  <si>
    <t>Cambridge St John’s A.22 (22)</t>
  </si>
  <si>
    <t>GB Ca II 58</t>
  </si>
  <si>
    <t>BnF lat. 5506</t>
  </si>
  <si>
    <t>1123-41 (1132)</t>
  </si>
  <si>
    <t>Bodl. 297 [f. 145r]</t>
  </si>
  <si>
    <t>1131-34 (1132)</t>
  </si>
  <si>
    <t>GB Ox II 50</t>
  </si>
  <si>
    <t>BnF lat. 12055</t>
  </si>
  <si>
    <t>G?</t>
  </si>
  <si>
    <t>F 3 II XXVII</t>
  </si>
  <si>
    <t>Brussels KB II 2524 [f. 137v]</t>
  </si>
  <si>
    <t>1132-35 (1133)</t>
  </si>
  <si>
    <t>ÖNB Cod. 1063</t>
  </si>
  <si>
    <t>A 1 II 27</t>
  </si>
  <si>
    <t>BL Harley 3099 [f. 152v]</t>
  </si>
  <si>
    <t>GB BL II 72</t>
  </si>
  <si>
    <t>Cambridge Trinity O.5.20 (1301)</t>
  </si>
  <si>
    <t>1125-43 (1134)</t>
  </si>
  <si>
    <t>GB Ca II 52</t>
  </si>
  <si>
    <t>BL Harley 2660 [f. 33r]</t>
  </si>
  <si>
    <t>1136-38 (1137)</t>
  </si>
  <si>
    <t>GB BL II 73</t>
  </si>
  <si>
    <t>CUL Kk. 4. 6</t>
  </si>
  <si>
    <t>1130-45 (1137)</t>
  </si>
  <si>
    <t>GB Ca II 57</t>
  </si>
  <si>
    <t>Oxford Lincoln Lat. 63 [f. 139r]</t>
  </si>
  <si>
    <t>GB Ox II 66</t>
  </si>
  <si>
    <t>BL Egerton 1139</t>
  </si>
  <si>
    <t>1131-43 (1137)</t>
  </si>
  <si>
    <t>Is</t>
  </si>
  <si>
    <t>GB BL II 71</t>
  </si>
  <si>
    <t>BnF lat. 3790</t>
  </si>
  <si>
    <t>F 2 II XVI</t>
  </si>
  <si>
    <t>105*</t>
  </si>
  <si>
    <t>BL Harley 1802</t>
  </si>
  <si>
    <t>GB BL II 74</t>
  </si>
  <si>
    <t>Leiden UB BPL 20 [f. 22v]</t>
  </si>
  <si>
    <t>1138-39</t>
  </si>
  <si>
    <t>NL 1 II 63-68</t>
  </si>
  <si>
    <t>Brussels KB 104-05 [f. 131v]</t>
  </si>
  <si>
    <t>Brussels KB II 1065</t>
  </si>
  <si>
    <t>b</t>
  </si>
  <si>
    <t>BnF lat. 11851 [f. 214r]</t>
  </si>
  <si>
    <r>
      <t xml:space="preserve">1139,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</si>
  <si>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3 II XXIX</t>
  </si>
  <si>
    <t>Oxford Corpus Christi 157 [f. 1r]</t>
  </si>
  <si>
    <t>1135-43 (1139)</t>
  </si>
  <si>
    <t>GB Ox II 52</t>
  </si>
  <si>
    <t>Cambridge St John’s b.20 (42)</t>
  </si>
  <si>
    <t>1140, c.</t>
  </si>
  <si>
    <t>GB Ca II 61</t>
  </si>
  <si>
    <t>BL Cotton Nero C.VII</t>
  </si>
  <si>
    <t>GB BL II 76</t>
  </si>
  <si>
    <t>BL Add. 14250</t>
  </si>
  <si>
    <t>GB BL II 75</t>
  </si>
  <si>
    <t>Blois BM 44 [f. 9r]</t>
  </si>
  <si>
    <r>
      <t xml:space="preserve">1140-41,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</si>
  <si>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7 II XLI</t>
  </si>
  <si>
    <t>BnF lat. 10913</t>
  </si>
  <si>
    <r>
      <t xml:space="preserve">1141,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</si>
  <si>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ÖNB Cod. 375</t>
  </si>
  <si>
    <t>A 1 II 28</t>
  </si>
  <si>
    <t>BL Add. 15722</t>
  </si>
  <si>
    <t>GB BL II 77</t>
  </si>
  <si>
    <t>BnF lat. 1654</t>
  </si>
  <si>
    <t>1134-50 (1142)</t>
  </si>
  <si>
    <t>sk</t>
  </si>
  <si>
    <t>BnF lat. 11577</t>
  </si>
  <si>
    <t>BnF lat. 12072</t>
  </si>
  <si>
    <t>F 3 II XXVIII</t>
  </si>
  <si>
    <t>BnF lat. 17545</t>
  </si>
  <si>
    <t>1137-47 (1142)</t>
  </si>
  <si>
    <t>ÖNB Cod. 275</t>
  </si>
  <si>
    <t>A 1 II 30</t>
  </si>
  <si>
    <t>BnF nouv. acq. lat. 706</t>
  </si>
  <si>
    <r>
      <t xml:space="preserve">1143-44,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</si>
  <si>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4 II XX</t>
  </si>
  <si>
    <t>Bern Burgerbibliothek 226</t>
  </si>
  <si>
    <t>1143-44</t>
  </si>
  <si>
    <t>Sch 2 II 16-17</t>
  </si>
  <si>
    <t>Rouen BM 470 (A. 291) [f. 41r]</t>
  </si>
  <si>
    <r>
      <t xml:space="preserve">1144,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</si>
  <si>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7 II XLII</t>
  </si>
  <si>
    <t>Bodl. Can. Pat. Lat. 148</t>
  </si>
  <si>
    <t>m</t>
  </si>
  <si>
    <t>GB Ox II 54</t>
  </si>
  <si>
    <t>128*</t>
  </si>
  <si>
    <t>Angers BM 827</t>
  </si>
  <si>
    <t>1137-54 (1145)</t>
  </si>
  <si>
    <t>BL Add. 46487</t>
  </si>
  <si>
    <r>
      <t xml:space="preserve">1146,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</si>
  <si>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GB BL II 78</t>
  </si>
  <si>
    <t>Charleville BM 114 [f. 24v]</t>
  </si>
  <si>
    <t>1145-48 (1146)</t>
  </si>
  <si>
    <t>F 5 II X</t>
  </si>
  <si>
    <t>Bodl. Digby 40</t>
  </si>
  <si>
    <t>kb</t>
  </si>
  <si>
    <t>GB Ox II 55</t>
  </si>
  <si>
    <t>Leiden UB BPL 196</t>
  </si>
  <si>
    <t>1145-49 (1147)</t>
  </si>
  <si>
    <t>NL 1 II 73-74</t>
  </si>
  <si>
    <t>Charleville BM 26 (1)</t>
  </si>
  <si>
    <t>F 5 II XII</t>
  </si>
  <si>
    <t>BL Add. 14788</t>
  </si>
  <si>
    <t>GB BL II 81</t>
  </si>
  <si>
    <t>BL Harley 2803 &amp; 2804</t>
  </si>
  <si>
    <t>GB BL II 82</t>
  </si>
  <si>
    <t>BnF lat. 1663</t>
  </si>
  <si>
    <r>
      <t xml:space="preserve">1148,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</si>
  <si>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2 II XVIII</t>
  </si>
  <si>
    <t>London Soc. of Antiquaries 154</t>
  </si>
  <si>
    <t>GB Lond II 13</t>
  </si>
  <si>
    <t>Charleville BM 12</t>
  </si>
  <si>
    <t>139*</t>
  </si>
  <si>
    <t>Charleville BM 26 (2)</t>
  </si>
  <si>
    <t>Bodl. Auct. D. 2. 6</t>
  </si>
  <si>
    <t>1139-58 (1149)</t>
  </si>
  <si>
    <t>GB Ox II 53</t>
  </si>
  <si>
    <t>BnF lat. 5064</t>
  </si>
  <si>
    <t>1143-56 (1149)</t>
  </si>
  <si>
    <t>F 2 II XVII</t>
  </si>
  <si>
    <t>BnF lat. 5129 [f. 6r]</t>
  </si>
  <si>
    <t>1145-53 (1149)</t>
  </si>
  <si>
    <t>London Univ. College Germ. 16</t>
  </si>
  <si>
    <t>GB Lond II 12</t>
  </si>
  <si>
    <t>BnF nouv. acq. lat. 214</t>
  </si>
  <si>
    <r>
      <t xml:space="preserve">1151,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</si>
  <si>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4 II XXI</t>
  </si>
  <si>
    <t>Udine Bibl. Arcivescovile 82 [f. 66r]</t>
  </si>
  <si>
    <t>It Friulane II 5</t>
  </si>
  <si>
    <t>BnF lat. 14314 [f. 208v]</t>
  </si>
  <si>
    <r>
      <t xml:space="preserve">1152,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</si>
  <si>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3 II XXX</t>
  </si>
  <si>
    <t>Auxerre BM 142</t>
  </si>
  <si>
    <t>F 6 II XII</t>
  </si>
  <si>
    <t>BL Cotton Vitellius A.XVII</t>
  </si>
  <si>
    <t>1150-53 (1152)</t>
  </si>
  <si>
    <t>GB BL II 83</t>
  </si>
  <si>
    <t>BnF lat. 14802 [f. 45v]</t>
  </si>
  <si>
    <t>BnF nouv. acq. lat. 429</t>
  </si>
  <si>
    <t>1151-56 (1153)</t>
  </si>
  <si>
    <t>F 4 II XXII</t>
  </si>
  <si>
    <t>Leiden UB BPL 30 [f. 91v]</t>
  </si>
  <si>
    <t>1153-54</t>
  </si>
  <si>
    <t>NL 1 II 75-80</t>
  </si>
  <si>
    <t>Leiden UB VLF 67 [f. 33r]</t>
  </si>
  <si>
    <t>NL 1 II 81-83</t>
  </si>
  <si>
    <t>Chantilly Mus. Condé 121 [f. 107v]</t>
  </si>
  <si>
    <t>F 1 II IX</t>
  </si>
  <si>
    <t xml:space="preserve">Strasbourg Grand Séminaire 37 </t>
  </si>
  <si>
    <t>F 5 II XV</t>
  </si>
  <si>
    <t>BnF lat. 3853 [f. 120r]</t>
  </si>
  <si>
    <r>
      <t xml:space="preserve">1154,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</si>
  <si>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2 II XIX</t>
  </si>
  <si>
    <t>BnF lat. 7561 [p. 71]</t>
  </si>
  <si>
    <t>1153-55 (1154)</t>
  </si>
  <si>
    <t>F 4 II XXIII</t>
  </si>
  <si>
    <t>Mons Bib. de la Ville 333/352 [f. 116v]</t>
  </si>
  <si>
    <t>BL Add. 17737 and 17738</t>
  </si>
  <si>
    <r>
      <t xml:space="preserve">1155,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</si>
  <si>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GB BL II 86</t>
  </si>
  <si>
    <t>Cambridge Trinity b. 15. 10 (346)</t>
  </si>
  <si>
    <t>GB Ca II 67</t>
  </si>
  <si>
    <r>
      <t xml:space="preserve">1155,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 (&amp; 1176?)</t>
    </r>
  </si>
  <si>
    <t>GB Lond II 14</t>
  </si>
  <si>
    <t>Admont SB Cod. 36 [f. 36r]</t>
  </si>
  <si>
    <t>1147-64 (1155)</t>
  </si>
  <si>
    <t>A 7 II 3</t>
  </si>
  <si>
    <t>Admont SB Cod. 52</t>
  </si>
  <si>
    <t>A 7 II 4</t>
  </si>
  <si>
    <t>Brussels KB II 1635 [f. 29r]</t>
  </si>
  <si>
    <t>Avranches BM 210 [f. 18v]</t>
  </si>
  <si>
    <t>1154-58 (1156)</t>
  </si>
  <si>
    <t>F 7 II XLIV</t>
  </si>
  <si>
    <t>Charleville BM 246 b</t>
  </si>
  <si>
    <t>1156-57</t>
  </si>
  <si>
    <t>F 5 II XVI</t>
  </si>
  <si>
    <t>Avranches BM 159</t>
  </si>
  <si>
    <t>Charleville BM 2</t>
  </si>
  <si>
    <t>Metz BM 1154</t>
  </si>
  <si>
    <t>F 5 II XVII</t>
  </si>
  <si>
    <t>Cambridge Trinity R.17.1 (987)</t>
  </si>
  <si>
    <t>1145-70 (1157)</t>
  </si>
  <si>
    <t>GB Ca II 63-64</t>
  </si>
  <si>
    <t>BnF nouv. acq. lat. 1772</t>
  </si>
  <si>
    <t>1155-60 (1157)</t>
  </si>
  <si>
    <t>F 4 II XXIV</t>
  </si>
  <si>
    <r>
      <t xml:space="preserve">1160,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</si>
  <si>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4 II XXV</t>
  </si>
  <si>
    <t>Reims BM 452</t>
  </si>
  <si>
    <t>1145-74? (1160)</t>
  </si>
  <si>
    <t>F 5 II XI</t>
  </si>
  <si>
    <t>BL Royal 2 A.X</t>
  </si>
  <si>
    <t>GB BL II 88</t>
  </si>
  <si>
    <t>Oxford Corpus Christi 134</t>
  </si>
  <si>
    <t>1161?</t>
  </si>
  <si>
    <t>GB Ox II 67</t>
  </si>
  <si>
    <t>BL Royal 3 A.XII</t>
  </si>
  <si>
    <t>1147-76 (1161)</t>
  </si>
  <si>
    <t>GB BL II 79</t>
  </si>
  <si>
    <t>BL Royal 7 F.VI</t>
  </si>
  <si>
    <t>GB BL II 80</t>
  </si>
  <si>
    <t>Oxford Jesus 53</t>
  </si>
  <si>
    <t>GB Ox II 56</t>
  </si>
  <si>
    <t>Oxford Jesus 68</t>
  </si>
  <si>
    <t>GB Ox II 57</t>
  </si>
  <si>
    <t>Bodl. Auct. D. 4. 6</t>
  </si>
  <si>
    <t>1158-64 (1161)</t>
  </si>
  <si>
    <t>GB Ox II 64</t>
  </si>
  <si>
    <t>Charleville BM 197 A, t. 2</t>
  </si>
  <si>
    <t>1148-74? (1161)</t>
  </si>
  <si>
    <t>F 5 II XIII</t>
  </si>
  <si>
    <t>BnF lat. 2444</t>
  </si>
  <si>
    <t>F 2 II XX</t>
  </si>
  <si>
    <t>Admont SB Cod. 221 [f. 1r]</t>
  </si>
  <si>
    <t>A 7 II 9-10</t>
  </si>
  <si>
    <t>Vorau SB Cod. 255 [f. 1r]</t>
  </si>
  <si>
    <t>A 7 II 5-8</t>
  </si>
  <si>
    <t>Oxford Jesus 52</t>
  </si>
  <si>
    <t>1149-76 (1162)</t>
  </si>
  <si>
    <t>GB Ox II 58</t>
  </si>
  <si>
    <t>Oxford Jesus 63</t>
  </si>
  <si>
    <t>GB Ox II 59</t>
  </si>
  <si>
    <t>Oxford Jesus 67</t>
  </si>
  <si>
    <t>GB Ox II 60</t>
  </si>
  <si>
    <t>Cambridge St John’s C.18 (68)</t>
  </si>
  <si>
    <t>1152-73 (1162)</t>
  </si>
  <si>
    <t>GB Ca II 65</t>
  </si>
  <si>
    <t>Engelberg SB 3-5 [f. 2v]</t>
  </si>
  <si>
    <t>1147-78 (1162)</t>
  </si>
  <si>
    <t>S</t>
  </si>
  <si>
    <t>Sch 2 II 18-23</t>
  </si>
  <si>
    <t>Engelberg SB 12 [f. 24r]</t>
  </si>
  <si>
    <t>Sch 2 II 26-27</t>
  </si>
  <si>
    <t>Engelberg SB 13 [f. 83r]</t>
  </si>
  <si>
    <t>Sch 2 II 28</t>
  </si>
  <si>
    <t>BL Add. 15307 [f. 143r]</t>
  </si>
  <si>
    <t>GB BL II 89</t>
  </si>
  <si>
    <t>Troyes BM 1484 [f. 57r]</t>
  </si>
  <si>
    <t>1152-74 (1163)</t>
  </si>
  <si>
    <t>Troyes BM 799 [f. 19r]</t>
  </si>
  <si>
    <t xml:space="preserve">F? </t>
  </si>
  <si>
    <t>F 5 II XIV</t>
  </si>
  <si>
    <t>Troyes BM 1176 [f. 24r]</t>
  </si>
  <si>
    <t>Troyes BM 426 [f. 51v]</t>
  </si>
  <si>
    <t>Dijon BM 658 [f. 103r, col. A]</t>
  </si>
  <si>
    <t>F 6 II XIII</t>
  </si>
  <si>
    <t>Oxford St John’s 49</t>
  </si>
  <si>
    <t>1158-69 (1163)</t>
  </si>
  <si>
    <t>GB Ox II 65</t>
  </si>
  <si>
    <t>Saint-Brieuc BM 7 [f. 68r]</t>
  </si>
  <si>
    <t>1153-72 (1163)</t>
  </si>
  <si>
    <t>F 7 II XLIII</t>
  </si>
  <si>
    <t>BnF lat. 11575 [and 11576]</t>
  </si>
  <si>
    <t>F 3 II XXXI</t>
  </si>
  <si>
    <t>Bodl. Canon. Liturg. 297 [f. 145r]</t>
  </si>
  <si>
    <t>1154-73 (1164)</t>
  </si>
  <si>
    <t>GB Ox II 61</t>
  </si>
  <si>
    <t>Cambridge Corpus Christi 46 [f. 184r]</t>
  </si>
  <si>
    <t>1159-70 (1164)</t>
  </si>
  <si>
    <t>GB Ca II 68</t>
  </si>
  <si>
    <t>Leiden UB Periz. quarto 17</t>
  </si>
  <si>
    <t>1160-68 (1164)</t>
  </si>
  <si>
    <t>NL 1 II 87</t>
  </si>
  <si>
    <t>Bodl. Digby 56</t>
  </si>
  <si>
    <t>1164-68 (1166)</t>
  </si>
  <si>
    <t>GB Ox II 73</t>
  </si>
  <si>
    <t>BnF lat. 9688</t>
  </si>
  <si>
    <t>F 3 II XXXII</t>
  </si>
  <si>
    <t>BnF lat. 2702</t>
  </si>
  <si>
    <t>Charleville BM 246 D</t>
  </si>
  <si>
    <t>F 5 II XVIII</t>
  </si>
  <si>
    <t>Oxford Christ Church lat. 88</t>
  </si>
  <si>
    <t>GB Ox II 75</t>
  </si>
  <si>
    <t>Bodl. Auct. D. 2. 4</t>
  </si>
  <si>
    <t>1161-73 (1167)</t>
  </si>
  <si>
    <t>GB Ox II 70</t>
  </si>
  <si>
    <t>Cambridge Trinity b. 3. 11 (90)</t>
  </si>
  <si>
    <t>1164-70 (1167)</t>
  </si>
  <si>
    <t>GB Ca II 69</t>
  </si>
  <si>
    <t>Cambridge Trinity b. 3. 30 (109)</t>
  </si>
  <si>
    <t>GB Ca II 70</t>
  </si>
  <si>
    <t>Cambridge Trinity b. 5. 5 (151)</t>
  </si>
  <si>
    <t>GB Ca II 71</t>
  </si>
  <si>
    <t>Cambridge Trinity R. 4. 4 (637)</t>
  </si>
  <si>
    <t>GB Ca II 72</t>
  </si>
  <si>
    <t>Cambridge Trinity b. 16. 17 (391)</t>
  </si>
  <si>
    <t>GB Ca II 73</t>
  </si>
  <si>
    <t>Bodl. Auct. E. inf. 7</t>
  </si>
  <si>
    <t>GB Ox II 71</t>
  </si>
  <si>
    <t>Bodl. Bodley 345</t>
  </si>
  <si>
    <t>GB Ox II 72</t>
  </si>
  <si>
    <t>Admont SB Cod. 434 [f. 200r]</t>
  </si>
  <si>
    <t>1166?-69 (1167)</t>
  </si>
  <si>
    <t>A 7 II 11-26</t>
  </si>
  <si>
    <t>Bodl. Auct. E. inf. 1</t>
  </si>
  <si>
    <t>1167-71 (1169)</t>
  </si>
  <si>
    <t>GB Ox II 76</t>
  </si>
  <si>
    <t>Leiden UB VLF 70 III [f. 107r]</t>
  </si>
  <si>
    <t>1159-79 (1169)</t>
  </si>
  <si>
    <t>NL 1 II 84-86</t>
  </si>
  <si>
    <t>BL Egerton 3668</t>
  </si>
  <si>
    <t>GB BL II 92</t>
  </si>
  <si>
    <t>Charleville BM 264</t>
  </si>
  <si>
    <t>F 5 II XIX</t>
  </si>
  <si>
    <t>Nîmes BM 14</t>
  </si>
  <si>
    <t>F 6 II XV</t>
  </si>
  <si>
    <t>Cambridge Corpus Christi 139 [f. 85r]</t>
  </si>
  <si>
    <t>1164-75 (1170)</t>
  </si>
  <si>
    <t>GB Ca II 74</t>
  </si>
  <si>
    <t>Admont SB Cod. 686a</t>
  </si>
  <si>
    <t>1169-71 (1170)</t>
  </si>
  <si>
    <t>A 7 II 27-28</t>
  </si>
  <si>
    <t>BnF lat. 8314</t>
  </si>
  <si>
    <t>F 3 II XXXIV</t>
  </si>
  <si>
    <t>BL Cotton Claudius C.IX</t>
  </si>
  <si>
    <t>1171?</t>
  </si>
  <si>
    <t>GB BL II 93</t>
  </si>
  <si>
    <t>BL Harley 2798 and 2799</t>
  </si>
  <si>
    <t>GB BL II 94</t>
  </si>
  <si>
    <t>Frankfurt UBi Barth. 41</t>
  </si>
  <si>
    <t>G 1 2</t>
  </si>
  <si>
    <t>Stüttgart WLB I 236</t>
  </si>
  <si>
    <t>G 3 15</t>
  </si>
  <si>
    <t>BL Harley 2800</t>
  </si>
  <si>
    <r>
      <t xml:space="preserve">1172,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</si>
  <si>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GB BL II 95</t>
  </si>
  <si>
    <t>BnF nouv. acq. lat. 583</t>
  </si>
  <si>
    <t>F 4 II XXVI</t>
  </si>
  <si>
    <t>BL Harley 3045</t>
  </si>
  <si>
    <t>GB BL II 96</t>
  </si>
  <si>
    <t>Rouen BM 209 and 210</t>
  </si>
  <si>
    <r>
      <t xml:space="preserve">1173,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</si>
  <si>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7 II XLVII</t>
  </si>
  <si>
    <t>Cambridge Trinity B. 5. 6 (153)</t>
  </si>
  <si>
    <t>1170-77? (1173)</t>
  </si>
  <si>
    <t>GB Ca II 83</t>
  </si>
  <si>
    <t>BnF lat. 12583</t>
  </si>
  <si>
    <r>
      <t xml:space="preserve">1172-74,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 (1173)</t>
    </r>
  </si>
  <si>
    <t>Padova Bibl. Antoniana 498</t>
  </si>
  <si>
    <t>It 4 1</t>
  </si>
  <si>
    <t>Évreux BM 17 L</t>
  </si>
  <si>
    <t>F 7 II XLVIII</t>
  </si>
  <si>
    <t>Évreux BM 92 L</t>
  </si>
  <si>
    <t>1165-83 (1174)</t>
  </si>
  <si>
    <t>F 7 II XLV</t>
  </si>
  <si>
    <t>Bodl. Rawl. Q. f. 8</t>
  </si>
  <si>
    <t>1171-77 (1174)</t>
  </si>
  <si>
    <t>GB Ox II 77</t>
  </si>
  <si>
    <t>Bodl. Auct. E. inf. 6</t>
  </si>
  <si>
    <t>1173-76 (1174)</t>
  </si>
  <si>
    <t>GB Ox II 78</t>
  </si>
  <si>
    <t>ÖNB Cod. 568</t>
  </si>
  <si>
    <t>A 1 II 37</t>
  </si>
  <si>
    <t>Fitzwilliam Mus. McClean 165</t>
  </si>
  <si>
    <r>
      <t xml:space="preserve">1175,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</si>
  <si>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GB Ca II 89</t>
  </si>
  <si>
    <t>Cambridge Trinity B. 5. 4 (150)</t>
  </si>
  <si>
    <t>1173-77 (1175)</t>
  </si>
  <si>
    <t>GB Ca II 84</t>
  </si>
  <si>
    <t>BnF lat. 946</t>
  </si>
  <si>
    <t>1167-83 (1175)</t>
  </si>
  <si>
    <t>BL Royal 13 D.IV [f. 7v]</t>
  </si>
  <si>
    <t>GB BL II 90</t>
  </si>
  <si>
    <t>Oxford St John’s G. 15 (183)</t>
  </si>
  <si>
    <t>GB Ca II 80</t>
  </si>
  <si>
    <t>Cambridge Trinity Hall 2</t>
  </si>
  <si>
    <t>GB Ca II 81</t>
  </si>
  <si>
    <t>BnF lat. 11564</t>
  </si>
  <si>
    <t>1174-78 (1176)</t>
  </si>
  <si>
    <t>Cambridge Trinity O.7.13 (1341)</t>
  </si>
  <si>
    <t>1167-83? (1175)</t>
  </si>
  <si>
    <t>GB Ca II 82</t>
  </si>
  <si>
    <t>BL Harley 3038</t>
  </si>
  <si>
    <t>GB BL II 104</t>
  </si>
  <si>
    <t>GB Ox II 83</t>
  </si>
  <si>
    <t xml:space="preserve">Leiden UB Vulc. 46 [f. 130v] </t>
  </si>
  <si>
    <t>1176-77</t>
  </si>
  <si>
    <t>NL 1 II 88-92</t>
  </si>
  <si>
    <t>Bodl. e Mus. 249 [f. 9v]</t>
  </si>
  <si>
    <r>
      <t xml:space="preserve">1177,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</si>
  <si>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GB Ox II 82</t>
  </si>
  <si>
    <t>Bodl. Bodley 509</t>
  </si>
  <si>
    <t>1176-78 (1177)</t>
  </si>
  <si>
    <t>GB Ox II 80</t>
  </si>
  <si>
    <t>BnF lat. 11700</t>
  </si>
  <si>
    <t>F 3 II XXXV</t>
  </si>
  <si>
    <t>BL Lansdowne 381</t>
  </si>
  <si>
    <t>1168-89 (1179)</t>
  </si>
  <si>
    <t>GB BL II 91</t>
  </si>
  <si>
    <t>Admont SB Cod. 18 [f. 257r]</t>
  </si>
  <si>
    <t>A 7 II 35-38</t>
  </si>
  <si>
    <t>Udine Bibl. Comunale 142</t>
  </si>
  <si>
    <t>It Friulane II [6]</t>
  </si>
  <si>
    <t>BnF lat. 17768</t>
  </si>
  <si>
    <t>1173-87 (1180)</t>
  </si>
  <si>
    <t>F 3 II XXXIII</t>
  </si>
  <si>
    <t>The Hague KB 76 E 15 [f. 54v]</t>
  </si>
  <si>
    <t>1178-83 (1180)</t>
  </si>
  <si>
    <t>NL 1 II 93-100</t>
  </si>
  <si>
    <t>ÖNB Cod. 340</t>
  </si>
  <si>
    <t>A 1 II 39</t>
  </si>
  <si>
    <t>Cambridge Trinity O. 2. 1 (1105)</t>
  </si>
  <si>
    <t>1173-89 (1181)</t>
  </si>
  <si>
    <t>GB Ca II 85</t>
  </si>
  <si>
    <t>ÖNB Cod. 363</t>
  </si>
  <si>
    <t>1180-83 (1181)</t>
  </si>
  <si>
    <t>A 1 II 38</t>
  </si>
  <si>
    <t>BL Cotton Tiberius E.IV</t>
  </si>
  <si>
    <t>1181-82</t>
  </si>
  <si>
    <t>GB BL II 106</t>
  </si>
  <si>
    <t>BnF lat. 16729</t>
  </si>
  <si>
    <t>F 3 II XXXVI</t>
  </si>
  <si>
    <t>BnF lat. 10477</t>
  </si>
  <si>
    <t>BnF lat. 5411</t>
  </si>
  <si>
    <r>
      <t xml:space="preserve">1182,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</si>
  <si>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2 II XXI</t>
  </si>
  <si>
    <t>Bodl. Laud Misc. 633</t>
  </si>
  <si>
    <t>GB Ox II 85</t>
  </si>
  <si>
    <t>BL Add. 46203</t>
  </si>
  <si>
    <t>1173-92 (1182)</t>
  </si>
  <si>
    <t>GB BL II 99</t>
  </si>
  <si>
    <t>BnF lat. 16943</t>
  </si>
  <si>
    <t>F 3 II XXXVII</t>
  </si>
  <si>
    <t>BnF nouv. acq. lat. 1543</t>
  </si>
  <si>
    <r>
      <t xml:space="preserve">1184,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</si>
  <si>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BL Egerton 2951</t>
  </si>
  <si>
    <t>1181-87 (1184)</t>
  </si>
  <si>
    <t>GB BL II 107</t>
  </si>
  <si>
    <t>Tours BM 344</t>
  </si>
  <si>
    <t>F 7 II LI</t>
  </si>
  <si>
    <t>BnF lat. 8898</t>
  </si>
  <si>
    <t>1180-90 (1185)</t>
  </si>
  <si>
    <t>Dijon BM 114</t>
  </si>
  <si>
    <t>1183-88 (1185)</t>
  </si>
  <si>
    <t>F 6 II XVII</t>
  </si>
  <si>
    <t>Tours BM 308</t>
  </si>
  <si>
    <t>Bodl. Canon. Liturg. 325</t>
  </si>
  <si>
    <t>1173-1200 (1186)</t>
  </si>
  <si>
    <t>GB Ox II 79</t>
  </si>
  <si>
    <t>Auxerre BM 227</t>
  </si>
  <si>
    <r>
      <t xml:space="preserve">1187,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</si>
  <si>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6 II XVIII</t>
  </si>
  <si>
    <t>BnF lat. 16528</t>
  </si>
  <si>
    <t>F 3 II XXXVIII</t>
  </si>
  <si>
    <t>Auxerre BM 145</t>
  </si>
  <si>
    <t>1182-97 (1189)</t>
  </si>
  <si>
    <t>F 6 II XVI</t>
  </si>
  <si>
    <t>Cambridge Trinity R. 14. 9 (884)</t>
  </si>
  <si>
    <t>1188-91 (1189)</t>
  </si>
  <si>
    <t>GB Ca II 93</t>
  </si>
  <si>
    <t>Leiden UB VLQ 12</t>
  </si>
  <si>
    <r>
      <t xml:space="preserve">1190,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</si>
  <si>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NL 1 II 101</t>
  </si>
  <si>
    <t>BL Royal 7 F.III</t>
  </si>
  <si>
    <t>GB BL II 109</t>
  </si>
  <si>
    <t>283*</t>
  </si>
  <si>
    <t>Oxford Balliol 256</t>
  </si>
  <si>
    <r>
      <t xml:space="preserve">1191,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</si>
  <si>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E?</t>
  </si>
  <si>
    <t>GB Ox II 88</t>
  </si>
  <si>
    <t>BL Add. 35109</t>
  </si>
  <si>
    <t>GB BL II 110</t>
  </si>
  <si>
    <t>BL Egerton 3031 [f. 13r, not in CMD]</t>
  </si>
  <si>
    <t>1190-95 (1192)</t>
  </si>
  <si>
    <t>GB BL II 108</t>
  </si>
  <si>
    <t>Bodl. Tanner 169*</t>
  </si>
  <si>
    <t>1192-93</t>
  </si>
  <si>
    <t>GB Ox II 89</t>
  </si>
  <si>
    <t>Vorau SB Cod. 276 [f. 136v]</t>
  </si>
  <si>
    <t>1185-1202 (1193)</t>
  </si>
  <si>
    <t>A 7 II 39-40</t>
  </si>
  <si>
    <t>Rome BNC Sess. 2 [f. 352r]</t>
  </si>
  <si>
    <t>1193?</t>
  </si>
  <si>
    <t>It Roma II 27-28</t>
  </si>
  <si>
    <t>Cambridge Gonville &amp; Caius 427/427</t>
  </si>
  <si>
    <t>1193-94</t>
  </si>
  <si>
    <t>GB Ca II 96</t>
  </si>
  <si>
    <t>Dijon BM 601</t>
  </si>
  <si>
    <r>
      <t xml:space="preserve">1194,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</si>
  <si>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London Lambeth Palace 8</t>
  </si>
  <si>
    <t>1188-1201 (1194)</t>
  </si>
  <si>
    <t>GB Lond II 17</t>
  </si>
  <si>
    <t>Bodl. Bodley 672</t>
  </si>
  <si>
    <t>GB Ox II 90</t>
  </si>
  <si>
    <t>BnF lat. 994</t>
  </si>
  <si>
    <t>BnF nouv. acq. lat. 264</t>
  </si>
  <si>
    <r>
      <t xml:space="preserve">1195,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</si>
  <si>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4 II XXVIII</t>
  </si>
  <si>
    <t>BL Add. 40007</t>
  </si>
  <si>
    <t>GB BL II 112</t>
  </si>
  <si>
    <t>BnF lat. 17801</t>
  </si>
  <si>
    <t>1184-1207 (1195)</t>
  </si>
  <si>
    <t>Cambridge Corpus Christi 339</t>
  </si>
  <si>
    <t>1192-98 (1195)</t>
  </si>
  <si>
    <t>GB Ca II 95</t>
  </si>
  <si>
    <t>Bodl. Barlow 6</t>
  </si>
  <si>
    <t>1187-1205 (1196)</t>
  </si>
  <si>
    <t>GB Ox II 87</t>
  </si>
  <si>
    <t>299*</t>
  </si>
  <si>
    <t>Oxford Christ Church fr. 341</t>
  </si>
  <si>
    <t>1196 or 97</t>
  </si>
  <si>
    <t>GB Ox II 92</t>
  </si>
  <si>
    <t>BnF lat. 11949</t>
  </si>
  <si>
    <r>
      <t xml:space="preserve">1196,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</si>
  <si>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3 II XXXIX</t>
  </si>
  <si>
    <t>BnF nouv. acq. lat. 1145</t>
  </si>
  <si>
    <t>1191-1201 (1196)</t>
  </si>
  <si>
    <t>F 4 II XXVII</t>
  </si>
  <si>
    <t>Vorau SB Cod. 33</t>
  </si>
  <si>
    <t>A 7 II 41</t>
  </si>
  <si>
    <t>BL Harley 1229</t>
  </si>
  <si>
    <t>1192-1202 (1197)</t>
  </si>
  <si>
    <t>GB BL II 111</t>
  </si>
  <si>
    <t>ÖNB Cod. 373</t>
  </si>
  <si>
    <t>1197-98</t>
  </si>
  <si>
    <t>A 1 II 40</t>
  </si>
  <si>
    <t>Stockholm Statens Historiska Mus. 21288 [f. 31r]</t>
  </si>
  <si>
    <r>
      <t xml:space="preserve">1198,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 xml:space="preserve">. </t>
    </r>
  </si>
  <si>
    <t>Sw</t>
  </si>
  <si>
    <t>S 2 2-3</t>
  </si>
  <si>
    <t>BL Cotton Claudius E.III [f. 10r]</t>
  </si>
  <si>
    <t>GB BL II 113</t>
  </si>
  <si>
    <t>Bodl. Rawl. C. 819</t>
  </si>
  <si>
    <t>GB Ox II 93</t>
  </si>
  <si>
    <t>Udine Bibl. Arcivescovile 75</t>
  </si>
  <si>
    <t>It Friulane II [7]</t>
  </si>
  <si>
    <t>BnF nouv. acq. lat. 349</t>
  </si>
  <si>
    <t>1191-1210 (1199)</t>
  </si>
  <si>
    <t>Reims BM 248</t>
  </si>
  <si>
    <r>
      <t xml:space="preserve">1200,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</si>
  <si>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Le Mans BM 224</t>
  </si>
  <si>
    <r>
      <t xml:space="preserve">1201,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</si>
  <si>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7 II LIII</t>
  </si>
  <si>
    <t>BnF lat. 2770</t>
  </si>
  <si>
    <t>1198-1205 (1201)</t>
  </si>
  <si>
    <t>F 2 II XXII</t>
  </si>
  <si>
    <t>BnF lat. 2406</t>
  </si>
  <si>
    <t>F 2 II XXIII</t>
  </si>
  <si>
    <t>BL Royal 5 b.XII</t>
  </si>
  <si>
    <t>GB BL II 115</t>
  </si>
  <si>
    <t>BnF lat. 2428</t>
  </si>
  <si>
    <r>
      <t xml:space="preserve">1202,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</si>
  <si>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BnF lat. 1835</t>
  </si>
  <si>
    <t>F 2 II XXIV</t>
  </si>
  <si>
    <t>BnF lat. 14853</t>
  </si>
  <si>
    <t>BnF lat. 6191</t>
  </si>
  <si>
    <t>1200-1203, c. (1202)</t>
  </si>
  <si>
    <t>BnF lat. 3549</t>
  </si>
  <si>
    <t>London Lambeth Palace 415</t>
  </si>
  <si>
    <t>1201-05 (1203)</t>
  </si>
  <si>
    <t>GB Lond II 20</t>
  </si>
  <si>
    <t>Fitzwilliam Mus. 24</t>
  </si>
  <si>
    <t>GB Ca II 100</t>
  </si>
  <si>
    <t>Bodl. Canon. Misc. 230</t>
  </si>
  <si>
    <t>GB Ox II 96</t>
  </si>
  <si>
    <t>Admont SB Cod. 501 [f. 27v]</t>
  </si>
  <si>
    <t>A 7 II 43-44</t>
  </si>
  <si>
    <t>BL Royal 4 D.VII</t>
  </si>
  <si>
    <t>1195-1214 (1205)</t>
  </si>
  <si>
    <t>GB BL II 121</t>
  </si>
  <si>
    <t>BL Add. 16952</t>
  </si>
  <si>
    <t>1200-11 (1205)</t>
  </si>
  <si>
    <t>GB BL II 114</t>
  </si>
  <si>
    <t>Admont SB Cod. 184</t>
  </si>
  <si>
    <t>1202-08 (1205)</t>
  </si>
  <si>
    <t>A 7 II 42</t>
  </si>
  <si>
    <t>BL Cotton Faustina A.VIII</t>
  </si>
  <si>
    <t>1202-07 (1205)</t>
  </si>
  <si>
    <t>GB BL II 116</t>
  </si>
  <si>
    <t>328*</t>
  </si>
  <si>
    <t>Bodl. Canon. Liturg. 340</t>
  </si>
  <si>
    <t>1200-16? (1207)</t>
  </si>
  <si>
    <t>GB Ox II 94</t>
  </si>
  <si>
    <t>Bodl. e Mus. 185</t>
  </si>
  <si>
    <t>GB Ox II 97</t>
  </si>
  <si>
    <t>Friulane Mus. arch. naz. CXXXVII</t>
  </si>
  <si>
    <t>1200-17 (1208)</t>
  </si>
  <si>
    <t>It Friulane II [8]</t>
  </si>
  <si>
    <t>London Victoria Albert 404-1916</t>
  </si>
  <si>
    <t>1197?-1220 (1209)</t>
  </si>
  <si>
    <t>GB Lond II 18</t>
  </si>
  <si>
    <t>BL Add. 17396</t>
  </si>
  <si>
    <t>1207-12 (1209)</t>
  </si>
  <si>
    <t>GB BL II 117</t>
  </si>
  <si>
    <t>Bodl. Add. A. 197</t>
  </si>
  <si>
    <t>1203-18 (1210)</t>
  </si>
  <si>
    <t>GB Ox II 95</t>
  </si>
  <si>
    <t>London Lambeth Palace 51</t>
  </si>
  <si>
    <t>1200-21 (1211)</t>
  </si>
  <si>
    <t>GB Lond II 19</t>
  </si>
  <si>
    <t>Rouen BM 74 (A. 183)</t>
  </si>
  <si>
    <t>1203-20 (1211)</t>
  </si>
  <si>
    <t>BL Cotton Faustina b.VII</t>
  </si>
  <si>
    <t>1208-15 (1211)</t>
  </si>
  <si>
    <t>GB BL II 118</t>
  </si>
  <si>
    <t>Avranches BM 214</t>
  </si>
  <si>
    <t>1210-12 (1211)</t>
  </si>
  <si>
    <t>F 7 II LIV</t>
  </si>
  <si>
    <t>ÖNB Cod. 1028</t>
  </si>
  <si>
    <t>A?</t>
  </si>
  <si>
    <t>A 1 II 41</t>
  </si>
  <si>
    <t>Cambridge Corpus Christi 313</t>
  </si>
  <si>
    <t>1209-16 (1212)</t>
  </si>
  <si>
    <t>GB Ca II 101</t>
  </si>
  <si>
    <t>Stüttgart WLB II 24</t>
  </si>
  <si>
    <t>1211-13 (1212)</t>
  </si>
  <si>
    <t>G 3 16</t>
  </si>
  <si>
    <t>BL Harley 447</t>
  </si>
  <si>
    <t>GB BL II 119</t>
  </si>
  <si>
    <t>BnF lat. 3237</t>
  </si>
  <si>
    <t>F 2 II XXV</t>
  </si>
  <si>
    <t>BL Cotton Vespasian A.XXII</t>
  </si>
  <si>
    <t>1214 or 1215</t>
  </si>
  <si>
    <t>GB BL II 120</t>
  </si>
  <si>
    <t>Cambridge Corpus Christi 425 vol. I</t>
  </si>
  <si>
    <t>1209-23 (1215)</t>
  </si>
  <si>
    <t>GB Ca II 102</t>
  </si>
  <si>
    <t>Graz UBi 713 [f. 301v]</t>
  </si>
  <si>
    <t>A 6 II 1-2</t>
  </si>
  <si>
    <t>BL Egerton 3661</t>
  </si>
  <si>
    <t>GB BL II 122</t>
  </si>
  <si>
    <r>
      <t xml:space="preserve">1217,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</si>
  <si>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GB BL II 124</t>
  </si>
  <si>
    <t>Paris Arsenal 887</t>
  </si>
  <si>
    <t>F 1 II XI</t>
  </si>
  <si>
    <t>BL Add. 17742</t>
  </si>
  <si>
    <t>GB BL II 125</t>
  </si>
  <si>
    <t>BnF nouv. acq. lat. 1741</t>
  </si>
  <si>
    <r>
      <t xml:space="preserve">1218,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</si>
  <si>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4 II XXIX</t>
  </si>
  <si>
    <t>London Soc. of Antiquaries 59</t>
  </si>
  <si>
    <t>1214-22 (1218)</t>
  </si>
  <si>
    <t>GB Lond II 21</t>
  </si>
  <si>
    <t>BnF lat. 12833</t>
  </si>
  <si>
    <t>1216-20 (1218)</t>
  </si>
  <si>
    <t>F 3 II XL</t>
  </si>
  <si>
    <t>Cambridge Trinity R. 3. 29 (609)</t>
  </si>
  <si>
    <t>GB Ca II 105</t>
  </si>
  <si>
    <t>Bodl. Lat. liturg. f. 1</t>
  </si>
  <si>
    <t>GB Ox II 98</t>
  </si>
  <si>
    <t>Rome BNC Sess. 51 [f. 1r]</t>
  </si>
  <si>
    <t>1216-26 (1221)</t>
  </si>
  <si>
    <t>It Roma II 35-36</t>
  </si>
  <si>
    <t>Troyes BM 597</t>
  </si>
  <si>
    <t>1216-27 (1221)</t>
  </si>
  <si>
    <t>F 5 II XX</t>
  </si>
  <si>
    <t>BnF nouv. acq. lat. 605</t>
  </si>
  <si>
    <t>1218-24 (1221)</t>
  </si>
  <si>
    <t>Troyes BM 1158</t>
  </si>
  <si>
    <t>BL Cotton Tiberius b.II</t>
  </si>
  <si>
    <t>1221-22</t>
  </si>
  <si>
    <t>GB BL II 128</t>
  </si>
  <si>
    <t>Admont SB Cod. 714</t>
  </si>
  <si>
    <t>It?</t>
  </si>
  <si>
    <t>A 7 II 45</t>
  </si>
  <si>
    <t>London Lambeth Palace 236</t>
  </si>
  <si>
    <t>1215-33 (1223)</t>
  </si>
  <si>
    <t>GB Lond II 22</t>
  </si>
  <si>
    <t>Tours BM 1</t>
  </si>
  <si>
    <t>1223-24</t>
  </si>
  <si>
    <t>F 7 II LVI</t>
  </si>
  <si>
    <t>Angers BM 7</t>
  </si>
  <si>
    <t>364*</t>
  </si>
  <si>
    <t>Graz UBi 1703/137</t>
  </si>
  <si>
    <t>A 6 II 3</t>
  </si>
  <si>
    <t>Bodl. Douce 270</t>
  </si>
  <si>
    <t>1225-26?</t>
  </si>
  <si>
    <t>GB Ox II 99</t>
  </si>
  <si>
    <t>London Gray’s Inn 14</t>
  </si>
  <si>
    <t>1221-31 (1226)</t>
  </si>
  <si>
    <t>GB Lond II 23</t>
  </si>
  <si>
    <t>Orléans BM 129 [f. 1r]</t>
  </si>
  <si>
    <t>1218-38 (1228)</t>
  </si>
  <si>
    <t>F 7 II LV</t>
  </si>
  <si>
    <t>966 or soon after</t>
  </si>
  <si>
    <t>College of Arms Arundel 58</t>
  </si>
  <si>
    <t>Bodley 579 [ff. 38-59]</t>
  </si>
  <si>
    <t>Bodley 852 [ff. 1-31]</t>
  </si>
  <si>
    <t>Auct. D. 2. 4 [ff.iii-xii]</t>
  </si>
  <si>
    <t>Ashmole 341 [ff. 1-114]</t>
  </si>
  <si>
    <t>Digby 40 [ff. 21-51]</t>
  </si>
  <si>
    <t>Digby 56 [ff. 156-219]</t>
  </si>
  <si>
    <t>Auct. D. 2. 6 [ff. 2-8]</t>
  </si>
  <si>
    <t>Digby 81 [ff. 133-140]</t>
  </si>
  <si>
    <t>Auct. D. 4. 13 [ff. 129-218]</t>
  </si>
  <si>
    <t>Douce 137 [ff. 98-109]</t>
  </si>
  <si>
    <t>Hatton 26 [ff. 205-213]</t>
  </si>
  <si>
    <t>Savile 21 [ff. 170-81]</t>
  </si>
  <si>
    <t>Laud Misc. 95 [ff. 408-427]</t>
  </si>
  <si>
    <t>Laud Misc. 633 [ff. 1-94]</t>
  </si>
  <si>
    <t>Laud Misc. 636 [ff. 1-91]</t>
  </si>
  <si>
    <t>Laud Misc. 636 [ff. 88v-91?]</t>
  </si>
  <si>
    <t>Laud Misc. 750 [ff. 2-5]</t>
  </si>
  <si>
    <t>Rawlinson B. 503 [ff. 1-44]</t>
  </si>
  <si>
    <t>Bodley 91 [ff. 103-30]</t>
  </si>
  <si>
    <t>Rawlinson C. 939 [ff. 154-165]</t>
  </si>
  <si>
    <t xml:space="preserve">All Souls College 69 [ff. 1-128] </t>
  </si>
  <si>
    <t>Bodley 232 [ff. 10-17]</t>
  </si>
  <si>
    <t>Exeter College 69 [ff. 1-81]</t>
  </si>
  <si>
    <t>Merton College 261 [ff. 72-112]</t>
  </si>
  <si>
    <t>Bodley 561 [ff. 61-97]</t>
  </si>
  <si>
    <t>Christ Church fr. 341 [ff. 7-45]</t>
  </si>
  <si>
    <t>Corpus Christi College 283 [ff. 156-171]</t>
  </si>
  <si>
    <t>College of Arms Arundel 10 [ff. 39-112]</t>
  </si>
  <si>
    <t>College of Arms Arundel 30 [ff. 97-190]</t>
  </si>
  <si>
    <t>Congregational Library I.f.33 [ff. 1-64]</t>
  </si>
  <si>
    <t>Gray's Inn 14 [ff. 23-60]</t>
  </si>
  <si>
    <t>Lambeth Palace 224 [ff. ii, 1-174]</t>
  </si>
  <si>
    <t>Lincoln's Inn Hall 12 [ff. 449-451]</t>
  </si>
  <si>
    <t>PRO C150/1 [ff. 10-14, 18-257, 260-331]</t>
  </si>
  <si>
    <t>PRO E 31/1</t>
  </si>
  <si>
    <t>PRO E 37/57</t>
  </si>
  <si>
    <t>PRO E164/9 [ff. 32-34, 44-94, 180-220]</t>
  </si>
  <si>
    <t>Royal College of Physicians 409</t>
  </si>
  <si>
    <t>Salisbury, England</t>
  </si>
  <si>
    <t>Society of Antiquaries 59 [ff. 25-236]</t>
  </si>
  <si>
    <t>Society of Antiquaries 60 [ff. 209-219]</t>
  </si>
  <si>
    <t>Society of Antiquaries 154</t>
  </si>
  <si>
    <t>Winchester, England</t>
  </si>
  <si>
    <t>UCL Germ. 16 [ff. 13-17]</t>
  </si>
  <si>
    <t>Germany</t>
  </si>
  <si>
    <t>V &amp; A L. 404-1916</t>
  </si>
  <si>
    <t>Lesnes, England</t>
  </si>
  <si>
    <t>Add. 14250</t>
  </si>
  <si>
    <t>Plympton, England</t>
  </si>
  <si>
    <t>Add. 14787</t>
  </si>
  <si>
    <t>Venice?, Italy</t>
  </si>
  <si>
    <t>Add. 15307</t>
  </si>
  <si>
    <t>Camberon, Belgium</t>
  </si>
  <si>
    <t>Add. 15722 [ff. 1-35]</t>
  </si>
  <si>
    <t>Citeaux?, France</t>
  </si>
  <si>
    <t>Add. 16410</t>
  </si>
  <si>
    <t>Add. 16918</t>
  </si>
  <si>
    <t>St. Gilles, Nimes, France</t>
  </si>
  <si>
    <t>Add. 16950</t>
  </si>
  <si>
    <t>Seligenthal, Germany</t>
  </si>
  <si>
    <t>Add. 16952 [ff. 8v-36]</t>
  </si>
  <si>
    <t>Ghent, Belgium</t>
  </si>
  <si>
    <t>Add. 16979</t>
  </si>
  <si>
    <t>Add. 17396</t>
  </si>
  <si>
    <t>Liege, Belgium</t>
  </si>
  <si>
    <t>Belgium</t>
  </si>
  <si>
    <t>Add. 17742</t>
  </si>
  <si>
    <t>N. France?</t>
  </si>
  <si>
    <t>Add. 19767</t>
  </si>
  <si>
    <t>Ottobeuren, Germany</t>
  </si>
  <si>
    <t>Add. 22820</t>
  </si>
  <si>
    <t>Cluny, France</t>
  </si>
  <si>
    <t>Add. 23932</t>
  </si>
  <si>
    <t>Douai, France</t>
  </si>
  <si>
    <t>Add. 23933 [ff. 1-79]</t>
  </si>
  <si>
    <t>Add. 23935</t>
  </si>
  <si>
    <t>Add. 24686</t>
  </si>
  <si>
    <t>Add. 25600</t>
  </si>
  <si>
    <t>Cardena, Spain</t>
  </si>
  <si>
    <t>Add. 28106</t>
  </si>
  <si>
    <t>Stavelot, Belgium</t>
  </si>
  <si>
    <t>Add. 28107</t>
  </si>
  <si>
    <t>Add. 17737</t>
  </si>
  <si>
    <t>Add. 17738</t>
  </si>
  <si>
    <t>Add. 28188</t>
  </si>
  <si>
    <t>Add. 30861</t>
  </si>
  <si>
    <t>Konstanz?, Germany</t>
  </si>
  <si>
    <t>Add. 31830</t>
  </si>
  <si>
    <t>Naples?, Italy</t>
  </si>
  <si>
    <t>Add. 35109</t>
  </si>
  <si>
    <t>Add. 35110</t>
  </si>
  <si>
    <t>Durham?, England</t>
  </si>
  <si>
    <t>Snelshall, England</t>
  </si>
  <si>
    <t>Bourne?, England</t>
  </si>
  <si>
    <t>Parc, Belgium</t>
  </si>
  <si>
    <t>Morimondo?, Italy</t>
  </si>
  <si>
    <t>Thorney, England</t>
  </si>
  <si>
    <t>Rievaulx?, England</t>
  </si>
  <si>
    <t>Sherborne, England</t>
  </si>
  <si>
    <t>Vich?, Spain</t>
  </si>
  <si>
    <t>Lorvao?, Portugal</t>
  </si>
  <si>
    <t>Jerusalem, Palestine</t>
  </si>
  <si>
    <t>Add. 37068 [ff. 1-50]</t>
  </si>
  <si>
    <t>Add. 37517</t>
  </si>
  <si>
    <t>Add. 38819</t>
  </si>
  <si>
    <t>Add. 39678</t>
  </si>
  <si>
    <t>Add. 39759</t>
  </si>
  <si>
    <t>Add. 40000 [ff. 10]</t>
  </si>
  <si>
    <t>Add. 40007</t>
  </si>
  <si>
    <t>Add. 46203</t>
  </si>
  <si>
    <t>Add. 46487</t>
  </si>
  <si>
    <t>Add. 49598</t>
  </si>
  <si>
    <t>Add. 50003</t>
  </si>
  <si>
    <t>Add. 54237</t>
  </si>
  <si>
    <t>Add. 57528</t>
  </si>
  <si>
    <t>Fontaine-Jean?, France</t>
  </si>
  <si>
    <t>Add. 11294 [ff. 2-25]</t>
  </si>
  <si>
    <t>Orleans &amp; Paris, France</t>
  </si>
  <si>
    <t>Arundel 470 [ff. 1-194]</t>
  </si>
  <si>
    <t>Arundel 60 [ff. 149]</t>
  </si>
  <si>
    <t>Arundel 155 [ff. 2-135, 171-193]</t>
  </si>
  <si>
    <t>Arundel 303</t>
  </si>
  <si>
    <t>Cotton Caligual A.XII [ff. 2-6]</t>
  </si>
  <si>
    <t>Cotton Caligual A.X [ff. 65-208]</t>
  </si>
  <si>
    <t>Worcester/Pershore, England</t>
  </si>
  <si>
    <t>Cotton Caligual A.XV [ff. 120-41]</t>
  </si>
  <si>
    <t>Worcester/York, England</t>
  </si>
  <si>
    <t>Cotton Claudius A.III [ff. 31-38]</t>
  </si>
  <si>
    <t>Cotton Claudius C.IX [ff. 4-17]</t>
  </si>
  <si>
    <t>Cotton Claudius D.VI [ff. 1-98]</t>
  </si>
  <si>
    <t>Cotton Claudius E.III [ff. 3-158]</t>
  </si>
  <si>
    <t>Cotton Cleopatra A.VII [ff. 9-54]</t>
  </si>
  <si>
    <t>Tewkesbury, England</t>
  </si>
  <si>
    <t>Cotton Cleopatra A.XII [ff. 1-62]</t>
  </si>
  <si>
    <t>Dover?, England</t>
  </si>
  <si>
    <t>Cotton Cleopatra B.XIII [ff. 1-58]</t>
  </si>
  <si>
    <t>Cotton Cleopatra D.IX [ff. 80-83]</t>
  </si>
  <si>
    <t>Lichfield?, England</t>
  </si>
  <si>
    <t>Cotton Cleopatra E.I [ff. 17-38]</t>
  </si>
  <si>
    <t>Cotton Faustina A.VIII [ff. 40-146]</t>
  </si>
  <si>
    <t>Southwark?, England</t>
  </si>
  <si>
    <t>Cotton Faustina B.VII [ff. 2-17]</t>
  </si>
  <si>
    <t>Cotton Faustina B.VII [ff. 41-71]</t>
  </si>
  <si>
    <t>Cotton Galba A.XVIII [ff. 1-21, 178-200]</t>
  </si>
  <si>
    <t>Cotton Galba E.III [ff. 2-41v]</t>
  </si>
  <si>
    <t>1269-1286</t>
  </si>
  <si>
    <t>Cotton Galba E.III [ff. 57-82]</t>
  </si>
  <si>
    <t>Cotton Galba E.III [ff. 42-56]</t>
  </si>
  <si>
    <t>Cotton Galba E.X [ff. 2-7]</t>
  </si>
  <si>
    <t>Cotton Julius A.I [ff. 3-43]</t>
  </si>
  <si>
    <t>Cotton Julius A.VII [ff. 3-49]</t>
  </si>
  <si>
    <t>Rushen, Isle of Man?</t>
  </si>
  <si>
    <t>Cotton Nero A.I [ff. 70-177]</t>
  </si>
  <si>
    <t>Cotton Nero C.IV</t>
  </si>
  <si>
    <t>Cotton Nero C.V [ff. 33-161]</t>
  </si>
  <si>
    <t>Worcester?, England</t>
  </si>
  <si>
    <t>Cotton Nero C.VII [ff. 216-223]</t>
  </si>
  <si>
    <t>Canterbury?, England</t>
  </si>
  <si>
    <t>Cotton Nero D.I [ff. 71-82v, 130-137v]</t>
  </si>
  <si>
    <t>Cotton Nero D.I [ff. 83-129v]</t>
  </si>
  <si>
    <t>betw. 1250 &amp; 1254</t>
  </si>
  <si>
    <t>Cotton Nero D.II [ff. 238-41]</t>
  </si>
  <si>
    <t>Battle, England</t>
  </si>
  <si>
    <t>Cotton Nero D.V [ff. 162-393]</t>
  </si>
  <si>
    <t>Cotton Nero E.VIII [ff. 8-134]</t>
  </si>
  <si>
    <t>Walsingham, England</t>
  </si>
  <si>
    <t>Cotton Tiberius A.VI [ff. 1-35]</t>
  </si>
  <si>
    <t>Abingdon?, England</t>
  </si>
  <si>
    <t>Cotton Tiberius A.III [ff. 178]</t>
  </si>
  <si>
    <t>Cotton Tiberius A.XIII [ff. 1-118]</t>
  </si>
  <si>
    <t>Cotton Tiberius A.XIII [ff. 119-200]</t>
  </si>
  <si>
    <t>Cotton Tiberius B.I [ff. 115-162]</t>
  </si>
  <si>
    <t>Cotton Tiberius B.II [ff. 86-233]</t>
  </si>
  <si>
    <t>Ely, England</t>
  </si>
  <si>
    <t>Cotton Tiberius B.IV [ff. 76-86]</t>
  </si>
  <si>
    <t>1055-1079</t>
  </si>
  <si>
    <t>Cotton Tiberius B.V [ff. 2-73]</t>
  </si>
  <si>
    <t>Cotton Tiberius C.I [ff. 2-42]</t>
  </si>
  <si>
    <t>Harley 3667</t>
  </si>
  <si>
    <t>Cotton Tiberius E.IV [ff. 26-27]</t>
  </si>
  <si>
    <t>Winchcomb, England</t>
  </si>
  <si>
    <t>Cotton Titus D.XXVI</t>
  </si>
  <si>
    <t>Cotton Titus D.XXVII</t>
  </si>
  <si>
    <t>Cotton Vespasian A.VIII [ff. 1-33]</t>
  </si>
  <si>
    <t>Cotton Vespasian A.IX [ff. 1-71]</t>
  </si>
  <si>
    <t>Cotton Vespasian A.XIV [ff. 114-179]</t>
  </si>
  <si>
    <t>Cotton Vespasian E.V [ff. 11v-16]</t>
  </si>
  <si>
    <t>Cotton Vitellius A.VIII [ff. 1-112]</t>
  </si>
  <si>
    <t>Cotton Vitellius A.XVII [ff. 1-16]</t>
  </si>
  <si>
    <t>Chichester, England</t>
  </si>
  <si>
    <t>Cotton Vitellius A.XVIII</t>
  </si>
  <si>
    <t>Wells, England</t>
  </si>
  <si>
    <t>Cotton Vitellius A.XX [ff. 77-108]</t>
  </si>
  <si>
    <t>Cotton Vitellius C.XII [ff. 114-156]</t>
  </si>
  <si>
    <t>Egerton 1139</t>
  </si>
  <si>
    <t>Add. 11695</t>
  </si>
  <si>
    <t>Silos, Spain</t>
  </si>
  <si>
    <t>Egerton 2569</t>
  </si>
  <si>
    <t>Mons, Belgium</t>
  </si>
  <si>
    <t>Egerton 2615 [ff. 1-73]</t>
  </si>
  <si>
    <t>Beauvais, France</t>
  </si>
  <si>
    <t>Egerton 2849</t>
  </si>
  <si>
    <t>Castle Hedingham, England</t>
  </si>
  <si>
    <t>Egerton 2902</t>
  </si>
  <si>
    <t>Egerton 2977</t>
  </si>
  <si>
    <t>La Colomba, Italy</t>
  </si>
  <si>
    <t>Egerton 3031</t>
  </si>
  <si>
    <t>Egerton 3036</t>
  </si>
  <si>
    <t>Fonte Buono, Italy</t>
  </si>
  <si>
    <t>Egerton 3088</t>
  </si>
  <si>
    <t>Dore?, England</t>
  </si>
  <si>
    <t>Egerton 3661</t>
  </si>
  <si>
    <t>Salzburg?, Austria</t>
  </si>
  <si>
    <t>Egerton 3668</t>
  </si>
  <si>
    <t>Egerton 3721</t>
  </si>
  <si>
    <t>Egerton 3763</t>
  </si>
  <si>
    <t>Harley 55 [ff. 1-4]</t>
  </si>
  <si>
    <t>York?, England</t>
  </si>
  <si>
    <t>Harley 222</t>
  </si>
  <si>
    <t>Harley 447 [ff. 103-133]</t>
  </si>
  <si>
    <t>Harley 531 [ff. 1-32]</t>
  </si>
  <si>
    <t>Harley 863 [ff. 1-117]</t>
  </si>
  <si>
    <t>Harley 863 [ff. 117v-125]</t>
  </si>
  <si>
    <t>Harley 978 [ff. 2-21]</t>
  </si>
  <si>
    <t>Harley 1229</t>
  </si>
  <si>
    <t>Waverley?, England</t>
  </si>
  <si>
    <t>Harley 1802</t>
  </si>
  <si>
    <t>Armagh, Ireland</t>
  </si>
  <si>
    <t>Harley 2660</t>
  </si>
  <si>
    <t>Harley 2798</t>
  </si>
  <si>
    <t>Arnstein, Germany</t>
  </si>
  <si>
    <t>Harley 2799</t>
  </si>
  <si>
    <t>Harley 2800</t>
  </si>
  <si>
    <t>Harley 2801</t>
  </si>
  <si>
    <t>Harley 2802</t>
  </si>
  <si>
    <t>Harley 2803</t>
  </si>
  <si>
    <t>Middle Rhineland, Germany</t>
  </si>
  <si>
    <t>Harley 2804</t>
  </si>
  <si>
    <t>Harley 2961</t>
  </si>
  <si>
    <t>Harley 3038 [ff. 1-58]</t>
  </si>
  <si>
    <t>Harley 3045</t>
  </si>
  <si>
    <t>Harley 3099</t>
  </si>
  <si>
    <t>Munsterbilsen, Belgium</t>
  </si>
  <si>
    <t>Harley 3271 [ff. 128v-129]</t>
  </si>
  <si>
    <t>Harley 3272 [ff. 208-227]</t>
  </si>
  <si>
    <t>Harley 3583</t>
  </si>
  <si>
    <t>Salem, Germany</t>
  </si>
  <si>
    <t>Harley 3601</t>
  </si>
  <si>
    <t>Harley 3678</t>
  </si>
  <si>
    <t>Piacenza, Italy</t>
  </si>
  <si>
    <t>Harley 3904</t>
  </si>
  <si>
    <t>Harley 4487 [ff. 3-86]</t>
  </si>
  <si>
    <t>Lansdowne 381</t>
  </si>
  <si>
    <t>Helmarshausen, Germany</t>
  </si>
  <si>
    <t>Royal 1 B.XII</t>
  </si>
  <si>
    <t>Royal 2 A.XXII</t>
  </si>
  <si>
    <t>Westminster?/St. Albans?, England</t>
  </si>
  <si>
    <t>Royal 2 B.VI</t>
  </si>
  <si>
    <t>Royal 2 F.VIII</t>
  </si>
  <si>
    <t>Royal 3 A.XII</t>
  </si>
  <si>
    <t>BL II 103</t>
  </si>
  <si>
    <t>Royal 3 D.VII</t>
  </si>
  <si>
    <t>Royal 5 A.XI [ff.47-92]</t>
  </si>
  <si>
    <t>St. Bertin, France</t>
  </si>
  <si>
    <t>Royal 5 B.XII [ff. 2-3]</t>
  </si>
  <si>
    <t>Royal 5 D.II</t>
  </si>
  <si>
    <t>Royal 6 A.V</t>
  </si>
  <si>
    <t>Lobbes, Belgium</t>
  </si>
  <si>
    <t>Royal 6 C.VI</t>
  </si>
  <si>
    <t>Royal 7 C.XII</t>
  </si>
  <si>
    <t>Cerne Abbas, England</t>
  </si>
  <si>
    <t>Royal 7 F.III</t>
  </si>
  <si>
    <t>Royal 7 F.VI</t>
  </si>
  <si>
    <t>Royal 9 B.V</t>
  </si>
  <si>
    <t>Royal 13 D.IV</t>
  </si>
  <si>
    <t>Royal 14 C.VII</t>
  </si>
  <si>
    <t>Stowe 941</t>
  </si>
  <si>
    <t>St. Neots, England</t>
  </si>
  <si>
    <t>Stowe 944 [ff. 6-61]</t>
  </si>
  <si>
    <t>Yates Thompson 8</t>
  </si>
  <si>
    <t>Add. 14072</t>
  </si>
  <si>
    <t>Cambridge</t>
  </si>
  <si>
    <t>UL, Dd. 11. 78</t>
  </si>
  <si>
    <t>UL, Dd. 15. 1</t>
  </si>
  <si>
    <t>UL, Ee. 1.1</t>
  </si>
  <si>
    <t>UL, Ee. 3. 59</t>
  </si>
  <si>
    <t>Luffield, England</t>
  </si>
  <si>
    <t>UL, Ff. 5. 31</t>
  </si>
  <si>
    <t>UL, Hh. 1. 10</t>
  </si>
  <si>
    <t>UL, Ii. 2. 4</t>
  </si>
  <si>
    <t>UL, Ii. 2. 11</t>
  </si>
  <si>
    <t>UL, Ii. 3. 3 [ff. 20-140]</t>
  </si>
  <si>
    <t>UL, Ii. 3. 33 [ff. 1-194]</t>
  </si>
  <si>
    <t>UL, Kk. 1. 23</t>
  </si>
  <si>
    <t>UL, Kk. 4. 6</t>
  </si>
  <si>
    <t>UL, Kk. 5. 32</t>
  </si>
  <si>
    <t>UL, Ll. 2. 9 [ff. 1-41]</t>
  </si>
  <si>
    <t>UL, Ll. 2. 9 [ff. 66-98]</t>
  </si>
  <si>
    <t>UL, Mm. 4. 43 [ff. 282-316]</t>
  </si>
  <si>
    <t>Add. 4080</t>
  </si>
  <si>
    <t>Medingen?, Germany</t>
  </si>
  <si>
    <t>Corpus Christi College 2</t>
  </si>
  <si>
    <t>Corpus Christi College 26</t>
  </si>
  <si>
    <t>Corpus Christi College 16</t>
  </si>
  <si>
    <t>Corpus Christi College 46</t>
  </si>
  <si>
    <t>Corpus Christi College 139</t>
  </si>
  <si>
    <t>Corpus Christi College 146 [pp. 1-60, 319-30]</t>
  </si>
  <si>
    <t>Corpus Christi College 173 [ff. 16v-21]</t>
  </si>
  <si>
    <t>Corpus Christi College 173 [ff. 21v-25v]</t>
  </si>
  <si>
    <t>Corpus Christi College 183</t>
  </si>
  <si>
    <t>Corpus Christi College 190B [pp. 295-319, 351-64]</t>
  </si>
  <si>
    <t>Corpus Christi College 191</t>
  </si>
  <si>
    <t>Landevennec, France</t>
  </si>
  <si>
    <t>Llanbadarn Fawr, Wales</t>
  </si>
  <si>
    <t>Rouen?, France</t>
  </si>
  <si>
    <t>Sherborne?, England</t>
  </si>
  <si>
    <t>Norwich, England</t>
  </si>
  <si>
    <t>Corpus Christi College 192</t>
  </si>
  <si>
    <t>Corpus Christi College 196</t>
  </si>
  <si>
    <t>Corpus Christi College 199</t>
  </si>
  <si>
    <t>Corpus Christi College 201 [ff. 179-272]</t>
  </si>
  <si>
    <t>Corpus Christi College 270 [ff. 2-162, 165-73]</t>
  </si>
  <si>
    <t>Corpus Christi College 297</t>
  </si>
  <si>
    <t>Corpus Christi College 313 vol. II</t>
  </si>
  <si>
    <t>Corpus Christi College 339 vol. I</t>
  </si>
  <si>
    <t>Corpus Christi College 371</t>
  </si>
  <si>
    <t>Corpus Christi College 373</t>
  </si>
  <si>
    <t>Corpus Christi College 391</t>
  </si>
  <si>
    <t>Corpus Christi College 393</t>
  </si>
  <si>
    <t>Corpus Christi College 415</t>
  </si>
  <si>
    <t>Corpus Christi College 421 [pp. 3-96, 209-24]</t>
  </si>
  <si>
    <t>Corpus Christi College 422 [pp. 27-586]</t>
  </si>
  <si>
    <t>Corpus Christi College 425 vol. I</t>
  </si>
  <si>
    <t>Corpus Christi College 452</t>
  </si>
  <si>
    <t>Corpus Christi College 465 [ff. 1-6]</t>
  </si>
  <si>
    <t>Corpus Christi College 465 [ff. 9-159]</t>
  </si>
  <si>
    <t>Emmanuel College 3. 2. 26 (232)</t>
  </si>
  <si>
    <t>Fitzwilliam Museum 300</t>
  </si>
  <si>
    <t>Fitzwilliam Museum 36-1950</t>
  </si>
  <si>
    <t>Fitzwilliam Museum, McClean 24 [ff. 295-308]</t>
  </si>
  <si>
    <t>Lodi?, Italy</t>
  </si>
  <si>
    <t>Fitzwilliam Museum, McClean 49</t>
  </si>
  <si>
    <t>Fitzwilliam Museum, McClean 165 [ff. 67-80]</t>
  </si>
  <si>
    <t>Gonville &amp; Caius College 205/111</t>
  </si>
  <si>
    <t>Shorwell, England</t>
  </si>
  <si>
    <t>Gonville &amp; Caius College 427/427 [pp. 197-230]</t>
  </si>
  <si>
    <t>Gonville &amp; Caius College 454/357</t>
  </si>
  <si>
    <t>Gonville &amp; Caius College 494/263 [ff. 1-197]</t>
  </si>
  <si>
    <t>Gonville &amp; Caius College 668*/645</t>
  </si>
  <si>
    <t>Pembroke College 148</t>
  </si>
  <si>
    <t>Pembroke College 149</t>
  </si>
  <si>
    <t>Pembroke College 210</t>
  </si>
  <si>
    <t>Peterhouse 89</t>
  </si>
  <si>
    <t>St John's College A. 22 (22)</t>
  </si>
  <si>
    <t>Reading?, England</t>
  </si>
  <si>
    <t>St John's College B. 20(42)</t>
  </si>
  <si>
    <t>St John's College C. 18 (68)</t>
  </si>
  <si>
    <t>St John's College D. 19 (94)</t>
  </si>
  <si>
    <t>St John's College G. 15 (183)</t>
  </si>
  <si>
    <t>St John's College Muniments C. 7. 1 [ff. 2-80]</t>
  </si>
  <si>
    <t>Cambridge, England</t>
  </si>
  <si>
    <t>Trinity College B. 3. 11 (90)</t>
  </si>
  <si>
    <t>Pontigny?, France</t>
  </si>
  <si>
    <t>Bec, France</t>
  </si>
  <si>
    <t>Trinity Hall 2</t>
  </si>
  <si>
    <t>Trinity College B. 3. 12 (91)</t>
  </si>
  <si>
    <t>Trinity College B. 3. 30 (109)</t>
  </si>
  <si>
    <t>Trinity College B. 4. 30 (144)</t>
  </si>
  <si>
    <t>Trinity College B. 5. 4 (150)</t>
  </si>
  <si>
    <t>Trinity College B. 5. 5 (151)</t>
  </si>
  <si>
    <t>Trinity College B. 5. 6 (152)</t>
  </si>
  <si>
    <t>Trinity College B. 5. 7 (153)</t>
  </si>
  <si>
    <t>Trinity College B. 5. 28 (174)</t>
  </si>
  <si>
    <t>Trinity College B. 15. 10 (346)</t>
  </si>
  <si>
    <t>Trinity College B. 16. 17 (391)</t>
  </si>
  <si>
    <t>Trinity College B. 16. 44 (405)</t>
  </si>
  <si>
    <t>Trinity College R. 3. 29 (609) [ff. 2-27]</t>
  </si>
  <si>
    <t>Trinity College R. 4. 4 (637)</t>
  </si>
  <si>
    <t>Trinity College R. 7. 28 (770) [pp. 1-74]</t>
  </si>
  <si>
    <t>Trinity College R. 14. 9 (884), I</t>
  </si>
  <si>
    <t>Trinity College R. 15. 32 (945) [pp. 13-26]</t>
  </si>
  <si>
    <t>Trinity College R. 17. 1 (987)</t>
  </si>
  <si>
    <t>Trinity College 0. 2. 1. (1105) [ff. K1-14]</t>
  </si>
  <si>
    <t>Trinity College 0. 5. 20 (1301) [pp. 1-265]</t>
  </si>
  <si>
    <t>Trinity College 0. 7. 13 (1341)</t>
  </si>
  <si>
    <t>1014-1028 ?</t>
  </si>
  <si>
    <t>1033-1053</t>
  </si>
  <si>
    <t>1035-1066</t>
  </si>
  <si>
    <t>1066-1083</t>
  </si>
  <si>
    <t>1083-1093 ?</t>
  </si>
  <si>
    <t>1084-1097</t>
  </si>
  <si>
    <t>1113-1143</t>
  </si>
  <si>
    <t>1156-1157</t>
  </si>
  <si>
    <t>1165-1167</t>
  </si>
  <si>
    <t>1210-1212</t>
  </si>
  <si>
    <t>1258-1263</t>
  </si>
  <si>
    <t>1289-1292</t>
  </si>
  <si>
    <t>1294-1299</t>
  </si>
  <si>
    <t>1297-1306</t>
  </si>
  <si>
    <t>1223-1224</t>
  </si>
  <si>
    <t>1093 ?</t>
  </si>
  <si>
    <t>1153-1174 ?</t>
  </si>
  <si>
    <t>1250-1251</t>
  </si>
  <si>
    <t>1289-1290</t>
  </si>
  <si>
    <t>920-942 ?</t>
  </si>
  <si>
    <t>930-942 ?</t>
  </si>
  <si>
    <t>Limoges, S.Martial</t>
  </si>
  <si>
    <t>Cluny, S.Pierre ?</t>
  </si>
  <si>
    <t>S.Benoît s/Loire ?</t>
  </si>
  <si>
    <t>942-973</t>
  </si>
  <si>
    <t>Jumièges, S.Pierre</t>
  </si>
  <si>
    <t>Cluny, S.Pierre</t>
  </si>
  <si>
    <t>Albelda (Pampelune)</t>
  </si>
  <si>
    <t>Sherborne</t>
  </si>
  <si>
    <t>S.Benoît s/Loire</t>
  </si>
  <si>
    <t>Mont S.Michel</t>
  </si>
  <si>
    <t>Tours</t>
  </si>
  <si>
    <t>972-980</t>
  </si>
  <si>
    <t>S.Thierry au Mont d'Or</t>
  </si>
  <si>
    <t>Prüm, S.Sauveur</t>
  </si>
  <si>
    <t>Winchcombe, S.Kenelm</t>
  </si>
  <si>
    <t>Compiègne, S.Corneille ?</t>
  </si>
  <si>
    <t>987-1013</t>
  </si>
  <si>
    <t>Corbie, S.Pierre</t>
  </si>
  <si>
    <t>988-1004</t>
  </si>
  <si>
    <t>989-1010</t>
  </si>
  <si>
    <t>Auxerre, S.Germain</t>
  </si>
  <si>
    <t>Cerrato, S.Pelayo ?</t>
  </si>
  <si>
    <t>996-1024</t>
  </si>
  <si>
    <t>Autun</t>
  </si>
  <si>
    <t>1002-1014</t>
  </si>
  <si>
    <t>Trèves</t>
  </si>
  <si>
    <t>1004-1046</t>
  </si>
  <si>
    <t>Verdun, S.Vanne</t>
  </si>
  <si>
    <t>Verdun</t>
  </si>
  <si>
    <t>1013-1066</t>
  </si>
  <si>
    <t>Nevers</t>
  </si>
  <si>
    <t>1014-1028</t>
  </si>
  <si>
    <t>Jumièges, S.Pierre ?</t>
  </si>
  <si>
    <t>1028-1072</t>
  </si>
  <si>
    <t>S.Sever</t>
  </si>
  <si>
    <t>Paris, S.Germain des Prés</t>
  </si>
  <si>
    <t>1030-1060</t>
  </si>
  <si>
    <t>1031-1052</t>
  </si>
  <si>
    <t>Dijon, S.Bénigne</t>
  </si>
  <si>
    <t>1031-1066</t>
  </si>
  <si>
    <t>Besançon</t>
  </si>
  <si>
    <t>S.Wandrille</t>
  </si>
  <si>
    <t>Fécamp, S.Trinité</t>
  </si>
  <si>
    <t>Mans (Le)</t>
  </si>
  <si>
    <t>1039-1046 ?</t>
  </si>
  <si>
    <t>Vendôme, s.Trinité</t>
  </si>
  <si>
    <t>1040-1069 ?</t>
  </si>
  <si>
    <t>Avignon ?</t>
  </si>
  <si>
    <t>1044-1082</t>
  </si>
  <si>
    <t>1047-1057</t>
  </si>
  <si>
    <t>Landévennec, S.Guénolé</t>
  </si>
  <si>
    <t>Echternach, S.Willibrord</t>
  </si>
  <si>
    <t>1049-1066</t>
  </si>
  <si>
    <t>Chartres ?</t>
  </si>
  <si>
    <t>Châlons s/M., S.Pierre aux Monts</t>
  </si>
  <si>
    <t>1051-1072</t>
  </si>
  <si>
    <t>1051-1081</t>
  </si>
  <si>
    <t>1051-1081 ?</t>
  </si>
  <si>
    <t>Angers, S.Nicolas</t>
  </si>
  <si>
    <t>Auxerre</t>
  </si>
  <si>
    <t>Angers, S.Aubin</t>
  </si>
  <si>
    <t>S.Maur des Fossés</t>
  </si>
  <si>
    <t>1059-1060</t>
  </si>
  <si>
    <t>1063-1103</t>
  </si>
  <si>
    <t>Vendôme, S.Trinité ?</t>
  </si>
  <si>
    <t>Angers, S.Serge</t>
  </si>
  <si>
    <t>Silos, S.Dominique</t>
  </si>
  <si>
    <t>1069-1079</t>
  </si>
  <si>
    <t>Rouen</t>
  </si>
  <si>
    <t>1070-1083</t>
  </si>
  <si>
    <t>1079-1092</t>
  </si>
  <si>
    <t>Rouen, S.Ouen</t>
  </si>
  <si>
    <t>1080-1087</t>
  </si>
  <si>
    <t>1081-1094</t>
  </si>
  <si>
    <t>Nogent le Rotrou, S.Denis</t>
  </si>
  <si>
    <t>1084-1096</t>
  </si>
  <si>
    <t>Marmoutier, S.Martin</t>
  </si>
  <si>
    <t>Abingdon, N.D.</t>
  </si>
  <si>
    <t>Marcigny, S. Trinité</t>
  </si>
  <si>
    <t>Limoges, S.Etienne</t>
  </si>
  <si>
    <t>1099-1105</t>
  </si>
  <si>
    <t>Montecassino</t>
  </si>
  <si>
    <t>1101-1112 ?</t>
  </si>
  <si>
    <t>Préaux, S. Pierre</t>
  </si>
  <si>
    <t>Tournai, S.Martin</t>
  </si>
  <si>
    <t>1105-1113</t>
  </si>
  <si>
    <t>Werden ?</t>
  </si>
  <si>
    <t>1106-1114</t>
  </si>
  <si>
    <t>S.Amand en Pévèle</t>
  </si>
  <si>
    <t>Cîteaux, N.D.</t>
  </si>
  <si>
    <t>S.Evroult d'Ouche</t>
  </si>
  <si>
    <t>1109-1124</t>
  </si>
  <si>
    <t>Sens, S.Pierre le Vif</t>
  </si>
  <si>
    <t>1109-1125</t>
  </si>
  <si>
    <t>Nogent s/Coucy, N.D.</t>
  </si>
  <si>
    <t>1113-1137</t>
  </si>
  <si>
    <t>Landevieille</t>
  </si>
  <si>
    <t>1114-1133</t>
  </si>
  <si>
    <t>Beauvais</t>
  </si>
  <si>
    <t>1120-1131</t>
  </si>
  <si>
    <t>Arras, S.Vaast</t>
  </si>
  <si>
    <t>S.Gilles</t>
  </si>
  <si>
    <t>1129-1132</t>
  </si>
  <si>
    <t>Grande Chartreuse ?</t>
  </si>
  <si>
    <t>Ferté s/Grosne (La), N.D.</t>
  </si>
  <si>
    <t>S.Amand en Pévèle ?</t>
  </si>
  <si>
    <t>Chichester</t>
  </si>
  <si>
    <t>1137 ?</t>
  </si>
  <si>
    <t>1137-1154</t>
  </si>
  <si>
    <t>Pontlevoy, N.D.</t>
  </si>
  <si>
    <t>1140-1174 ?</t>
  </si>
  <si>
    <t>Selincourt S.Pierre</t>
  </si>
  <si>
    <t>S.Saulve</t>
  </si>
  <si>
    <t>1145-1174</t>
  </si>
  <si>
    <t>Belval, N.D.</t>
  </si>
  <si>
    <t>Signy, N.D. ?</t>
  </si>
  <si>
    <t>Signy, N.D.</t>
  </si>
  <si>
    <t>1148-1174 ?</t>
  </si>
  <si>
    <t>Sulzbach</t>
  </si>
  <si>
    <t>Tewkesbury, N.D. ?</t>
  </si>
  <si>
    <t>S.Evroult d'Ouche ?</t>
  </si>
  <si>
    <t>Solignac, SS.Pierre &amp; Paul</t>
  </si>
  <si>
    <t>1151-1156</t>
  </si>
  <si>
    <t>Montfort, S.Jacques</t>
  </si>
  <si>
    <t>Clairvaux, N.D.</t>
  </si>
  <si>
    <t>1152-1174</t>
  </si>
  <si>
    <t>1153-1155</t>
  </si>
  <si>
    <t>1153-1172</t>
  </si>
  <si>
    <t>Clairvaux, N.D. ?</t>
  </si>
  <si>
    <t>Himmerod, N.D.</t>
  </si>
  <si>
    <t>Marbach, S.Augustin</t>
  </si>
  <si>
    <t>1154-1158</t>
  </si>
  <si>
    <t>1154-1186 ?</t>
  </si>
  <si>
    <t>1155-1160</t>
  </si>
  <si>
    <t>Palerme</t>
  </si>
  <si>
    <t>Venise, S.Grégoire</t>
  </si>
  <si>
    <t>1157-1186</t>
  </si>
  <si>
    <t>1157-1198 ?</t>
  </si>
  <si>
    <t>Arles s/Tech, N.D.</t>
  </si>
  <si>
    <t>1158 ?</t>
  </si>
  <si>
    <t>1165-1183</t>
  </si>
  <si>
    <t>Evreux</t>
  </si>
  <si>
    <t>Provins</t>
  </si>
  <si>
    <t>1168 ?</t>
  </si>
  <si>
    <t>Nîmes</t>
  </si>
  <si>
    <t>Paris</t>
  </si>
  <si>
    <t>Heilly, S.Laurent</t>
  </si>
  <si>
    <t>Wareham, S.Ethelwold</t>
  </si>
  <si>
    <t>Selby, N.D.</t>
  </si>
  <si>
    <t>Tours ?</t>
  </si>
  <si>
    <t>Soissons</t>
  </si>
  <si>
    <t>Grande Chartreuse</t>
  </si>
  <si>
    <t>Hautmont, SS.Pierre &amp; Paul</t>
  </si>
  <si>
    <t>Casaure, S.Clément</t>
  </si>
  <si>
    <t>1182-1197</t>
  </si>
  <si>
    <t>Auxerre, S.Marien</t>
  </si>
  <si>
    <t>1183-1188 ?</t>
  </si>
  <si>
    <t>Vézelay, S.Madeleine</t>
  </si>
  <si>
    <t>Monopoli, S.Etienne</t>
  </si>
  <si>
    <t>Cadouin, N.D.</t>
  </si>
  <si>
    <t>1191-1210</t>
  </si>
  <si>
    <t>Remiremont, S.Pierre</t>
  </si>
  <si>
    <t>1203-1220</t>
  </si>
  <si>
    <t>1215-1216</t>
  </si>
  <si>
    <t>1216-1227</t>
  </si>
  <si>
    <t>Val S.Hugon</t>
  </si>
  <si>
    <t>1218 posr</t>
  </si>
  <si>
    <t>1218-1224</t>
  </si>
  <si>
    <t>1222-1235</t>
  </si>
  <si>
    <t>Novare</t>
  </si>
  <si>
    <t>1224-1241</t>
  </si>
  <si>
    <t>Pontoise, S.Martin</t>
  </si>
  <si>
    <t>1226 ?</t>
  </si>
  <si>
    <t>Paris ?</t>
  </si>
  <si>
    <t>Aurillac, S.Géraud</t>
  </si>
  <si>
    <t>Sens</t>
  </si>
  <si>
    <t>1229 ?</t>
  </si>
  <si>
    <t>Bonport, N.D.</t>
  </si>
  <si>
    <t>Troyes, N.D. aux Nonnains</t>
  </si>
  <si>
    <t>Avignon</t>
  </si>
  <si>
    <t>Trévise</t>
  </si>
  <si>
    <t>Bologne</t>
  </si>
  <si>
    <t>1234-1247</t>
  </si>
  <si>
    <t>S.Denis</t>
  </si>
  <si>
    <t>1235-1237</t>
  </si>
  <si>
    <t>1235-1246 ?</t>
  </si>
  <si>
    <t>1235-1248</t>
  </si>
  <si>
    <t>Liverdun</t>
  </si>
  <si>
    <t>Milan</t>
  </si>
  <si>
    <t>Savigny, S.Trinité</t>
  </si>
  <si>
    <t>1244-1260</t>
  </si>
  <si>
    <t>Genlis, S.Elisabeth</t>
  </si>
  <si>
    <t>Montpellier</t>
  </si>
  <si>
    <t>Toulouse</t>
  </si>
  <si>
    <t>1249-1258 ?</t>
  </si>
  <si>
    <t>1251 ?</t>
  </si>
  <si>
    <t>Rouen ?</t>
  </si>
  <si>
    <t>Dommartin</t>
  </si>
  <si>
    <t>Reims, S.Nicaise</t>
  </si>
  <si>
    <t>Orléans, S.Avit</t>
  </si>
  <si>
    <t>Senones, S.Pierre</t>
  </si>
  <si>
    <t>1255 ?</t>
  </si>
  <si>
    <t>1255-1257</t>
  </si>
  <si>
    <t>Modène</t>
  </si>
  <si>
    <t>Toulouse ?</t>
  </si>
  <si>
    <t>1259-1296</t>
  </si>
  <si>
    <t>Chartres, S.Jean en Vallée</t>
  </si>
  <si>
    <t>1260-1270</t>
  </si>
  <si>
    <t>1261-1274</t>
  </si>
  <si>
    <t>1261-1275</t>
  </si>
  <si>
    <t>1262 ?</t>
  </si>
  <si>
    <t>1264-1297</t>
  </si>
  <si>
    <t>Clermont, S.Allyre</t>
  </si>
  <si>
    <t>Bec Helluin (Le), N.D.</t>
  </si>
  <si>
    <t>1266-1276</t>
  </si>
  <si>
    <t>1266-1279</t>
  </si>
  <si>
    <t>S.Feuillien de Roeulx</t>
  </si>
  <si>
    <t>1267-1288</t>
  </si>
  <si>
    <t>Variville, N.D.</t>
  </si>
  <si>
    <t>1267-1306 ?</t>
  </si>
  <si>
    <t>S.Mihiel, S.Michel</t>
  </si>
  <si>
    <t>1269-1272</t>
  </si>
  <si>
    <t>1269-1288</t>
  </si>
  <si>
    <t>Bayeux</t>
  </si>
  <si>
    <t>1270-1273</t>
  </si>
  <si>
    <t>1270-1274</t>
  </si>
  <si>
    <t>1270-1281</t>
  </si>
  <si>
    <t>1270-1289</t>
  </si>
  <si>
    <t>1270-1306</t>
  </si>
  <si>
    <t>1271-1288</t>
  </si>
  <si>
    <t>1271-1290</t>
  </si>
  <si>
    <t>1271-1306</t>
  </si>
  <si>
    <t>Geneston, S.Madeleine</t>
  </si>
  <si>
    <t>1272-1295</t>
  </si>
  <si>
    <t>Bonvaux, N.D.</t>
  </si>
  <si>
    <t>S.Pantaleone</t>
  </si>
  <si>
    <t>1273-1306</t>
  </si>
  <si>
    <t>Fontmorigny, N.D.</t>
  </si>
  <si>
    <t>1275-1283</t>
  </si>
  <si>
    <t>Paris, S.Geneviève</t>
  </si>
  <si>
    <t>1275-1306</t>
  </si>
  <si>
    <t>Schuttern N.D.</t>
  </si>
  <si>
    <t>S.Pourçain</t>
  </si>
  <si>
    <t>1279 ?</t>
  </si>
  <si>
    <t>Naples</t>
  </si>
  <si>
    <t>1280-1315</t>
  </si>
  <si>
    <t>Cantorbéry</t>
  </si>
  <si>
    <t>1282 ?</t>
  </si>
  <si>
    <t>1282-1306</t>
  </si>
  <si>
    <t>1282-1317</t>
  </si>
  <si>
    <t>Metz, S.Clément ?</t>
  </si>
  <si>
    <t>1283-1306</t>
  </si>
  <si>
    <t>1284 ?</t>
  </si>
  <si>
    <t>Châtillon s/Seine</t>
  </si>
  <si>
    <t>Etrepigny</t>
  </si>
  <si>
    <t>1285 ?</t>
  </si>
  <si>
    <t>1285-1297</t>
  </si>
  <si>
    <t>Foggia</t>
  </si>
  <si>
    <t>1286-1306</t>
  </si>
  <si>
    <t>Borgo S.Sepolcro</t>
  </si>
  <si>
    <t>1287 ?</t>
  </si>
  <si>
    <t>1287-1306</t>
  </si>
  <si>
    <t>1288-1316</t>
  </si>
  <si>
    <t>Orléans</t>
  </si>
  <si>
    <t>Venise</t>
  </si>
  <si>
    <t>Gimont, N.D.</t>
  </si>
  <si>
    <t>1290-1325</t>
  </si>
  <si>
    <t>Crisenon, S.Nicolas</t>
  </si>
  <si>
    <t>1291-1306</t>
  </si>
  <si>
    <t>S.Pierremont</t>
  </si>
  <si>
    <t>1292-1306</t>
  </si>
  <si>
    <t>Lusy</t>
  </si>
  <si>
    <t>1293 ?</t>
  </si>
  <si>
    <t>1293-1306</t>
  </si>
  <si>
    <t>1294 ?</t>
  </si>
  <si>
    <t>1294-1306</t>
  </si>
  <si>
    <t>1295-1315</t>
  </si>
  <si>
    <t>1296-1306</t>
  </si>
  <si>
    <t>Lamouilly</t>
  </si>
  <si>
    <t>Sarlat ?</t>
  </si>
  <si>
    <t>1297-1323</t>
  </si>
  <si>
    <t>Liget (Le)</t>
  </si>
  <si>
    <t>1297-1323 ?</t>
  </si>
  <si>
    <t>Colmar ?</t>
  </si>
  <si>
    <t>Bolbec</t>
  </si>
  <si>
    <t>1298 ?</t>
  </si>
  <si>
    <t>Pavie</t>
  </si>
  <si>
    <t>1298-1325</t>
  </si>
  <si>
    <t>Grandselve, N.D.</t>
  </si>
  <si>
    <t>Rome</t>
  </si>
  <si>
    <t>1300 ?</t>
  </si>
  <si>
    <t>Anagni ?</t>
  </si>
  <si>
    <t>Lyon</t>
  </si>
  <si>
    <t>Maubeuge</t>
  </si>
  <si>
    <t>1301-1305</t>
  </si>
  <si>
    <t>1301-1306</t>
  </si>
  <si>
    <t>1301-1325 ?</t>
  </si>
  <si>
    <t>1303 ?</t>
  </si>
  <si>
    <t>Anchin, S.Sauveur</t>
  </si>
  <si>
    <t>1303-1316</t>
  </si>
  <si>
    <t>1304-1310</t>
  </si>
  <si>
    <t>1305 ?</t>
  </si>
  <si>
    <t>Paris, Arsenal 1169</t>
  </si>
  <si>
    <t>Paris, Mazarine 364</t>
  </si>
  <si>
    <t>Chantilly, Mus. Condé 16 (1148)</t>
  </si>
  <si>
    <t>Paris, Mazarine 2013 [ff. 1-231]</t>
  </si>
  <si>
    <t>Chantilly,-Mus. Condé 121 (607)</t>
  </si>
  <si>
    <t>Paris, Arsenal 887</t>
  </si>
  <si>
    <t>Paris, Mazarine 526</t>
  </si>
  <si>
    <t>Paris, Arsenal 3340</t>
  </si>
  <si>
    <t>Paris, Arsenal 370</t>
  </si>
  <si>
    <t>Paris, Sainte-Geneviéve 2689</t>
  </si>
  <si>
    <t>Paris, BnF, Lat. 15353 [ff. 87-92]</t>
  </si>
  <si>
    <t>Avranches, Bibl. mun. 210 [ff. 5-115]</t>
  </si>
  <si>
    <t>Avranches, Bibl. mun. 160 [ff. 135-189]</t>
  </si>
  <si>
    <t>Avranches, Bibl. mun. 159 [ff. 4-206]</t>
  </si>
  <si>
    <t>Avranches, Bibl. mun. 159 [ff. 207-238]</t>
  </si>
  <si>
    <t>Tours, Bibl. mun. 193 [ff. 1-142]</t>
  </si>
  <si>
    <t>895-900</t>
  </si>
  <si>
    <t>897-918</t>
  </si>
  <si>
    <t>Flavigny, S.Pierre</t>
  </si>
  <si>
    <t>Cam</t>
  </si>
  <si>
    <t>c. 1076-1092</t>
  </si>
  <si>
    <t>c. 1155</t>
  </si>
  <si>
    <t>c. 1155-1173</t>
  </si>
  <si>
    <t>1165</t>
  </si>
  <si>
    <t>1241</t>
  </si>
  <si>
    <t>Cambrai</t>
  </si>
  <si>
    <t>1266</t>
  </si>
  <si>
    <t>1277</t>
  </si>
  <si>
    <t>1279</t>
  </si>
  <si>
    <t>Fr 2</t>
  </si>
  <si>
    <t>Fr 2 II CCVIII</t>
  </si>
  <si>
    <t>Fr 3</t>
  </si>
  <si>
    <t>Fr 3 II CCXLVII</t>
  </si>
  <si>
    <t>Fr 3 II CCXXXIV</t>
  </si>
  <si>
    <t>Fr 1</t>
  </si>
  <si>
    <t>Fr 1 II CLXXVII</t>
  </si>
  <si>
    <t>Charleville, Bibl. mun. 254, t. III</t>
  </si>
  <si>
    <t>1151</t>
  </si>
  <si>
    <t>Fr 5</t>
  </si>
  <si>
    <t>Fr 5 II CLXXXVIII</t>
  </si>
  <si>
    <t>Fr 2 II CLXXXVIII</t>
  </si>
  <si>
    <t>1114</t>
  </si>
  <si>
    <t>Fr 2 II CXCIII</t>
  </si>
  <si>
    <t>Fr 2 II CXCIX</t>
  </si>
  <si>
    <t>Paris, BnF, lat. 12079</t>
  </si>
  <si>
    <t>Fr 3 II CXLI</t>
  </si>
  <si>
    <t xml:space="preserve">Fr 1 </t>
  </si>
  <si>
    <t>1154</t>
  </si>
  <si>
    <t>1237</t>
  </si>
  <si>
    <t>1244</t>
  </si>
  <si>
    <t>1268</t>
  </si>
  <si>
    <t>c. 1245-1272</t>
  </si>
  <si>
    <t>1287</t>
  </si>
  <si>
    <t>1288</t>
  </si>
  <si>
    <t>1270</t>
  </si>
  <si>
    <t>c. 1281</t>
  </si>
  <si>
    <t>1282</t>
  </si>
  <si>
    <t>c. 1288?</t>
  </si>
  <si>
    <t>1289</t>
  </si>
  <si>
    <t>1296</t>
  </si>
  <si>
    <t xml:space="preserve">Fr 2 </t>
  </si>
  <si>
    <t>1058</t>
  </si>
  <si>
    <t>1162</t>
  </si>
  <si>
    <t>1195</t>
  </si>
  <si>
    <t>1256</t>
  </si>
  <si>
    <t>1257</t>
  </si>
  <si>
    <t>1230</t>
  </si>
  <si>
    <t>1245</t>
  </si>
  <si>
    <t>1267</t>
  </si>
  <si>
    <t>1274</t>
  </si>
  <si>
    <t>1281</t>
  </si>
  <si>
    <t>1283</t>
  </si>
  <si>
    <t>1261 ?-1274</t>
  </si>
  <si>
    <t xml:space="preserve">Fr 3 </t>
  </si>
  <si>
    <t>c. 1261-1274</t>
  </si>
  <si>
    <t>c. 1271-12881</t>
  </si>
  <si>
    <t>c. 1271-1288</t>
  </si>
  <si>
    <t>c. 1271-1306</t>
  </si>
  <si>
    <t>1275</t>
  </si>
  <si>
    <t>c. 1280</t>
  </si>
  <si>
    <t>Paris, BnF, Lat. 8246/1 [ff. 1-22]</t>
  </si>
  <si>
    <t>c. 1280-1306</t>
  </si>
  <si>
    <t>c. 1284</t>
  </si>
  <si>
    <t>1285</t>
  </si>
  <si>
    <t>1291</t>
  </si>
  <si>
    <t>1293</t>
  </si>
  <si>
    <t>1294</t>
  </si>
  <si>
    <t>c. 1295-1306</t>
  </si>
  <si>
    <t>1213</t>
  </si>
  <si>
    <t>1232</t>
  </si>
  <si>
    <t>1239</t>
  </si>
  <si>
    <t>1243</t>
  </si>
  <si>
    <t>1259</t>
  </si>
  <si>
    <t>1009</t>
  </si>
  <si>
    <t>c. 1029-1034</t>
  </si>
  <si>
    <t>c. 1060-1063</t>
  </si>
  <si>
    <t>1133</t>
  </si>
  <si>
    <t>1153</t>
  </si>
  <si>
    <t>1164</t>
  </si>
  <si>
    <t>1167</t>
  </si>
  <si>
    <t>1179</t>
  </si>
  <si>
    <t>1182</t>
  </si>
  <si>
    <t>1183</t>
  </si>
  <si>
    <t>1188</t>
  </si>
  <si>
    <t>928</t>
  </si>
  <si>
    <t xml:space="preserve">Fr 4 </t>
  </si>
  <si>
    <t>c. 946-954</t>
  </si>
  <si>
    <t>c. 950-961</t>
  </si>
  <si>
    <t>c. 962-986</t>
  </si>
  <si>
    <t>c. 992</t>
  </si>
  <si>
    <t>c. 970-980</t>
  </si>
  <si>
    <t>c. 978-994</t>
  </si>
  <si>
    <t>c. 971-994</t>
  </si>
  <si>
    <t>c. 979-994</t>
  </si>
  <si>
    <t>c. 999-1008</t>
  </si>
  <si>
    <t>c. 1002-1011</t>
  </si>
  <si>
    <t>c. 1000-1011</t>
  </si>
  <si>
    <t>c. 1022-1026</t>
  </si>
  <si>
    <t>c. 1065-1068</t>
  </si>
  <si>
    <t>c. 1160</t>
  </si>
  <si>
    <t>c. 1129</t>
  </si>
  <si>
    <t>c. 1138-1152</t>
  </si>
  <si>
    <t>1072</t>
  </si>
  <si>
    <t>c. 1090-1100</t>
  </si>
  <si>
    <t>1105</t>
  </si>
  <si>
    <t>c. 1093-1094</t>
  </si>
  <si>
    <t>c. 1143-1144</t>
  </si>
  <si>
    <t>c. 1151</t>
  </si>
  <si>
    <t>Paris, BnF, NAL 429 [pp. 1-130]</t>
  </si>
  <si>
    <t>Paris, BnF, Lat. 7561 [pp. 64-86]</t>
  </si>
  <si>
    <t>c. 1218</t>
  </si>
  <si>
    <t>c. 1184</t>
  </si>
  <si>
    <t>1191-c. 1201</t>
  </si>
  <si>
    <t>Paris, BnF, NAL 349 [pp. 1-32, 207-348]</t>
  </si>
  <si>
    <t>c. 1195</t>
  </si>
  <si>
    <t>c. 1233-1241</t>
  </si>
  <si>
    <t>c. 1231</t>
  </si>
  <si>
    <t>Paris, BnF, NAL 217 [pp. 1-78]</t>
  </si>
  <si>
    <t>c. 1243-1244</t>
  </si>
  <si>
    <t>1252</t>
  </si>
  <si>
    <t>909</t>
  </si>
  <si>
    <t xml:space="preserve">Fr 5 </t>
  </si>
  <si>
    <t>Reims, Bibl. mun. 15 [ff. 3-5, 215-223]</t>
  </si>
  <si>
    <t>1068 ?-1075</t>
  </si>
  <si>
    <t>c. 1145-1148</t>
  </si>
  <si>
    <t>1149</t>
  </si>
  <si>
    <t>1157</t>
  </si>
  <si>
    <t>c. 1200</t>
  </si>
  <si>
    <t>1234</t>
  </si>
  <si>
    <t>c. 1252</t>
  </si>
  <si>
    <t>1290</t>
  </si>
  <si>
    <t>c. 1295</t>
  </si>
  <si>
    <t>1297</t>
  </si>
  <si>
    <t xml:space="preserve">Fr 6 </t>
  </si>
  <si>
    <t>Dijon, Bibl. mun. 12</t>
  </si>
  <si>
    <t>1109</t>
  </si>
  <si>
    <t>Dijon, Bibl. mun. 168</t>
  </si>
  <si>
    <t>1111</t>
  </si>
  <si>
    <t>Dijon, Bibl. mun. 169</t>
  </si>
  <si>
    <t>c. 1125</t>
  </si>
  <si>
    <t>1227</t>
  </si>
  <si>
    <t>1170</t>
  </si>
  <si>
    <t>c. 1187 ?</t>
  </si>
  <si>
    <t>1263</t>
  </si>
  <si>
    <t>1265</t>
  </si>
  <si>
    <t>c. 1271-1283</t>
  </si>
  <si>
    <t>c. 1290-1300</t>
  </si>
  <si>
    <t>985?-1009</t>
  </si>
  <si>
    <t xml:space="preserve">Fr 7 </t>
  </si>
  <si>
    <t>1186</t>
  </si>
  <si>
    <t>1185</t>
  </si>
  <si>
    <t>Avranches, Bibl. mun. 214 [pp. 1-198, 1-108]</t>
  </si>
  <si>
    <t>c. 1239</t>
  </si>
  <si>
    <t>1218-1238</t>
  </si>
  <si>
    <t>1225</t>
  </si>
  <si>
    <t>c. 1230-1246</t>
  </si>
  <si>
    <t>c. 1231-1245</t>
  </si>
  <si>
    <t>1245-1266</t>
  </si>
  <si>
    <t>c. 1254-1274</t>
  </si>
  <si>
    <t>1255</t>
  </si>
  <si>
    <t>c. 1274 ?</t>
  </si>
  <si>
    <t>c. 1288</t>
  </si>
  <si>
    <t>Orléans, Bibl. mun. 277 (233) [pp. 62-77]</t>
  </si>
  <si>
    <t>c. 991-1009</t>
  </si>
  <si>
    <t>c. 1117</t>
  </si>
  <si>
    <t>Orléans, Bibl. mun. 322 (273) [pp. 9-266]</t>
  </si>
  <si>
    <t>c. 1002-1004</t>
  </si>
  <si>
    <t>c. 1056-1065</t>
  </si>
  <si>
    <t>c. 1140-1141</t>
  </si>
  <si>
    <t>c. 1201</t>
  </si>
  <si>
    <t>c. 1173</t>
  </si>
  <si>
    <t>c. 1052</t>
  </si>
  <si>
    <t>c. 1070</t>
  </si>
  <si>
    <t>c. 1078-1095</t>
  </si>
  <si>
    <t>c. 1093</t>
  </si>
  <si>
    <t>c. 1109-1110</t>
  </si>
  <si>
    <t>LSS</t>
  </si>
  <si>
    <t>c. 1134-1140</t>
  </si>
  <si>
    <t>1139</t>
  </si>
  <si>
    <t>c. 1166</t>
  </si>
  <si>
    <t>1168</t>
  </si>
  <si>
    <t>1169</t>
  </si>
  <si>
    <t>1194-c. 1199</t>
  </si>
  <si>
    <t>c. 1246</t>
  </si>
  <si>
    <t>c. 1260-1272</t>
  </si>
  <si>
    <t>Soisson, BM, 125 [ff. 1- 28v, 36-59v]</t>
  </si>
  <si>
    <t>Paris, BnF, lat. 16405</t>
  </si>
  <si>
    <t>Fr 3 II LV</t>
  </si>
  <si>
    <t>Paris, BnF, lat. 15956</t>
  </si>
  <si>
    <t>Fr 7</t>
  </si>
  <si>
    <t>Paris, BnF, NAL 1168</t>
  </si>
  <si>
    <t>IV/1</t>
  </si>
  <si>
    <t>IV/1 II LXVII</t>
  </si>
  <si>
    <t>c. 1290-1306</t>
  </si>
  <si>
    <t>Loches, Bibl. mun., 3</t>
  </si>
  <si>
    <t>Fr 7 II LXXIV</t>
  </si>
  <si>
    <t>Rennes, Bibl. mun., 593</t>
  </si>
  <si>
    <t>Paris, BnF, lat. 15471</t>
  </si>
  <si>
    <t xml:space="preserve">c. 1303 </t>
  </si>
  <si>
    <t>Fr 3 II LXXIX</t>
  </si>
  <si>
    <t>Paris, BnF, lat. 16609</t>
  </si>
  <si>
    <t>Paris, BnF, lat. 17770</t>
  </si>
  <si>
    <t>Fr 3 II LXXV</t>
  </si>
  <si>
    <t>Paris, BnF, lat. 15362</t>
  </si>
  <si>
    <t>Paris, BnF, lat. 15841</t>
  </si>
  <si>
    <t>Fr 3 II LXXX</t>
  </si>
  <si>
    <t>Paris, BnF, lat. 15850</t>
  </si>
  <si>
    <t>Fr 3 II LXXXI</t>
  </si>
  <si>
    <t>Fr 7 II VI</t>
  </si>
  <si>
    <t>Paris, BnF, lat. 2855</t>
  </si>
  <si>
    <t xml:space="preserve">c. 951 </t>
  </si>
  <si>
    <t>Charleville, Bibl. mun., 49</t>
  </si>
  <si>
    <t>Paris, BnF, lat. 9433</t>
  </si>
  <si>
    <t>Fr 3 II XIII</t>
  </si>
  <si>
    <t>Charleville, Bibl. mun., 264</t>
  </si>
  <si>
    <t>Fr 5 II XIX</t>
  </si>
  <si>
    <t>Paris, BnF, lat. 6838 A</t>
  </si>
  <si>
    <t>Fr 2 II XL</t>
  </si>
  <si>
    <t>Troyes, Bibl. mun., 1556</t>
  </si>
  <si>
    <t>Fr 5 II XL</t>
  </si>
  <si>
    <t>Troyes, Bibl. mun., 296</t>
  </si>
  <si>
    <t>Paris, BnF, lat. 1266</t>
  </si>
  <si>
    <t>Fr 2 II XLI</t>
  </si>
  <si>
    <t>Verdun, Bibl. mun., 98</t>
  </si>
  <si>
    <t xml:space="preserve">c. 1302 </t>
  </si>
  <si>
    <t>Fr 5 II XLI</t>
  </si>
  <si>
    <t>Rouen, Bibl. mun., 470</t>
  </si>
  <si>
    <t>Fr 7 II XLII</t>
  </si>
  <si>
    <t>Fr 7 II XLV</t>
  </si>
  <si>
    <t>Paris, BnF, lat. 6503</t>
  </si>
  <si>
    <t>Dijon, Bibl. mun., 601</t>
  </si>
  <si>
    <t xml:space="preserve">c. 1194 </t>
  </si>
  <si>
    <t>Fr 6</t>
  </si>
  <si>
    <t>Fr 7 II XX</t>
  </si>
  <si>
    <t>Troyes, Bibl. mun., 1158</t>
  </si>
  <si>
    <t>Paris, Mazarine, 836</t>
  </si>
  <si>
    <t>Paris, Arsenal, 979</t>
  </si>
  <si>
    <t>Fr 1 II XXVIII</t>
  </si>
  <si>
    <t>Auch, Bibl. mun., 3</t>
  </si>
  <si>
    <t>Fr 6 II XXXIV</t>
  </si>
  <si>
    <t>Toulouse, Bibl. mun., 204</t>
  </si>
  <si>
    <t>Charleville, Bibl. mun., 94</t>
  </si>
  <si>
    <t>Fr 5 II XXXIX</t>
  </si>
  <si>
    <t>Paris, BnF, lat. 7998</t>
  </si>
  <si>
    <t>Fr 2 II XXXIX</t>
  </si>
  <si>
    <t>Vendome, Bibl. mun., 44</t>
  </si>
  <si>
    <t xml:space="preserve">c. 1120 </t>
  </si>
  <si>
    <t>Fr 7 II XXXIX</t>
  </si>
  <si>
    <t>Verdun, Bibl. mun., 107</t>
  </si>
  <si>
    <t xml:space="preserve">c. 1302-1307 </t>
  </si>
  <si>
    <t>Bordeaux, Bibl. mun, 780 [ff. 130-269]</t>
  </si>
  <si>
    <t xml:space="preserve">c. 1303-1304 </t>
  </si>
  <si>
    <t>Fr 6 II XXXV</t>
  </si>
  <si>
    <t>Dijon, Bibl. mun., 647</t>
  </si>
  <si>
    <t>Paris, BnF, lat. 3416</t>
  </si>
  <si>
    <t xml:space="preserve">c. 1295 </t>
  </si>
  <si>
    <t>Fr 2 II XXXVI</t>
  </si>
  <si>
    <t>Troyes, Bibl. mun., 989</t>
  </si>
  <si>
    <t>Reims, Bibl. mun., 817</t>
  </si>
  <si>
    <t>Fr 5 II XXXVII</t>
  </si>
  <si>
    <t>Troyes, Bibl. mun., 210</t>
  </si>
  <si>
    <t xml:space="preserve">c. 1300 </t>
  </si>
  <si>
    <t>Metz, Bibl. mun., 28</t>
  </si>
  <si>
    <t>Fr 5 II XXXVIII</t>
  </si>
  <si>
    <t>Paris, BnF, lat. 4522</t>
  </si>
  <si>
    <t>Paris, BnF, lat. 6964</t>
  </si>
  <si>
    <t>Troyes, Bibl. mun., 1716</t>
  </si>
  <si>
    <t>Vendome, Bibl. mun., 192</t>
  </si>
  <si>
    <t>Fr 7 II XXXVIII</t>
  </si>
  <si>
    <t>c. 1150-1174 ?</t>
  </si>
  <si>
    <t>c. 1216-1217</t>
  </si>
  <si>
    <t>c. 988-1006 ?</t>
  </si>
  <si>
    <t>Avranches, Bibl. mun. 97 [ff. 1-256?]</t>
  </si>
  <si>
    <t>c. 1033-1048 ?</t>
  </si>
  <si>
    <t>c. 1270</t>
  </si>
  <si>
    <t>c. 1144</t>
  </si>
  <si>
    <t>Chalon-sur-Saône, Bibl. mun. 7</t>
  </si>
  <si>
    <t>Chalon-sur-Saône, Bibl. mun. 8</t>
  </si>
  <si>
    <t>Chalon-sur-Saône, Bibl. mun. 9</t>
  </si>
  <si>
    <t>Charleville, Bibl. mun., 265</t>
  </si>
  <si>
    <t>Colmar, Bibl. mun., 405</t>
  </si>
  <si>
    <t>Dijon, Bibl. mun. 13</t>
  </si>
  <si>
    <t>Dijon, Bibl. mun. 14</t>
  </si>
  <si>
    <t>Dijon, Bibl. mun. 15</t>
  </si>
  <si>
    <t>Dijon, Bibl. mun. 170</t>
  </si>
  <si>
    <t>c. 1214 ?</t>
  </si>
  <si>
    <t>1289-1290 ?</t>
  </si>
  <si>
    <t>c. 1194</t>
  </si>
  <si>
    <t>Grenoble, Bibl. mun. 16 (1)</t>
  </si>
  <si>
    <t>c. 1129-1132 ?</t>
  </si>
  <si>
    <t>Grenoble, Bibl. mun. 17 (8)</t>
  </si>
  <si>
    <t>Grenoble, Bibl. mun. 18(3)</t>
  </si>
  <si>
    <t>Le Mans, Bibl. mun. 109 [pp. 1-136]</t>
  </si>
  <si>
    <t>1259-1268 ?</t>
  </si>
  <si>
    <t>c. 1227 ?</t>
  </si>
  <si>
    <t>1235-1248 ?</t>
  </si>
  <si>
    <t>c. 1187</t>
  </si>
  <si>
    <t>c. 1258?</t>
  </si>
  <si>
    <t>Paris, Arsenal, 3645</t>
  </si>
  <si>
    <t>Paris, BnF, lat. 10461</t>
  </si>
  <si>
    <t>c. 1232?</t>
  </si>
  <si>
    <t>1063-11031</t>
  </si>
  <si>
    <t>c. 1050</t>
  </si>
  <si>
    <t>c. 1280-1303 ?</t>
  </si>
  <si>
    <t>Paris, BnF, lat. 14613</t>
  </si>
  <si>
    <t>c. 1281-1283</t>
  </si>
  <si>
    <t>c. 1281-1288</t>
  </si>
  <si>
    <t>Paris, BnF, lat. 15661</t>
  </si>
  <si>
    <t>Paris, BnF, lat. 15851</t>
  </si>
  <si>
    <t>1261?-1274</t>
  </si>
  <si>
    <t>11261?-1274</t>
  </si>
  <si>
    <t>c. 1261</t>
  </si>
  <si>
    <t>Paris, BnF, Lat. 16112 [ff. 131-141]</t>
  </si>
  <si>
    <t>Paris, BnF, lat. 16117</t>
  </si>
  <si>
    <t>c. 1285-1306</t>
  </si>
  <si>
    <t>c. 1260-1277</t>
  </si>
  <si>
    <t>c. 1273-1306</t>
  </si>
  <si>
    <t>Paris, BnF, lat. 16500</t>
  </si>
  <si>
    <t>c. 1299</t>
  </si>
  <si>
    <t>c. 1275-1806</t>
  </si>
  <si>
    <t>c. 987</t>
  </si>
  <si>
    <t>Paris, BnF, lat. 2092</t>
  </si>
  <si>
    <t>Paris, BnF, lat. 4056</t>
  </si>
  <si>
    <t>Paris, BnF, lat. 7625 B</t>
  </si>
  <si>
    <t>c. 1005</t>
  </si>
  <si>
    <t>986-1001</t>
  </si>
  <si>
    <t>Paris, BnF, Lat. 9534 [ff. 1-73]</t>
  </si>
  <si>
    <t>c. 971-983</t>
  </si>
  <si>
    <t>c. 940-950</t>
  </si>
  <si>
    <t>c. 979-990</t>
  </si>
  <si>
    <t>c. 1141-1161</t>
  </si>
  <si>
    <t>Paris, BnF, NAL 2171 [pp. 1-34]</t>
  </si>
  <si>
    <t>c. 1067-1073</t>
  </si>
  <si>
    <t>c. 1049-1051</t>
  </si>
  <si>
    <t>c. 1273-1298</t>
  </si>
  <si>
    <t>1276 ? - 1299</t>
  </si>
  <si>
    <t>1180-1196?</t>
  </si>
  <si>
    <t>1226-1231?</t>
  </si>
  <si>
    <t>1204-1261?</t>
  </si>
  <si>
    <t>c. 1170?</t>
  </si>
  <si>
    <t>1148-1174 2</t>
  </si>
  <si>
    <t>c. 1288 ?</t>
  </si>
  <si>
    <t>1251-1256 ?</t>
  </si>
  <si>
    <t>c. 1285 ?</t>
  </si>
  <si>
    <t>c. 970-1021</t>
  </si>
  <si>
    <t>c. 1177-1187 ?</t>
  </si>
  <si>
    <t>c. 1249</t>
  </si>
  <si>
    <t>c. 1196 ?</t>
  </si>
  <si>
    <t>1222-1241 ?</t>
  </si>
  <si>
    <t>c. 1283 ?</t>
  </si>
  <si>
    <t>Troyes, Bibl. mun., 2288</t>
  </si>
  <si>
    <t>c. 1245-1252 ?</t>
  </si>
  <si>
    <t>https://digitalcollections.universiteitleiden.nl/iiif_manifest/item%3A4243440/manifest</t>
  </si>
  <si>
    <t>https://digitalcollections.universiteitleiden.nl/iiif_manifest/item%3A4219919/manifest</t>
  </si>
  <si>
    <t>https://digitalcollections.universiteitleiden.nl/iiif_manifest/item%3A4227203/manifest</t>
  </si>
  <si>
    <t>https://digitalcollections.universiteitleiden.nl/iiif_manifest/item%3A4153920/manifest</t>
  </si>
  <si>
    <t>https://digitalcollections.universiteitleiden.nl/iiif_manifest/item%3A4119608/manifest</t>
  </si>
  <si>
    <t>https://digitalcollections.universiteitleiden.nl/iiif_manifest/item%3A4154089/manifest</t>
  </si>
  <si>
    <t>https://digitalcollections.universiteitleiden.nl/iiif_manifest/item%3A4243570/manifest</t>
  </si>
  <si>
    <t>https://digitalcollections.universiteitleiden.nl/iiif_manifest/item%3A2708056/manifest</t>
  </si>
  <si>
    <t>https://digitalcollections.universiteitleiden.nl/iiif_manifest/item%3A1943535/manifest</t>
  </si>
  <si>
    <t>https://digitalcollections.universiteitleiden.nl/iiif_manifest/item%3A1614211/manifest</t>
  </si>
  <si>
    <t>https://digitalcollections.universiteitleiden.nl/iiif_manifest/item%3A1611194/manifest</t>
  </si>
  <si>
    <t>https://digitalcollections.universiteitleiden.nl/iiif_manifest/item%3A881875/manifest</t>
  </si>
  <si>
    <t>https://digitalcollections.universiteitleiden.nl/iiif_manifest/item%3A848447/manifest</t>
  </si>
  <si>
    <t>https://digitalcollections.universiteitleiden.nl/iiif_manifest/item%3A847727/manifest</t>
  </si>
  <si>
    <t>Tilburg</t>
  </si>
  <si>
    <t>Lib</t>
  </si>
  <si>
    <t>UBU</t>
  </si>
  <si>
    <t>TFT</t>
  </si>
  <si>
    <t>HB</t>
  </si>
  <si>
    <t>fr. 13</t>
  </si>
  <si>
    <t>The Hague</t>
  </si>
  <si>
    <t>KB</t>
  </si>
  <si>
    <t>130 E 9</t>
  </si>
  <si>
    <t>Amsterdam</t>
  </si>
  <si>
    <t>UB</t>
  </si>
  <si>
    <t>VI E 11</t>
  </si>
  <si>
    <t>Nijmegen</t>
  </si>
  <si>
    <t>ms. 61</t>
  </si>
  <si>
    <t>Groningen</t>
  </si>
  <si>
    <t>76 E 15</t>
  </si>
  <si>
    <t>ms. Haaren 12 [ff. 44-44v]</t>
  </si>
  <si>
    <t>1236-1237</t>
  </si>
  <si>
    <t>France?, Brabant (Villers?)</t>
  </si>
  <si>
    <t>s Heerenberg</t>
  </si>
  <si>
    <t>Flone (chanoines reguliers de saint augustin)</t>
  </si>
  <si>
    <t>c. 1249-1256</t>
  </si>
  <si>
    <t>70 H 66 [ff. 1-19]</t>
  </si>
  <si>
    <t>73 J 47 [partem]</t>
  </si>
  <si>
    <t>70 E 3 [ff. 1-267v]</t>
  </si>
  <si>
    <t>Northern France</t>
  </si>
  <si>
    <t>c. 1001</t>
  </si>
  <si>
    <t>Jodoigne, Eastern Brabant</t>
  </si>
  <si>
    <t>1109/1111-1125</t>
  </si>
  <si>
    <t>Mayence, Saint-Jacques?</t>
  </si>
  <si>
    <t>70 H 54 (916)</t>
  </si>
  <si>
    <t>1271-1294</t>
  </si>
  <si>
    <t>Arras</t>
  </si>
  <si>
    <t>1250-1253</t>
  </si>
  <si>
    <t>Paris?</t>
  </si>
  <si>
    <t>ms. 116 [ff. 1-24]</t>
  </si>
  <si>
    <t>1234-1237</t>
  </si>
  <si>
    <t>Wittewierum, Groningen</t>
  </si>
  <si>
    <t>ms. 116 [ff. 25-50]</t>
  </si>
  <si>
    <t>1243-1273</t>
  </si>
  <si>
    <t>1023-1025</t>
  </si>
  <si>
    <t>75 F 15 (811)</t>
  </si>
  <si>
    <t>1041-1045</t>
  </si>
  <si>
    <t>1178-1183</t>
  </si>
  <si>
    <t>Vellereille-le-Brayeux (near Binche), Hainaut</t>
  </si>
  <si>
    <t>1058-1087</t>
  </si>
  <si>
    <t>c. 1118</t>
  </si>
  <si>
    <t>Monte Cassino, Italy</t>
  </si>
  <si>
    <t>1145?-1149</t>
  </si>
  <si>
    <t>Worms?, Germany</t>
  </si>
  <si>
    <t>1138-1139</t>
  </si>
  <si>
    <t>Abbay of Bec, England</t>
  </si>
  <si>
    <t>1152-1154</t>
  </si>
  <si>
    <t>Saint-Vincent de Laon/ Saint-Pierre de Corbie</t>
  </si>
  <si>
    <t>1160-1168</t>
  </si>
  <si>
    <t>1153-1154</t>
  </si>
  <si>
    <t>Munster en Gregorienthal</t>
  </si>
  <si>
    <t>VLF 70 [ff. 84-107]</t>
  </si>
  <si>
    <t>1159-1179</t>
  </si>
  <si>
    <t>Cisterciens de Vauluisant (Sens)</t>
  </si>
  <si>
    <t>VLF 96 [ff. 1-24]</t>
  </si>
  <si>
    <t>1027-1039</t>
  </si>
  <si>
    <t>Saint-Benoit-sur-Loire (Fleury)</t>
  </si>
  <si>
    <t>Limoges, Saint-Martial</t>
  </si>
  <si>
    <t>VLO 15, part XII [ff. 115-154]</t>
  </si>
  <si>
    <t>VLQ 12 [ff. 59-68]</t>
  </si>
  <si>
    <t>c. 1190</t>
  </si>
  <si>
    <t>Saint-Etienne de Sens</t>
  </si>
  <si>
    <t>1281-1282</t>
  </si>
  <si>
    <t>Orvieto,chancellier papale</t>
  </si>
  <si>
    <t>VLQ 13 [ff. 2, 4-9]</t>
  </si>
  <si>
    <t>Saint-Gall, Switzerland</t>
  </si>
  <si>
    <t>1262?-1277</t>
  </si>
  <si>
    <t>1254-1261</t>
  </si>
  <si>
    <t>VLQ 70 [ff. 47-146]</t>
  </si>
  <si>
    <t>NL 1 I 109</t>
  </si>
  <si>
    <t>NL 1 I 64</t>
  </si>
  <si>
    <t>NL 1 I 68</t>
  </si>
  <si>
    <t>NL 1 I 69</t>
  </si>
  <si>
    <t>NL 1 I 80</t>
  </si>
  <si>
    <t>NL 1 I 86</t>
  </si>
  <si>
    <t>NL 1 I 93</t>
  </si>
  <si>
    <t>NL 1 I 173</t>
  </si>
  <si>
    <t>NL 1 I 174</t>
  </si>
  <si>
    <t>NL 1 I 187</t>
  </si>
  <si>
    <t>NL 1 I 160</t>
  </si>
  <si>
    <t>NL 1 I 161</t>
  </si>
  <si>
    <t>NL 1 I 54</t>
  </si>
  <si>
    <t>NL 1 I 43</t>
  </si>
  <si>
    <t>NL 1 I 60</t>
  </si>
  <si>
    <t>NL 1 I 47</t>
  </si>
  <si>
    <t>NL 1 I 210</t>
  </si>
  <si>
    <t>NL 1 I 5</t>
  </si>
  <si>
    <t>NL 1 I 214</t>
  </si>
  <si>
    <t>NL 1 I 215</t>
  </si>
  <si>
    <t>NL 1 I 216</t>
  </si>
  <si>
    <t>NL 1 I 231</t>
  </si>
  <si>
    <t>NL 1 I 220</t>
  </si>
  <si>
    <t>NL 1 I 221</t>
  </si>
  <si>
    <t>NL 1 I 225</t>
  </si>
  <si>
    <t>NL 1 I 226</t>
  </si>
  <si>
    <t>NL 1 II 218</t>
  </si>
  <si>
    <t>NL 1 II 125</t>
  </si>
  <si>
    <t>NL 1 II 128</t>
  </si>
  <si>
    <t>NL 1 II 121-122</t>
  </si>
  <si>
    <t>NL 1 II 131</t>
  </si>
  <si>
    <t>NL 1 II 49-54</t>
  </si>
  <si>
    <t>NL 1 II 110</t>
  </si>
  <si>
    <t>NL 1 II 114-115</t>
  </si>
  <si>
    <t>NL 1 II 119-120</t>
  </si>
  <si>
    <t>NL 1 II 112-113</t>
  </si>
  <si>
    <t>NL 1 II 41-43</t>
  </si>
  <si>
    <t>NL 1 II 37-40</t>
  </si>
  <si>
    <t>NL 1 II 101-103</t>
  </si>
  <si>
    <t>NL 1 II 130</t>
  </si>
  <si>
    <t>NL 1 II 126-127</t>
  </si>
  <si>
    <t>NL 1 II 123-124</t>
  </si>
  <si>
    <t>Lobbes, Saint-Pierre, benedictins</t>
  </si>
  <si>
    <t>Bonne-esperance, Notre-Dame, premontres</t>
  </si>
  <si>
    <t>Marienthal, Dominicaines</t>
  </si>
  <si>
    <t>Bruges, B. V., 469</t>
  </si>
  <si>
    <t>https://iiif.biblissima.fr/collections/manifest/249e57e630f8addedcdea8b779c3c04f3d36292d</t>
  </si>
  <si>
    <t>Bruges, Belgium</t>
  </si>
  <si>
    <t>Cambrai, France</t>
  </si>
  <si>
    <t>Flanders?</t>
  </si>
  <si>
    <t>N-France?</t>
  </si>
  <si>
    <t>Orleans, Bibl. mun. 323 [ff. 34-53]</t>
  </si>
  <si>
    <t>Orleans, Bibl. mun. 337</t>
  </si>
  <si>
    <t>Orleans, Bibl. mun. 82</t>
  </si>
  <si>
    <t>S 1 1</t>
  </si>
  <si>
    <t>S 1 4</t>
  </si>
  <si>
    <t>S 1</t>
  </si>
  <si>
    <t>1269-1296</t>
  </si>
  <si>
    <t>S 1 6</t>
  </si>
  <si>
    <t>S 1 5</t>
  </si>
  <si>
    <t>Uppsula, University Library, DG 23</t>
  </si>
  <si>
    <t>S 1 7</t>
  </si>
  <si>
    <t>S 1 9</t>
  </si>
  <si>
    <t>Stockholm, Statens historiska museum, 21288</t>
  </si>
  <si>
    <t>c. 1198</t>
  </si>
  <si>
    <t>Sweden</t>
  </si>
  <si>
    <t>S 2</t>
  </si>
  <si>
    <t>Fontenay, France</t>
  </si>
  <si>
    <t>S 2 4</t>
  </si>
  <si>
    <t>London, Add. 11294 [ff. 2-25]</t>
  </si>
  <si>
    <t>London, Add. 11695</t>
  </si>
  <si>
    <t>London, Add. 14072</t>
  </si>
  <si>
    <t>London, Add. 14250</t>
  </si>
  <si>
    <t>London, Add. 14787</t>
  </si>
  <si>
    <t>London, Add. 15307</t>
  </si>
  <si>
    <t>London, Add. 15722 [ff. 1-35]</t>
  </si>
  <si>
    <t>London, Add. 16410</t>
  </si>
  <si>
    <t>London, Add. 16918</t>
  </si>
  <si>
    <t>London, Add. 16950</t>
  </si>
  <si>
    <t>London, Add. 16952 [ff. 8v-36]</t>
  </si>
  <si>
    <t>London, Add. 16979</t>
  </si>
  <si>
    <t>London, Add. 17396</t>
  </si>
  <si>
    <t>London, Add. 17737</t>
  </si>
  <si>
    <t>London, Add. 17738</t>
  </si>
  <si>
    <t>London, Add. 17742</t>
  </si>
  <si>
    <t>London, Add. 19767</t>
  </si>
  <si>
    <t>London, Add. 22820</t>
  </si>
  <si>
    <t>London, Add. 23932</t>
  </si>
  <si>
    <t>London, Add. 23933 [ff. 1-79]</t>
  </si>
  <si>
    <t>London, Add. 23935</t>
  </si>
  <si>
    <t>London, Add. 24686</t>
  </si>
  <si>
    <t>London, Add. 25600</t>
  </si>
  <si>
    <t>London, Add. 28106</t>
  </si>
  <si>
    <t>London, Add. 28107</t>
  </si>
  <si>
    <t>London, Add. 28188</t>
  </si>
  <si>
    <t>London, Add. 30861</t>
  </si>
  <si>
    <t>London, Add. 31830</t>
  </si>
  <si>
    <t>London, Add. 35109</t>
  </si>
  <si>
    <t>London, Add. 35110</t>
  </si>
  <si>
    <t>London, Add. 37068 [ff. 1-50]</t>
  </si>
  <si>
    <t>London, Add. 37517</t>
  </si>
  <si>
    <t>London, Add. 38819</t>
  </si>
  <si>
    <t>London, Add. 39678</t>
  </si>
  <si>
    <t>London, Add. 39759</t>
  </si>
  <si>
    <t>London, Add. 40000 [ff. 10]</t>
  </si>
  <si>
    <t>London, Add. 40007</t>
  </si>
  <si>
    <t>Cambridge, Add. 4080</t>
  </si>
  <si>
    <t>London, Add. 46203</t>
  </si>
  <si>
    <t>London, Add. 46487</t>
  </si>
  <si>
    <t>London, Add. 49598</t>
  </si>
  <si>
    <t>London, Add. 50003</t>
  </si>
  <si>
    <t>London, Add. 54237</t>
  </si>
  <si>
    <t>London, Add. 57528</t>
  </si>
  <si>
    <t>Oxford, All Souls College 69 [ff. 1-128]</t>
  </si>
  <si>
    <t>Oxford, Archivum Seldenianum B. 16</t>
  </si>
  <si>
    <t>London, Arundel 155 [ff. 2-135, 171-193]</t>
  </si>
  <si>
    <t>London, Arundel 303</t>
  </si>
  <si>
    <t>London, Arundel 470 [ff. 1-194]</t>
  </si>
  <si>
    <t>London, Arundel 60 [ff. 149]</t>
  </si>
  <si>
    <t>Oxford, Ashmole 341 [ff. 1-114]</t>
  </si>
  <si>
    <t>Oxford, Ashmole 399</t>
  </si>
  <si>
    <t>Oxford, Auct. D. 2. 4 [ff.iii-xii]</t>
  </si>
  <si>
    <t>Oxford, Auct. D. 2. 6 [ff. 2-8]</t>
  </si>
  <si>
    <t>Oxford, Auct. D. 4. 13 [ff. 129-218]</t>
  </si>
  <si>
    <t>Oxford, Auct. D. 4. 6</t>
  </si>
  <si>
    <t>Oxford, Auct. E. inf. 6</t>
  </si>
  <si>
    <t>Oxford, Auct. E. inf. 7</t>
  </si>
  <si>
    <t>Oxford, Auct. T. 1. 23</t>
  </si>
  <si>
    <t>Oxford, Balliol College 119</t>
  </si>
  <si>
    <t>Oxford, Barlow 6</t>
  </si>
  <si>
    <t>Oxford, bodl. Add. A . 197</t>
  </si>
  <si>
    <t>Oxford, bodl. Add. B. 62</t>
  </si>
  <si>
    <t>Oxford, bodl. Add. C. 142</t>
  </si>
  <si>
    <t>Oxford, bodl. Add. D. 104</t>
  </si>
  <si>
    <t>Oxford, bodl. Add. E. 14 ( R )</t>
  </si>
  <si>
    <t>Oxford, Bodley 232 [ff. 10-17]</t>
  </si>
  <si>
    <t>Oxford, Bodley 297</t>
  </si>
  <si>
    <t>Oxford, Bodley 309</t>
  </si>
  <si>
    <t>Oxford, Bodley 345</t>
  </si>
  <si>
    <t>Oxford, Bodley 399</t>
  </si>
  <si>
    <t>Oxford, Bodley 406</t>
  </si>
  <si>
    <t>Oxford, Bodley 561 [ff. 61-97]</t>
  </si>
  <si>
    <t>Oxford, Bodley 579 [ff. 38-59]</t>
  </si>
  <si>
    <t>Oxford, Bodley 655</t>
  </si>
  <si>
    <t>Oxford, Bodley 672</t>
  </si>
  <si>
    <t>Oxford, Bodley 852 [ff. 1-31]</t>
  </si>
  <si>
    <t>Oxford, Bodley 91 [ff. 103-30]</t>
  </si>
  <si>
    <t>Oxford, Bodley 917</t>
  </si>
  <si>
    <t>Oxford, Canon. Bibl. Lat. 56</t>
  </si>
  <si>
    <t>Oxford, Canon. Bibl. Lat. 61</t>
  </si>
  <si>
    <t>Oxford, Canon. Liturg. 277</t>
  </si>
  <si>
    <t>Oxford, Canon. Liturg. 297</t>
  </si>
  <si>
    <t>Oxford, Canon. Liturg. 319</t>
  </si>
  <si>
    <t>Oxford, Canon. Liturg. 325</t>
  </si>
  <si>
    <t>Oxford, Canon. Liturg. 340</t>
  </si>
  <si>
    <t>Oxford, Canon. Liturg. 346</t>
  </si>
  <si>
    <t>Oxford, Canon. Liturg. 354</t>
  </si>
  <si>
    <t>Oxford, Canon. Liturg. 370</t>
  </si>
  <si>
    <t>Oxford, Canon. Misc. 230</t>
  </si>
  <si>
    <t>Oxford, Canon. Misc. 560</t>
  </si>
  <si>
    <t>Oxford, Canon. Pat. Lat. 148</t>
  </si>
  <si>
    <t>Oxford, Christ Church fr. 341 [ff. 7-45]</t>
  </si>
  <si>
    <t>London, CLRO Cust. 1</t>
  </si>
  <si>
    <t>London, College of Arms Arundel 10 [ff. 39-112]</t>
  </si>
  <si>
    <t>London, College of Arms Arundel 30 [ff. 97-190]</t>
  </si>
  <si>
    <t>London, College of Arms Arundel 58</t>
  </si>
  <si>
    <t>London, College of Arms Arundel 60</t>
  </si>
  <si>
    <t>London, Congregational Library I.f.33 [ff. 1-64]</t>
  </si>
  <si>
    <t>Cambridge, Corpus Christi College 139</t>
  </si>
  <si>
    <t>Cambridge, Corpus Christi College 146 [pp. 1-60, 319-30]</t>
  </si>
  <si>
    <t>Oxford, Corpus Christi College 157 [p. 388]</t>
  </si>
  <si>
    <t>Cambridge, Corpus Christi College 16</t>
  </si>
  <si>
    <t>Cambridge, Corpus Christi College 173 [ff. 16v-21]</t>
  </si>
  <si>
    <t>Cambridge, Corpus Christi College 173 [ff. 21v-25v]</t>
  </si>
  <si>
    <t>Cambridge, Corpus Christi College 183</t>
  </si>
  <si>
    <t>Cambridge, Corpus Christi College 190B [pp. 295-319, 351-64]</t>
  </si>
  <si>
    <t>Cambridge, Corpus Christi College 191</t>
  </si>
  <si>
    <t>Cambridge, Corpus Christi College 192</t>
  </si>
  <si>
    <t>Cambridge, Corpus Christi College 196</t>
  </si>
  <si>
    <t>Cambridge, Corpus Christi College 199</t>
  </si>
  <si>
    <t>Cambridge, Corpus Christi College 2</t>
  </si>
  <si>
    <t>Cambridge, Corpus Christi College 201 [ff. 179-272]</t>
  </si>
  <si>
    <t>Cambridge, Corpus Christi College 26</t>
  </si>
  <si>
    <t>Cambridge, Corpus Christi College 270 [ff. 2-162, 165-73]</t>
  </si>
  <si>
    <t>Oxford, Corpus Christi College 283 [ff. 156-171]</t>
  </si>
  <si>
    <t>Cambridge, Corpus Christi College 297</t>
  </si>
  <si>
    <t>Cambridge, Corpus Christi College 313 vol. II</t>
  </si>
  <si>
    <t>Cambridge, Corpus Christi College 339 vol. I</t>
  </si>
  <si>
    <t>Cambridge, Corpus Christi College 371</t>
  </si>
  <si>
    <t>Cambridge, Corpus Christi College 373</t>
  </si>
  <si>
    <t>Cambridge, Corpus Christi College 391</t>
  </si>
  <si>
    <t>Cambridge, Corpus Christi College 393</t>
  </si>
  <si>
    <t>Cambridge, Corpus Christi College 415</t>
  </si>
  <si>
    <t>Cambridge, Corpus Christi College 421 [pp. 3-96, 209-24]</t>
  </si>
  <si>
    <t>Cambridge, Corpus Christi College 422 [pp. 27-586]</t>
  </si>
  <si>
    <t>Cambridge, Corpus Christi College 425 vol. I</t>
  </si>
  <si>
    <t>Cambridge, Corpus Christi College 452</t>
  </si>
  <si>
    <t>Cambridge, Corpus Christi College 46</t>
  </si>
  <si>
    <t>Cambridge, Corpus Christi College 465 [ff. 1-6]</t>
  </si>
  <si>
    <t>Cambridge, Corpus Christi College 465 [ff. 9-159]</t>
  </si>
  <si>
    <t>London, Cotton Caligual A.X [ff. 65-208]</t>
  </si>
  <si>
    <t>London, Cotton Caligual A.XII [ff. 2-6]</t>
  </si>
  <si>
    <t>London, Cotton Caligual A.XV [ff. 120-41]</t>
  </si>
  <si>
    <t>London, Cotton Claudius A.III [ff. 31-38]</t>
  </si>
  <si>
    <t>London, Cotton Claudius C.IX [ff. 4-17]</t>
  </si>
  <si>
    <t>London, Cotton Claudius D.VI [ff. 1-98]</t>
  </si>
  <si>
    <t>London, Cotton Claudius E.III [ff. 3-158]</t>
  </si>
  <si>
    <t>London, Cotton Cleopatra A.VII [ff. 9-54]</t>
  </si>
  <si>
    <t>London, Cotton Cleopatra A.XII [ff. 1-62]</t>
  </si>
  <si>
    <t>London, Cotton Cleopatra B.XIII [ff. 1-58]</t>
  </si>
  <si>
    <t>London, Cotton Cleopatra D.IX [ff. 80-83]</t>
  </si>
  <si>
    <t>London, Cotton Cleopatra E.I [ff. 17-38]</t>
  </si>
  <si>
    <t>London, Cotton Faustina A.VIII [ff. 40-146]</t>
  </si>
  <si>
    <t>London, Cotton Faustina B.VII [ff. 2-17]</t>
  </si>
  <si>
    <t>London, Cotton Faustina B.VII [ff. 41-71]</t>
  </si>
  <si>
    <t>London, Cotton Galba A.XVIII [ff. 1-21, 178-200]</t>
  </si>
  <si>
    <t>London, Cotton Galba E.III [ff. 2-41v]</t>
  </si>
  <si>
    <t>London, Cotton Galba E.III [ff. 42-56]</t>
  </si>
  <si>
    <t>London, Cotton Galba E.III [ff. 57-82]</t>
  </si>
  <si>
    <t>London, Cotton Galba E.X [ff. 2-7]</t>
  </si>
  <si>
    <t>London, Cotton Julius A.I [ff. 3-43]</t>
  </si>
  <si>
    <t>London, Cotton Julius A.VII [ff. 3-49]</t>
  </si>
  <si>
    <t>London, Cotton Nero A.I [ff. 70-177]</t>
  </si>
  <si>
    <t>London, Cotton Nero C.IV</t>
  </si>
  <si>
    <t>London, Cotton Nero C.V [ff. 33-161]</t>
  </si>
  <si>
    <t>London, Cotton Nero C.VII [ff. 216-223]</t>
  </si>
  <si>
    <t>London, Cotton Nero D.I [ff. 71-82v, 130-137v]</t>
  </si>
  <si>
    <t>London, Cotton Nero D.I [ff. 83-129v]</t>
  </si>
  <si>
    <t>London, Cotton Nero D.II [ff. 238-41]</t>
  </si>
  <si>
    <t>London, Cotton Nero D.V [ff. 162-393]</t>
  </si>
  <si>
    <t>London, Cotton Nero E.VIII [ff. 8-134]</t>
  </si>
  <si>
    <t>London, Cotton Tiberius A.III [ff. 178]</t>
  </si>
  <si>
    <t>London, Cotton Tiberius A.VI [ff. 1-35]</t>
  </si>
  <si>
    <t>London, Cotton Tiberius A.XIII [ff. 1-118]</t>
  </si>
  <si>
    <t>London, Cotton Tiberius A.XIII [ff. 119-200]</t>
  </si>
  <si>
    <t>London, Cotton Tiberius B.I [ff. 115-162]</t>
  </si>
  <si>
    <t>London, Cotton Tiberius B.II [ff. 86-233]</t>
  </si>
  <si>
    <t>London, Cotton Tiberius B.IV [ff. 76-86]</t>
  </si>
  <si>
    <t>London, Cotton Tiberius B.V [ff. 2-73]</t>
  </si>
  <si>
    <t>London, Cotton Tiberius C.I [ff. 2-42]</t>
  </si>
  <si>
    <t>London, Cotton Tiberius E.IV [ff. 26-27]</t>
  </si>
  <si>
    <t>London, Cotton Titus D.XXVI</t>
  </si>
  <si>
    <t>London, Cotton Titus D.XXVII</t>
  </si>
  <si>
    <t>London, Cotton Vespasian A.IX [ff. 1-71]</t>
  </si>
  <si>
    <t>London, Cotton Vespasian A.VIII [ff. 1-33]</t>
  </si>
  <si>
    <t>London, Cotton Vespasian A.XIV [ff. 114-179]</t>
  </si>
  <si>
    <t>London, Cotton Vespasian E.V [ff. 11v-16]</t>
  </si>
  <si>
    <t>London, Cotton Vitellius A.VIII [ff. 1-112]</t>
  </si>
  <si>
    <t>London, Cotton Vitellius A.XVII [ff. 1-16]</t>
  </si>
  <si>
    <t>London, Cotton Vitellius A.XVIII</t>
  </si>
  <si>
    <t>London, Cotton Vitellius A.XX [ff. 77-108]</t>
  </si>
  <si>
    <t>London, Cotton Vitellius C.XII [ff. 114-156]</t>
  </si>
  <si>
    <t>Oxford, D'Orville 45</t>
  </si>
  <si>
    <t>Oxford, Digby 2</t>
  </si>
  <si>
    <t>Oxford, Digby 40 [ff. 21-51]</t>
  </si>
  <si>
    <t>Oxford, Digby 56 [ff. 156-219]</t>
  </si>
  <si>
    <t>Oxford, Digby 81 [ff. 133-140]</t>
  </si>
  <si>
    <t>Oxford, Digby 86</t>
  </si>
  <si>
    <t>Oxford, Douce 132</t>
  </si>
  <si>
    <t>Oxford, Douce 137 [ff. 98-109]</t>
  </si>
  <si>
    <t>Oxford, Douce 180</t>
  </si>
  <si>
    <t>Oxford, Douce 270</t>
  </si>
  <si>
    <t>Oxford, Douce 296</t>
  </si>
  <si>
    <t>Oxford, Douce 94</t>
  </si>
  <si>
    <t>London, Egerton 1139</t>
  </si>
  <si>
    <t>London, Egerton 2569</t>
  </si>
  <si>
    <t>London, Egerton 2615 [ff. 1-73]</t>
  </si>
  <si>
    <t>London, Egerton 2849</t>
  </si>
  <si>
    <t>London, Egerton 2902</t>
  </si>
  <si>
    <t>London, Egerton 2977</t>
  </si>
  <si>
    <t>London, Egerton 3031</t>
  </si>
  <si>
    <t>London, Egerton 3036</t>
  </si>
  <si>
    <t>London, Egerton 3088</t>
  </si>
  <si>
    <t>London, Egerton 3661</t>
  </si>
  <si>
    <t>London, Egerton 3668</t>
  </si>
  <si>
    <t>London, Egerton 3721</t>
  </si>
  <si>
    <t>London, Egerton 3763</t>
  </si>
  <si>
    <t>Cambridge, Emmanuel College 3. 2. 26 (232)</t>
  </si>
  <si>
    <t>Oxford, eMusaeo 112</t>
  </si>
  <si>
    <t>Oxford, eMusaeo 185</t>
  </si>
  <si>
    <t>Oxford, eMusaeo 249</t>
  </si>
  <si>
    <t>Oxford, Exeter College 69 [ff. 1-81]</t>
  </si>
  <si>
    <t>Cambridge, Fitzwilliam Museum 300</t>
  </si>
  <si>
    <t>Cambridge, Fitzwilliam Museum 36-1950</t>
  </si>
  <si>
    <t>Cambridge, Fitzwilliam Museum, McClean 165 [ff. 67-80]</t>
  </si>
  <si>
    <t>Cambridge, Fitzwilliam Museum, McClean 24 [ff. 295-308]</t>
  </si>
  <si>
    <t>Cambridge, Fitzwilliam Museum, McClean 49</t>
  </si>
  <si>
    <t>Cambridge, Gonville &amp; Caius College 205/111</t>
  </si>
  <si>
    <t>Cambridge, Gonville &amp; Caius College 427/427 [pp. 197-230]</t>
  </si>
  <si>
    <t>Cambridge, Gonville &amp; Caius College 454/357</t>
  </si>
  <si>
    <t>Cambridge, Gonville &amp; Caius College 494/263 [ff. 1-197]</t>
  </si>
  <si>
    <t>Cambridge, Gonville &amp; Caius College 668*/645</t>
  </si>
  <si>
    <t>London, Gray's Inn 14 [ff. 23-60]</t>
  </si>
  <si>
    <t>London, Guildhall 1362</t>
  </si>
  <si>
    <t>London, Harley 1229</t>
  </si>
  <si>
    <t>London, Harley 1802</t>
  </si>
  <si>
    <t>London, Harley 222</t>
  </si>
  <si>
    <t>London, Harley 2660</t>
  </si>
  <si>
    <t>London, Harley 2798</t>
  </si>
  <si>
    <t>London, Harley 2799</t>
  </si>
  <si>
    <t>London, Harley 2800</t>
  </si>
  <si>
    <t>London, Harley 2801</t>
  </si>
  <si>
    <t>London, Harley 2802</t>
  </si>
  <si>
    <t>London, Harley 2803</t>
  </si>
  <si>
    <t>London, Harley 2804</t>
  </si>
  <si>
    <t>London, Harley 2961</t>
  </si>
  <si>
    <t>London, Harley 3038 [ff. 1-58]</t>
  </si>
  <si>
    <t>London, Harley 3045</t>
  </si>
  <si>
    <t>London, Harley 3099</t>
  </si>
  <si>
    <t>London, Harley 3271 [ff. 128v-129]</t>
  </si>
  <si>
    <t>London, Harley 3272 [ff. 208-227]</t>
  </si>
  <si>
    <t>London, Harley 3583</t>
  </si>
  <si>
    <t>London, Harley 3601</t>
  </si>
  <si>
    <t>London, Harley 3667</t>
  </si>
  <si>
    <t>London, Harley 3678</t>
  </si>
  <si>
    <t>London, Harley 3904</t>
  </si>
  <si>
    <t>London, Harley 447 [ff. 103-133]</t>
  </si>
  <si>
    <t>London, Harley 4487 [ff. 3-86]</t>
  </si>
  <si>
    <t>London, Harley 531 [ff. 1-32]</t>
  </si>
  <si>
    <t>London, Harley 55 [ff. 1-4]</t>
  </si>
  <si>
    <t>London, Harley 863 [ff. 1-117]</t>
  </si>
  <si>
    <t>London, Harley 863 [ff. 117v-125]</t>
  </si>
  <si>
    <t>London, Harley 978 [ff. 2-21]</t>
  </si>
  <si>
    <t>Oxford, Hatton 113</t>
  </si>
  <si>
    <t>Oxford, Hatton 114</t>
  </si>
  <si>
    <t>Oxford, Hatton 26 [ff. 205-213]</t>
  </si>
  <si>
    <t>Oxford, Hatton 30</t>
  </si>
  <si>
    <t>London, Inner Temple, Petyt 511/9</t>
  </si>
  <si>
    <t>Oxford, Jesus College 26</t>
  </si>
  <si>
    <t>Oxford, Jesus College 52</t>
  </si>
  <si>
    <t>Oxford, Jesus College 53</t>
  </si>
  <si>
    <t>Oxford, Jesus College 63</t>
  </si>
  <si>
    <t>Oxford, Jesus College 67</t>
  </si>
  <si>
    <t>Oxford, Jesus College 68</t>
  </si>
  <si>
    <t>Oxford, Jesus College 70</t>
  </si>
  <si>
    <t>Oxford, Junius 121</t>
  </si>
  <si>
    <t>Oxford, Keble College 49</t>
  </si>
  <si>
    <t>London, Lambeth Palace 109</t>
  </si>
  <si>
    <t>London, Lambeth Palace 209</t>
  </si>
  <si>
    <t>London, Lambeth Palace 224 [ff. ii, 1-174]</t>
  </si>
  <si>
    <t>London, Lambeth Palace 236</t>
  </si>
  <si>
    <t>London, Lambeth Palace 415</t>
  </si>
  <si>
    <t>London, Lambeth Palace 489</t>
  </si>
  <si>
    <t>London, Lambeth Palace 499</t>
  </si>
  <si>
    <t>London, Lambeth Palace 51</t>
  </si>
  <si>
    <t>London, Lambeth Palace 8</t>
  </si>
  <si>
    <t>London, Lansdowne 381</t>
  </si>
  <si>
    <t>Oxford, Lat. bib. f. 3</t>
  </si>
  <si>
    <t>Oxford, Lat. liturg. f. 1</t>
  </si>
  <si>
    <t>Oxford, Lat. liturg. f. 26</t>
  </si>
  <si>
    <t>Oxford, Lat. Th. B. 4</t>
  </si>
  <si>
    <t>Oxford, Lat. Th. E. 5</t>
  </si>
  <si>
    <t>Oxford, Laud Misc. 415</t>
  </si>
  <si>
    <t>Oxford, Laud Misc. 605</t>
  </si>
  <si>
    <t>Oxford, Laud Misc. 633 [ff. 1-94]</t>
  </si>
  <si>
    <t>Oxford, Laud Misc. 636 [ff. 1-91]</t>
  </si>
  <si>
    <t>Oxford, Laud Misc. 636 [ff. 88v-91?]</t>
  </si>
  <si>
    <t>Oxford, Laud Misc. 644</t>
  </si>
  <si>
    <t>Oxford, Laud Misc. 646</t>
  </si>
  <si>
    <t>Oxford, Laud Misc. 750 [ff. 2-5]</t>
  </si>
  <si>
    <t>Oxford, Laud Misc. 95 [ff. 408-427]</t>
  </si>
  <si>
    <t>Oxford, Lincoln College Lat. 100</t>
  </si>
  <si>
    <t>London, Lincoln's Inn Hall 12 [ff. 449-451]</t>
  </si>
  <si>
    <t>London, Lincoln's Inn Hall 135</t>
  </si>
  <si>
    <t>London, Lincoln's Inn Misc. 1</t>
  </si>
  <si>
    <t>Oxford, Merton College 261 [ff. 72-112]</t>
  </si>
  <si>
    <t>Oxford, New College 3</t>
  </si>
  <si>
    <t>Oxford, New College 4</t>
  </si>
  <si>
    <t>Oxford, New College 5</t>
  </si>
  <si>
    <t>Oxford, New College 6</t>
  </si>
  <si>
    <t>Cambridge, Pembroke College 148</t>
  </si>
  <si>
    <t>Cambridge, Pembroke College 149</t>
  </si>
  <si>
    <t>Cambridge, Pembroke College 210</t>
  </si>
  <si>
    <t>Cambridge, Peterhouse 89</t>
  </si>
  <si>
    <t>London, PRO C150/1 [ff. 10-14, 18-257, 260-331]</t>
  </si>
  <si>
    <t>London, PRO E 31/1</t>
  </si>
  <si>
    <t>London, PRO E 37/57</t>
  </si>
  <si>
    <t>London, PRO E164/9 [ff. 32-34, 44-94, 180-220]</t>
  </si>
  <si>
    <t>Oxford, Rawlinson B. 503 [ff. 1-44]</t>
  </si>
  <si>
    <t>Oxford, Rawlinson C. 819</t>
  </si>
  <si>
    <t>Oxford, Rawlinson C. 939 [ff. 154-165]</t>
  </si>
  <si>
    <t>Oxford, Rawlinson Q. f. 8</t>
  </si>
  <si>
    <t>London, Royal 1 B.XII</t>
  </si>
  <si>
    <t>London, Royal 13 D.IV</t>
  </si>
  <si>
    <t>London, Royal 14 C.VII</t>
  </si>
  <si>
    <t>London, Royal 2 A.XXII</t>
  </si>
  <si>
    <t>London, Royal 2 B.VI</t>
  </si>
  <si>
    <t>London, Royal 2 F.VIII</t>
  </si>
  <si>
    <t>London, Royal 3 A.XII</t>
  </si>
  <si>
    <t>London, Royal 3 D.VII</t>
  </si>
  <si>
    <t>London, Royal 5 A.XI [ff.47-92]</t>
  </si>
  <si>
    <t>London, Royal 5 B.XII [ff. 2-3]</t>
  </si>
  <si>
    <t>London, Royal 5 D.II</t>
  </si>
  <si>
    <t>London, Royal 6 A.V</t>
  </si>
  <si>
    <t>London, Royal 6 C.VI</t>
  </si>
  <si>
    <t>London, Royal 7 C.XII</t>
  </si>
  <si>
    <t>London, Royal 7 F.III</t>
  </si>
  <si>
    <t>London, Royal 7 F.VI</t>
  </si>
  <si>
    <t>London, Royal 9 B.V</t>
  </si>
  <si>
    <t>London, Royal College of Physicians 409</t>
  </si>
  <si>
    <t>Oxford, Savile 21 [ff. 170-81]</t>
  </si>
  <si>
    <t>Oxford, Savile 22</t>
  </si>
  <si>
    <t>London, Society of Antiquaries 154</t>
  </si>
  <si>
    <t>London, Society of Antiquaries 59 [ff. 25-236]</t>
  </si>
  <si>
    <t>London, Society of Antiquaries 60 [ff. 209-219]</t>
  </si>
  <si>
    <t>Oxford, St Edmund Hall Kk. 60</t>
  </si>
  <si>
    <t>Cambridge, St John's College A. 22 (22)</t>
  </si>
  <si>
    <t>Cambridge, St John's College B. 20(42)</t>
  </si>
  <si>
    <t>Cambridge, St John's College C. 18 (68)</t>
  </si>
  <si>
    <t>Cambridge, St John's College D. 19 (94)</t>
  </si>
  <si>
    <t>Cambridge, St John's College G. 15 (183)</t>
  </si>
  <si>
    <t>Cambridge, St John's College Muniments C. 7. 1 [ff. 2-80]</t>
  </si>
  <si>
    <t>Oxford, St. John's College 17</t>
  </si>
  <si>
    <t>Oxford, St. John's College 49</t>
  </si>
  <si>
    <t>London, Stowe 941</t>
  </si>
  <si>
    <t>London, Stowe 944 [ff. 6-61]</t>
  </si>
  <si>
    <t>Oxford, Tanner 169*</t>
  </si>
  <si>
    <t>Cambridge, Trinity College 0. 2. 1. (1105) [ff. K1-14]</t>
  </si>
  <si>
    <t>Cambridge, Trinity College 0. 5. 20 (1301) [pp. 1-265]</t>
  </si>
  <si>
    <t>Cambridge, Trinity College 0. 7. 13 (1341)</t>
  </si>
  <si>
    <t>Cambridge, Trinity College B. 15. 10 (346)</t>
  </si>
  <si>
    <t>Cambridge, Trinity College B. 16. 17 (391)</t>
  </si>
  <si>
    <t>Cambridge, Trinity College B. 16. 44 (405)</t>
  </si>
  <si>
    <t>Cambridge, Trinity College B. 3. 11 (90)</t>
  </si>
  <si>
    <t>Cambridge, Trinity College B. 3. 12 (91)</t>
  </si>
  <si>
    <t>Cambridge, Trinity College B. 3. 30 (109)</t>
  </si>
  <si>
    <t>Cambridge, Trinity College B. 4. 30 (144)</t>
  </si>
  <si>
    <t>Cambridge, Trinity College B. 5. 28 (174)</t>
  </si>
  <si>
    <t>Cambridge, Trinity College B. 5. 4 (150)</t>
  </si>
  <si>
    <t>Cambridge, Trinity College B. 5. 5 (151)</t>
  </si>
  <si>
    <t>Cambridge, Trinity College B. 5. 6 (152)</t>
  </si>
  <si>
    <t>Cambridge, Trinity College B. 5. 7 (153)</t>
  </si>
  <si>
    <t>Cambridge, Trinity College R. 14. 9 (884), I</t>
  </si>
  <si>
    <t>Cambridge, Trinity College R. 15. 32 (945) [pp. 13-26]</t>
  </si>
  <si>
    <t>Cambridge, Trinity College R. 17. 1 (987)</t>
  </si>
  <si>
    <t>Cambridge, Trinity College R. 3. 29 (609) [ff. 2-27]</t>
  </si>
  <si>
    <t>Cambridge, Trinity College R. 4. 4 (637)</t>
  </si>
  <si>
    <t>Cambridge, Trinity College R. 7. 28 (770) [pp. 1-74]</t>
  </si>
  <si>
    <t>Cambridge, Trinity Hall 2</t>
  </si>
  <si>
    <t>London, UCL Germ. 16 [ff. 13-17]</t>
  </si>
  <si>
    <t>Cambridge, UL, Dd. 11. 78</t>
  </si>
  <si>
    <t>Cambridge, UL, Dd. 15. 1</t>
  </si>
  <si>
    <t>Cambridge, UL, Ee. 1.1</t>
  </si>
  <si>
    <t>Cambridge, UL, Ee. 3. 59</t>
  </si>
  <si>
    <t>Cambridge, UL, Ff. 5. 31</t>
  </si>
  <si>
    <t>Cambridge, UL, Hh. 1. 10</t>
  </si>
  <si>
    <t>Cambridge, UL, Ii. 2. 11</t>
  </si>
  <si>
    <t>Cambridge, UL, Ii. 2. 4</t>
  </si>
  <si>
    <t>Cambridge, UL, Ii. 3. 3 [ff. 20-140]</t>
  </si>
  <si>
    <t>Cambridge, UL, Ii. 3. 33 [ff. 1-194]</t>
  </si>
  <si>
    <t>Cambridge, UL, Kk. 1. 23</t>
  </si>
  <si>
    <t>Cambridge, UL, Kk. 4. 6</t>
  </si>
  <si>
    <t>Cambridge, UL, Kk. 5. 32</t>
  </si>
  <si>
    <t>Cambridge, UL, Ll. 2. 9 [ff. 1-41]</t>
  </si>
  <si>
    <t>Cambridge, UL, Ll. 2. 9 [ff. 66-98]</t>
  </si>
  <si>
    <t>Cambridge, UL, Mm. 4. 43 [ff. 282-316]</t>
  </si>
  <si>
    <t>London, V &amp; A L. 404-1916</t>
  </si>
  <si>
    <t>Oxford, Wadham College 1 (A. 5. 2)</t>
  </si>
  <si>
    <t>London, Yates Thompson 8</t>
  </si>
  <si>
    <t>city</t>
  </si>
  <si>
    <t>city_shelf</t>
  </si>
  <si>
    <t>The Hague, KB, 130 E 9</t>
  </si>
  <si>
    <t>The Hague, KB, 70 E 3 [ff. 1-267v]</t>
  </si>
  <si>
    <t>The Hague, KB, 70 H 54 (916)</t>
  </si>
  <si>
    <t>The Hague, KB, 70 H 66 [ff. 1-19]</t>
  </si>
  <si>
    <t>The Hague, KB, 73 J 47 [partem]</t>
  </si>
  <si>
    <t>The Hague, KB, 75 F 15 (811)</t>
  </si>
  <si>
    <t>The Hague, KB, 76 E 15</t>
  </si>
  <si>
    <t>Leiden, UBU, BPL 114 B</t>
  </si>
  <si>
    <t>Leiden, UBU, BPL 118</t>
  </si>
  <si>
    <t>Leiden, UBU, BPL 196</t>
  </si>
  <si>
    <t>Leiden, UBU, BPL 20</t>
  </si>
  <si>
    <t>Leiden, UBU, BPL 30</t>
  </si>
  <si>
    <t>s Heerenberg, HB, fr. 13</t>
  </si>
  <si>
    <t>Groningen, UB, ms. 116 [ff. 1-24]</t>
  </si>
  <si>
    <t>Groningen, UB, ms. 116 [ff. 25-50]</t>
  </si>
  <si>
    <t>Nijmegen, UB, ms. 61</t>
  </si>
  <si>
    <t>Tilburg, TFT, ms. Haaren 12 [ff. 44-44v]</t>
  </si>
  <si>
    <t>Leiden, UBU, PER Q 17</t>
  </si>
  <si>
    <t>Amsterdam, UB, VI E 11</t>
  </si>
  <si>
    <t>Leiden, UBU, VLF 67</t>
  </si>
  <si>
    <t>Leiden, UBU, VLF 70 [ff. 84-107]</t>
  </si>
  <si>
    <t>Leiden, UBU, VLF 96 [ff. 1-24]</t>
  </si>
  <si>
    <t>Leiden, UBU, VLO 15, part XII [ff. 115-154]</t>
  </si>
  <si>
    <t>Leiden, UBU, VLQ 12 [ff. 59-68]</t>
  </si>
  <si>
    <t>Leiden, UBU, VLQ 13 [ff. 2, 4-9]</t>
  </si>
  <si>
    <t>Leiden, UBU, VLQ 69</t>
  </si>
  <si>
    <t>Leiden, UBU, VLQ 70 [ff. 47-146]</t>
  </si>
  <si>
    <t>https://manuscripta.at/diglit/iiif/AT1000-18/manifest.json</t>
  </si>
  <si>
    <t>https://manuscripta.at/hs_detail.php?ID=26856</t>
  </si>
  <si>
    <t>https://manuscripta.at/diglit/iiif/IT1300-1304/manifest.json</t>
  </si>
  <si>
    <t>https://manuscripta.at/hs_detail.php?ID=42092</t>
  </si>
  <si>
    <t>Bozen/Bolzano, Museumsverein (Depot im Stadtmuseum), Cod. 1304</t>
  </si>
  <si>
    <t>Laibach/Ljubljana</t>
  </si>
  <si>
    <t>Mison</t>
  </si>
  <si>
    <t>https://api.onb.ac.at/iiif/presentation/v3/manifest/10048720</t>
  </si>
  <si>
    <t>http://18.235.151.129/detail.php?msid=16030</t>
  </si>
  <si>
    <t>https://api.onb.ac.at/iiif/presentation/v3/manifest/131CD53E</t>
  </si>
  <si>
    <t>http://18.235.151.129/detail.php?msid=14990</t>
  </si>
  <si>
    <t>Heiligenkreuz</t>
  </si>
  <si>
    <t>Regensburg</t>
  </si>
  <si>
    <t>http://18.235.151.129/detail.php?msid=14561</t>
  </si>
  <si>
    <t>https://api.onb.ac.at/iiif/presentation/v3/manifest/112ECF1B</t>
  </si>
  <si>
    <t>Oberitalien</t>
  </si>
  <si>
    <t>http://18.235.151.129/detail.php?msid=20311</t>
  </si>
  <si>
    <t>https://api.onb.ac.at/iiif/presentation/v3/manifest/10017421</t>
  </si>
  <si>
    <t>Rein</t>
  </si>
  <si>
    <t>http://217.116.179.6/images/matricula/Manuscripts/Rein/pdf/Rein-94.pdf</t>
  </si>
  <si>
    <t>https://manuscripta.at/hs_detail.php?ID=6165</t>
  </si>
  <si>
    <t>https://www.vhmml.org/readingRoom/view/54294</t>
  </si>
  <si>
    <t>https://digi.landesbibliothek.at/viewer/api/v1/records/439/manifest/</t>
  </si>
  <si>
    <t>Ottobeuren</t>
  </si>
  <si>
    <t>https://diglib.uibk.ac.at/i3f/v20/6781115/manifest</t>
  </si>
  <si>
    <t>https://manuscripta.at/hs_detail.php?ID=7768</t>
  </si>
  <si>
    <t>St. Lambrecht</t>
  </si>
  <si>
    <t>https://unipub.uni-graz.at/i3f/v20/5852028/manifest</t>
  </si>
  <si>
    <t>https://manuscripta.at/hs_detail.php?ID=6039</t>
  </si>
  <si>
    <t>https://unipub.uni-graz.at/i3f/v20/6596841/manifest</t>
  </si>
  <si>
    <t>https://unipub.uni-graz.at/urn/urn:nbn:at:at-ubg:2-29525; https://manuscripta.at/hs_detail.php?ID=5978</t>
  </si>
  <si>
    <t>https://manuscripta.at/diglit/iiif/AT1000-714/manifest.json</t>
  </si>
  <si>
    <t>https://www.vhmml.org/readingRoom/view/10043</t>
  </si>
  <si>
    <t>Italien</t>
  </si>
  <si>
    <t>Admont</t>
  </si>
  <si>
    <t>https://manuscripta.at/diglit/iiif/AT1000-501/manifest.json</t>
  </si>
  <si>
    <t>https://manuscripta.at/hs_detail.php?ID=26937</t>
  </si>
  <si>
    <t> Österreich</t>
  </si>
  <si>
    <t>https://manuscripta.at/diglit/iiif/AT1000-221/manifest.json</t>
  </si>
  <si>
    <t>https://manuscripta.at/hs_detail.php?ID=26896</t>
  </si>
  <si>
    <t>https://manuscripta.at/diglit/iiif/AT1000-185/manifest.json</t>
  </si>
  <si>
    <t>https://manuscripta.at/hs_detail.php?ID=26062</t>
  </si>
  <si>
    <t>A VII 61</t>
  </si>
  <si>
    <t>A VI 25 f.</t>
  </si>
  <si>
    <t>A VI 78 f.</t>
  </si>
  <si>
    <t>A VII 111 f.</t>
  </si>
  <si>
    <t>A I 18</t>
  </si>
  <si>
    <t>A I</t>
  </si>
  <si>
    <t>Freiburg im Breisgau, Universitätsbibliothek Freiburg, Hs. 374</t>
  </si>
  <si>
    <t>Wasserburg</t>
  </si>
  <si>
    <t>https://handschriftenportal.de/search?hspobjectid=HSP-7ba3865e-9d8c-37f5-901d-ec3dbaacadfa&amp;q=Freiburg+im+Breisgau%2C+Universit%C3%A4tsbibliothek+Freiburg%2C+Hs.+374&amp;hl=true</t>
  </si>
  <si>
    <t>Weissenburg im Elsass</t>
  </si>
  <si>
    <t>1085/1087-1095</t>
  </si>
  <si>
    <t>Diocise Parma</t>
  </si>
  <si>
    <t>Porto?, Italy (Kanonistisch)</t>
  </si>
  <si>
    <t>Biburg (Benedictine)</t>
  </si>
  <si>
    <t>Biburg (Benedictines)</t>
  </si>
  <si>
    <t>De II</t>
  </si>
  <si>
    <t>De II Abb. 1-2</t>
  </si>
  <si>
    <t>De V</t>
  </si>
  <si>
    <t>Würzburg</t>
  </si>
  <si>
    <t>De V Abb. 1</t>
  </si>
  <si>
    <t>De V Abb. 2</t>
  </si>
  <si>
    <t>De V Abb. 5</t>
  </si>
  <si>
    <t>De V Abb. 3-4</t>
  </si>
  <si>
    <t>Ebrach</t>
  </si>
  <si>
    <t>De V Abb. 6</t>
  </si>
  <si>
    <t>Würzburg, Universitätsbibliothek Würzburg, M.p.th.f.6</t>
  </si>
  <si>
    <t>Würzburg, Universitätsbibliothek Würzburg, M.p.th.f.m.9/2</t>
  </si>
  <si>
    <t>Würzburg,Universitätsbibliothek Würzburg,  M.p.th.f.m.9/4</t>
  </si>
  <si>
    <t>Würzburg, Universitätsbibliothek Würzburg, M.p.j.q.1</t>
  </si>
  <si>
    <t>Würzburg, Universitätsbibliothek Würzburg, M.p.th.f.94</t>
  </si>
  <si>
    <t>De IV/1</t>
  </si>
  <si>
    <t>München, Bayerische Staatsbibliothek, Cgm 5248/7</t>
  </si>
  <si>
    <t>Friesing</t>
  </si>
  <si>
    <t>1022-1025</t>
  </si>
  <si>
    <t>De IV/1 Abb. 2</t>
  </si>
  <si>
    <t>Steiermark</t>
  </si>
  <si>
    <t>De IV/1 Abb. 3</t>
  </si>
  <si>
    <t>München, Bayerische Staatsbibliothek, Cgm 16 II [ff. 1-87]</t>
  </si>
  <si>
    <t>1034-1046</t>
  </si>
  <si>
    <t>Konstanz</t>
  </si>
  <si>
    <t>De III/1</t>
  </si>
  <si>
    <t>De III/1 Abb. 8-10</t>
  </si>
  <si>
    <t>De III/1 Abb. 9</t>
  </si>
  <si>
    <t>De III/1 Abb. 12-14</t>
  </si>
  <si>
    <t>Weingarten</t>
  </si>
  <si>
    <t>De III/1 Abb. 15</t>
  </si>
  <si>
    <t>1211-1213</t>
  </si>
  <si>
    <t>De III/1 Abb. 16</t>
  </si>
  <si>
    <t>Stuttgart, Württembergische Landesbibliothek, HB VII 7</t>
  </si>
  <si>
    <t>Stuttgart, Württembergische Landesbibliothek, HB VII 8</t>
  </si>
  <si>
    <t>Stuttgart, Württembergische Landesbibliothek, HB VII 29</t>
  </si>
  <si>
    <t>Stuttgart, Württembergische Landesbibliothek, HB I 236</t>
  </si>
  <si>
    <t>Stuttgart, Württembergische Landesbibliothek, HB II 24</t>
  </si>
  <si>
    <t>Frankfurt am Main, Stadt- und Universitaitsbibliothek, Ms. Barth. 41</t>
  </si>
  <si>
    <t>De I</t>
  </si>
  <si>
    <t>De I Abb. 2</t>
  </si>
  <si>
    <t>Mittelrhein</t>
  </si>
  <si>
    <t>Frankfurt am Main, Stadt- und Universitaitsbibliothek, Ms. Lat. Qu. 20</t>
  </si>
  <si>
    <t>De I Abb. 3</t>
  </si>
  <si>
    <t>Frankfurt am Main, Stadt- und Universitaitsbibliothek, Ms. Barth. 148</t>
  </si>
  <si>
    <t>De I Abb. 4-5</t>
  </si>
  <si>
    <t>München, Universitätsbibliothek, Cim. 73 [ff. 42-55v]</t>
  </si>
  <si>
    <t>München, Universitätsbibliothek, 2 Cod. Ms. 292</t>
  </si>
  <si>
    <t>München, Universitätsbibliothek, Cim. 19 (2 Cod. Ms. 28) [ff. 1-255]</t>
  </si>
  <si>
    <t>München, Universitätsbibliothek, 2 Cod. Ms. 15</t>
  </si>
  <si>
    <t>München, Universitätsbibliothek, 2 Cod. Ms. 33 (I) [ff. 1v-186]</t>
  </si>
  <si>
    <t xml:space="preserve"> 1215-1217 </t>
  </si>
  <si>
    <t xml:space="preserve"> 1197/98</t>
  </si>
  <si>
    <t>Wien</t>
  </si>
  <si>
    <t>Salzburg</t>
  </si>
  <si>
    <t>Mondsee</t>
  </si>
  <si>
    <t>Garsten</t>
  </si>
  <si>
    <t>Sutri</t>
  </si>
  <si>
    <t>St. Florian</t>
  </si>
  <si>
    <t>Süddeutschland</t>
  </si>
  <si>
    <t>Italien ?</t>
  </si>
  <si>
    <t>Österreich</t>
  </si>
  <si>
    <t>Lambach</t>
  </si>
  <si>
    <t>Österreich ?</t>
  </si>
  <si>
    <t>Nordfrankreich ?</t>
  </si>
  <si>
    <t>Salzburg ?</t>
  </si>
  <si>
    <t>Frankreich</t>
  </si>
  <si>
    <t>Vorau</t>
  </si>
  <si>
    <t>Reun</t>
  </si>
  <si>
    <t>Wien, Österreichische Nationalbibliothek (ÖNB), Cod. 89</t>
  </si>
  <si>
    <t>Wien, Österreichische Nationalbibliothek (ÖNB), Cod. 12696</t>
  </si>
  <si>
    <t>Wien, Österreichische Nationalbibliothek (ÖNB), Cod. 1193</t>
  </si>
  <si>
    <t>Wien, Österreichische Nationalbibliothek (ÖNB), Cod. 1063</t>
  </si>
  <si>
    <t>Wien, Österreichische Nationalbibliothek (ÖNB), Cod. 375</t>
  </si>
  <si>
    <t>Kremsmünster</t>
  </si>
  <si>
    <t>Wien, Österreichische Nationalbibliothek (ÖNB), Cod. 275</t>
  </si>
  <si>
    <t>Wien, Österreichische Nationalbibliothek (ÖNB), Cod. 568</t>
  </si>
  <si>
    <t>Wien, Österreichische Nationalbibliothek (ÖNB), Cod. 363</t>
  </si>
  <si>
    <t>Wien, Österreichische Nationalbibliothek (ÖNB), Cod. 294</t>
  </si>
  <si>
    <t>Wien, Österreichische Nationalbibliothek (ÖNB), Cod. 2297</t>
  </si>
  <si>
    <t>Wien, Österreichische Nationalbibliothek (ÖNB), Cod. 352</t>
  </si>
  <si>
    <t>Wien, Österreichische Nationalbibliothek (ÖNB), Cod. 340</t>
  </si>
  <si>
    <t>Wien, Österreichische Nationalbibliothek (ÖNB), Cod. 373</t>
  </si>
  <si>
    <t>Wien, Österreichische Nationalbibliothek (ÖNB), Cod. 731</t>
  </si>
  <si>
    <t>Wien, Österreichische Nationalbibliothek (ÖNB), Cod. 1115</t>
  </si>
  <si>
    <t>Wien, Österreichische Nationalbibliothek (ÖNB), Cod. 2192</t>
  </si>
  <si>
    <t>Wien, Österreichische Nationalbibliothek (ÖNB), Cod. Ser. n. 2692</t>
  </si>
  <si>
    <t>Wien, Österreichische Nationalbibliothek (ÖNB), Cod. 926</t>
  </si>
  <si>
    <t>Wien, Österreichische Nationalbibliothek (ÖNB), Cod. 2691</t>
  </si>
  <si>
    <t>Wien, Österreichische Nationalbibliothek (ÖNB), Cod. 389</t>
  </si>
  <si>
    <t>Wien, Österreichische Nationalbibliothek (ÖNB), Cod. 2499</t>
  </si>
  <si>
    <t>Wien, Österreichische Nationalbibliothek (ÖNB), Cod. 604</t>
  </si>
  <si>
    <t>Wien, Österreichische Nationalbibliothek (ÖNB), Cod. 2395</t>
  </si>
  <si>
    <t>Wien, Österreichische Nationalbibliothek (ÖNB), Cod. 2516</t>
  </si>
  <si>
    <t>Wien, Österreichische Nationalbibliothek (ÖNB), Cod. 2281</t>
  </si>
  <si>
    <t>Wien, Österreichische Nationalbibliothek (ÖNB), Cod. 2315</t>
  </si>
  <si>
    <t xml:space="preserve"> 958-991</t>
  </si>
  <si>
    <t xml:space="preserve"> 991-1023 </t>
  </si>
  <si>
    <t xml:space="preserve"> 1180-1183 </t>
  </si>
  <si>
    <t xml:space="preserve"> c. 1268</t>
  </si>
  <si>
    <t xml:space="preserve"> c. 1269 </t>
  </si>
  <si>
    <t xml:space="preserve"> c. 1297/98 </t>
  </si>
  <si>
    <t xml:space="preserve"> c. 1300 </t>
  </si>
  <si>
    <t>Rome II 2</t>
  </si>
  <si>
    <t>Maulbronn</t>
  </si>
  <si>
    <t>Neubourg (Dauendorf)</t>
  </si>
  <si>
    <t>St. Gallen, Switserland</t>
  </si>
  <si>
    <t>Mainz?</t>
  </si>
  <si>
    <t>Reichenau</t>
  </si>
  <si>
    <t>S-France (Monpolier)/N-Sp</t>
  </si>
  <si>
    <t>N-France</t>
  </si>
  <si>
    <t>Altenberg</t>
  </si>
  <si>
    <t>Montpellier?</t>
  </si>
  <si>
    <t>c. 1106</t>
  </si>
  <si>
    <t>SW-Germany</t>
  </si>
  <si>
    <t>1181-1188</t>
  </si>
  <si>
    <t>1099/1100-1105/1106</t>
  </si>
  <si>
    <t>Bamberg</t>
  </si>
  <si>
    <t xml:space="preserve">S-France </t>
  </si>
  <si>
    <t>Raitenhaslach</t>
  </si>
  <si>
    <t>1158, 1165</t>
  </si>
  <si>
    <t>Prüfening</t>
  </si>
  <si>
    <t>Scheyern</t>
  </si>
  <si>
    <t>Windberg</t>
  </si>
  <si>
    <t>Aldersbach</t>
  </si>
  <si>
    <t>1263–1288</t>
  </si>
  <si>
    <t>Nördlingen</t>
  </si>
  <si>
    <t>Kaisheim</t>
  </si>
  <si>
    <t>Rieti</t>
  </si>
  <si>
    <t>N-Italy</t>
  </si>
  <si>
    <t>Sw I 455</t>
  </si>
  <si>
    <t>c. 1282</t>
  </si>
  <si>
    <t>Sw I 615</t>
  </si>
  <si>
    <t>Basel, UB, D III 6</t>
  </si>
  <si>
    <t>Basel, UB, O IV 35</t>
  </si>
  <si>
    <t>Basel, UB, A N IV 3</t>
  </si>
  <si>
    <t>Rottweil?</t>
  </si>
  <si>
    <t>Sw I 633</t>
  </si>
  <si>
    <t>972-993</t>
  </si>
  <si>
    <t>1254-1277</t>
  </si>
  <si>
    <t>St. Gallen, Kantonsbibliothek (Vadiana), 299</t>
  </si>
  <si>
    <t>Rome?</t>
  </si>
  <si>
    <t>Solothurn, Kirschenschatz St. Ursen, U 1</t>
  </si>
  <si>
    <t>Zürich, Zentralbibliothek, C 8b [ff. 1rv, 3-13v]</t>
  </si>
  <si>
    <t>Zürich, Zentralbibliothek, Car C 33</t>
  </si>
  <si>
    <t>Zürich, Zentralbibliothek, Car C 175</t>
  </si>
  <si>
    <t>Wettingen</t>
  </si>
  <si>
    <t>Zürich, Zentralbibliothek, Rh 85</t>
  </si>
  <si>
    <t>Schaffhausen</t>
  </si>
  <si>
    <t>911 (?)</t>
  </si>
  <si>
    <t>1143/44</t>
  </si>
  <si>
    <t>1147-1178</t>
  </si>
  <si>
    <t>1178-1197</t>
  </si>
  <si>
    <t>1178-1223</t>
  </si>
  <si>
    <t>1195-1197</t>
  </si>
  <si>
    <t>1197-1223</t>
  </si>
  <si>
    <t>1234-1243</t>
  </si>
  <si>
    <t>1250-1276</t>
  </si>
  <si>
    <t>Sw III 403</t>
  </si>
  <si>
    <t>Sw III 702</t>
  </si>
  <si>
    <t>Sw III 590</t>
  </si>
  <si>
    <t>Sw III 473</t>
  </si>
  <si>
    <t>Sw III 615</t>
  </si>
  <si>
    <t>Sw III 15</t>
  </si>
  <si>
    <t>Bern, Burgerbibliothek, 87</t>
  </si>
  <si>
    <t>Sw I abb. 1</t>
  </si>
  <si>
    <t>Bern, Burgerbibliothek, 120 II</t>
  </si>
  <si>
    <t>Bern, Burgerbibliothek, 183</t>
  </si>
  <si>
    <t>Bern, Burgerbibliothek, 216 [ff. 1-42v]</t>
  </si>
  <si>
    <t>Bern, Burgerbibliothek, 226</t>
  </si>
  <si>
    <t>Disibodenberg</t>
  </si>
  <si>
    <t>Bern, Burgerbibliothek, 236 [ff. 3-48v]</t>
  </si>
  <si>
    <t>Bern, Burgerbibliothek, 236 [ff. 49-182]</t>
  </si>
  <si>
    <t>Bern, Burgerbibliothek, 403</t>
  </si>
  <si>
    <t>Bern, Burgerbibliothek, 512 [ff. 1-37v, 40-97v]</t>
  </si>
  <si>
    <t>Cologny, Bibliothek Bodmeriana, 74</t>
  </si>
  <si>
    <t>Cologny, Bibliothek Bodmeriana, 161</t>
  </si>
  <si>
    <t>Einsiedeln, Stiftsbibliothek, 166/413</t>
  </si>
  <si>
    <t>Einsiedeln, Stiftsbibliothek, 240/641</t>
  </si>
  <si>
    <t>Einsiedeln, Stiftsbibliothek, 360/177 [ff. 1-47]</t>
  </si>
  <si>
    <t>Einsiedeln, Stiftsbibliothek, 629/258</t>
  </si>
  <si>
    <t>Engelberg, Stiftsbibliothek, 3</t>
  </si>
  <si>
    <t>Engelberg, Stiftsbibliothek, 5</t>
  </si>
  <si>
    <t>Engelberg, Stiftsbibliothek, 13</t>
  </si>
  <si>
    <t>Engelberg, Stiftsbibliothek, 14</t>
  </si>
  <si>
    <t>Engelberg, Stiftsbibliothek, 15</t>
  </si>
  <si>
    <t>Engelberg, Stiftsbibliothek, 16</t>
  </si>
  <si>
    <t>Engelberg, Stiftsbibliothek, 18</t>
  </si>
  <si>
    <t>Engelberg, Stiftsbibliothek, 19</t>
  </si>
  <si>
    <t>Engelberg, Stiftsbibliothek, 20</t>
  </si>
  <si>
    <t>Engelberg, Stiftsbibliothek, 21</t>
  </si>
  <si>
    <t>Engelberg, Stiftsbibliothek, 22</t>
  </si>
  <si>
    <t>Engelberg, Stiftsbibliothek, 23</t>
  </si>
  <si>
    <t>Engelberg, Stiftsbibliothek, 32</t>
  </si>
  <si>
    <t>Engelberg, Stiftsbibliothek, 35</t>
  </si>
  <si>
    <t>Engelberg, Stiftsbibliothek, 37</t>
  </si>
  <si>
    <t>Engelberg, Stiftsbibliothek, 39</t>
  </si>
  <si>
    <t>Engelberg, Stiftsbibliothek, 46</t>
  </si>
  <si>
    <t>Engelberg, Stiftsbibliothek, 47</t>
  </si>
  <si>
    <t>Engelberg, Stiftsbibliothek, 48</t>
  </si>
  <si>
    <t>Engelberg, Stiftsbibliothek, 49</t>
  </si>
  <si>
    <t>Engelberg, Stiftsbibliothek, 64</t>
  </si>
  <si>
    <t>Engelberg, Stiftsbibliothek, 65</t>
  </si>
  <si>
    <t>Engelberg, Stiftsbibliothek, 67</t>
  </si>
  <si>
    <t>Engelberg, Stiftsbibliothek, 68</t>
  </si>
  <si>
    <t>Engelberg, Stiftsbibliothek, 72</t>
  </si>
  <si>
    <t>Engelberg, Stiftsbibliothek, 76</t>
  </si>
  <si>
    <t>Engelberg, Stiftsbibliothek, 86</t>
  </si>
  <si>
    <t>Engelberg, Stiftsbibliothek, 87</t>
  </si>
  <si>
    <t>Engelberg, Stiftsbibliothek, 88</t>
  </si>
  <si>
    <t>Engelberg, Stiftsbibliothek, 4 [ff. 3-115, 117-196]</t>
  </si>
  <si>
    <t>Engelberg, Stiftsbibliothek, 4 [ff. 197-213]</t>
  </si>
  <si>
    <t>Engelberg, Stiftsbibliothek, 9 [ff. 2-10v]</t>
  </si>
  <si>
    <t>Engelberg, Stiftsbibliothek, 12 [ff. 24-45v]</t>
  </si>
  <si>
    <t>Engelberg, Stiftsbibliothek, 102 [ff. 1-70, 73-151]</t>
  </si>
  <si>
    <t>Engelberg, Stiftsbibliothek, 115 [ff. ?]</t>
  </si>
  <si>
    <t xml:space="preserve">1203 ? </t>
  </si>
  <si>
    <t>Engelberg, Stiftsbibliothek, 117</t>
  </si>
  <si>
    <t>Engelberg, Stiftsbibliothek, 139</t>
  </si>
  <si>
    <t>Engelberg, Stiftsbibliothek, 146</t>
  </si>
  <si>
    <t>Engelberg, Stiftsbibliothek, 1005</t>
  </si>
  <si>
    <t>Engelberg, Stiftsbibliothek, 1007</t>
  </si>
  <si>
    <t>Engelberg, Stiftsbibliothek, 1008</t>
  </si>
  <si>
    <t>Engelberg, Stiftsbibliothek, 1009</t>
  </si>
  <si>
    <t>Lausanne, Museé Historique de l'Ancien Eveche, Ms. N.c.</t>
  </si>
  <si>
    <t>Sw II 28</t>
  </si>
  <si>
    <t>Sw II 32</t>
  </si>
  <si>
    <t>Sw II 36</t>
  </si>
  <si>
    <t>Sw II 40</t>
  </si>
  <si>
    <t>Sw II 44</t>
  </si>
  <si>
    <t>Sw II 45</t>
  </si>
  <si>
    <t>Sw II 49</t>
  </si>
  <si>
    <t>Sw II 54</t>
  </si>
  <si>
    <t>Sw II 111</t>
  </si>
  <si>
    <t>Sw II 122</t>
  </si>
  <si>
    <t>Sw II 140</t>
  </si>
  <si>
    <t>Sw II 156</t>
  </si>
  <si>
    <t>Sw II 175</t>
  </si>
  <si>
    <t>Sw II 184</t>
  </si>
  <si>
    <t>Sw II 223</t>
  </si>
  <si>
    <t>Sw II 224</t>
  </si>
  <si>
    <t>Sw II 225</t>
  </si>
  <si>
    <t>Sw II 226</t>
  </si>
  <si>
    <t>Sw II 227</t>
  </si>
  <si>
    <t>Sw II 228</t>
  </si>
  <si>
    <t>Sw II 229</t>
  </si>
  <si>
    <t>Sw II 230</t>
  </si>
  <si>
    <t>Sw II 231</t>
  </si>
  <si>
    <t>Sw II 232</t>
  </si>
  <si>
    <t>Sw II 233</t>
  </si>
  <si>
    <t>Sw II 234</t>
  </si>
  <si>
    <t>Sw II 235</t>
  </si>
  <si>
    <t>Sw II 236</t>
  </si>
  <si>
    <t>Sw II 237</t>
  </si>
  <si>
    <t>Sw II 239</t>
  </si>
  <si>
    <t>Sw II 240</t>
  </si>
  <si>
    <t>Sw II 241</t>
  </si>
  <si>
    <t>Sw II 242</t>
  </si>
  <si>
    <t>Sw II 243</t>
  </si>
  <si>
    <t>Sw II 244</t>
  </si>
  <si>
    <t>Sw II 245</t>
  </si>
  <si>
    <t>Sw II 246</t>
  </si>
  <si>
    <t>Sw II 247</t>
  </si>
  <si>
    <t>Sw II 248</t>
  </si>
  <si>
    <t>Sw II 249</t>
  </si>
  <si>
    <t>Sw II 250</t>
  </si>
  <si>
    <t>Sw II 251</t>
  </si>
  <si>
    <t>Sw II 252</t>
  </si>
  <si>
    <t>Sw II 253</t>
  </si>
  <si>
    <t>Sw II 254</t>
  </si>
  <si>
    <t>Sw II 255</t>
  </si>
  <si>
    <t>Sw II 257</t>
  </si>
  <si>
    <t>Sw II 259</t>
  </si>
  <si>
    <t>Sw II 260</t>
  </si>
  <si>
    <t>Sw II 265</t>
  </si>
  <si>
    <t>Sw II 266</t>
  </si>
  <si>
    <t>Sw II 309</t>
  </si>
  <si>
    <t>Sw II 310</t>
  </si>
  <si>
    <t>Sw II 311</t>
  </si>
  <si>
    <t>Sw II 312</t>
  </si>
  <si>
    <t>Sw II 447</t>
  </si>
  <si>
    <t>Sw II abb. 14</t>
  </si>
  <si>
    <t>Sw II abb. 93</t>
  </si>
  <si>
    <t>Sw II abb. 102</t>
  </si>
  <si>
    <t>Sw II abb. 16-17</t>
  </si>
  <si>
    <t>Sw II abb. 104</t>
  </si>
  <si>
    <t>Sw II abb. 106</t>
  </si>
  <si>
    <t>Sw II abb. 15</t>
  </si>
  <si>
    <t>Sw II abb. 103</t>
  </si>
  <si>
    <t>Sw II abb. 78-79</t>
  </si>
  <si>
    <t>Sw II abb. 81-83</t>
  </si>
  <si>
    <t>Sw II abb. 80</t>
  </si>
  <si>
    <t>Sw II abb. 105</t>
  </si>
  <si>
    <t>Sw II abb. 19-21</t>
  </si>
  <si>
    <t>Sw II abb. 19, 22-25</t>
  </si>
  <si>
    <t>Sw II abb. 18, 20-21</t>
  </si>
  <si>
    <t>Sw II abb. 18-21</t>
  </si>
  <si>
    <t>Sw II abb. 84-85</t>
  </si>
  <si>
    <t>Sw II abb. 26-27</t>
  </si>
  <si>
    <t>Sw II abb. 28</t>
  </si>
  <si>
    <t>Sw II abb. 92</t>
  </si>
  <si>
    <t>Sw II abb. 29</t>
  </si>
  <si>
    <t>Sw II abb. 30-31</t>
  </si>
  <si>
    <t>Sw II abb. 32-33</t>
  </si>
  <si>
    <t>Sw II abb. 34-37</t>
  </si>
  <si>
    <t>Sw II abb. 38-42</t>
  </si>
  <si>
    <t>Sw II abb. 43, 46</t>
  </si>
  <si>
    <t>Sw II abb. 44</t>
  </si>
  <si>
    <t>Sw II abb. 45</t>
  </si>
  <si>
    <t>Sw II abb. 47-48</t>
  </si>
  <si>
    <t>Sw II abb. 86-88</t>
  </si>
  <si>
    <t>Sw II abb. 89</t>
  </si>
  <si>
    <t>Sw II abb. 100</t>
  </si>
  <si>
    <t>Sw II abb. 49-51</t>
  </si>
  <si>
    <t>Sw II abb. 52-54</t>
  </si>
  <si>
    <t>Sw II abb. 54, 56</t>
  </si>
  <si>
    <t>Sw II abb. 57</t>
  </si>
  <si>
    <t>Sw II abb. 58</t>
  </si>
  <si>
    <t>Sw II abb. 59-60</t>
  </si>
  <si>
    <t>Sw II abb. 94-95</t>
  </si>
  <si>
    <t>Sw II abb. 90-91</t>
  </si>
  <si>
    <t>Sw II abb. 98-99</t>
  </si>
  <si>
    <t>Sw II abb. 64-65</t>
  </si>
  <si>
    <t>Sw II abb. 101</t>
  </si>
  <si>
    <t>Sw II abb. 61-62</t>
  </si>
  <si>
    <t>Sw II abb. 63</t>
  </si>
  <si>
    <t>Sw II abb. 66</t>
  </si>
  <si>
    <t>Sw II abb. 108</t>
  </si>
  <si>
    <t>Sw II abb. 96</t>
  </si>
  <si>
    <t>Sw II abb. 67</t>
  </si>
  <si>
    <t>Sw II abb. 68</t>
  </si>
  <si>
    <t>Sw II abb. 69-70</t>
  </si>
  <si>
    <t>Sw II abb. 71-73</t>
  </si>
  <si>
    <t>Sw II abb. 74-76</t>
  </si>
  <si>
    <t>Sw II abb. 77</t>
  </si>
  <si>
    <t>Sw II abb. 97</t>
  </si>
  <si>
    <t>Sw II abb. 12-13</t>
  </si>
  <si>
    <t>Sw II abb. 9-11</t>
  </si>
  <si>
    <t>Sw I abb. 2</t>
  </si>
  <si>
    <t>Sw I abb. 3</t>
  </si>
  <si>
    <t>Sw III abb. 23-24</t>
  </si>
  <si>
    <t>Sw II abb. 12</t>
  </si>
  <si>
    <t>Sw III abb. 17-20</t>
  </si>
  <si>
    <t>Sw III abb. 15-16, 22</t>
  </si>
  <si>
    <t>Sw III abb. 21</t>
  </si>
  <si>
    <t>Sw III abb. 13-14</t>
  </si>
  <si>
    <t>Zürich, Zentralbibliothek, Car. C 126</t>
  </si>
  <si>
    <t>Bern, Burgerbibliothek, 200</t>
  </si>
  <si>
    <t>Engelberg, Stiftsbibliothek, 43</t>
  </si>
  <si>
    <t>Wien, Österreichische Nationalbibliothek (ÖNB), Cod. 1028</t>
  </si>
  <si>
    <t>A III/1</t>
  </si>
  <si>
    <t>c. 1180</t>
  </si>
  <si>
    <t>Sittich-Zaticina</t>
  </si>
  <si>
    <t>Wien, Österreichische Nationalbibliothek (ÖNB), Cod. 650</t>
  </si>
  <si>
    <t>Wien, Österreichische Nationalbibliothek (ÖNB), Cod. 2325</t>
  </si>
  <si>
    <t>A VI add. 4</t>
  </si>
  <si>
    <t>A VII add. 45</t>
  </si>
  <si>
    <t>Graz, Universitätsbibliothek, Ms 1703/137</t>
  </si>
  <si>
    <t>Ragusa</t>
  </si>
  <si>
    <t>A VI</t>
  </si>
  <si>
    <t>A VI add. 3</t>
  </si>
  <si>
    <t>c. 934/935</t>
  </si>
  <si>
    <t>A V 146</t>
  </si>
  <si>
    <t>A V 147</t>
  </si>
  <si>
    <t>963-976</t>
  </si>
  <si>
    <t>A V 143</t>
  </si>
  <si>
    <t>1041-1060</t>
  </si>
  <si>
    <t>1156-1164</t>
  </si>
  <si>
    <t>A V 144</t>
  </si>
  <si>
    <t>A V 281</t>
  </si>
  <si>
    <r>
      <t xml:space="preserve">Schotten, Cod. 293 </t>
    </r>
    <r>
      <rPr>
        <sz val="8"/>
        <color theme="1"/>
        <rFont val="GlyphLessFont"/>
      </rPr>
      <t>(201)</t>
    </r>
  </si>
  <si>
    <t>A VII add. 9-10</t>
  </si>
  <si>
    <t>A VII add. 43-44</t>
  </si>
  <si>
    <t>A VI add. 1-2</t>
  </si>
  <si>
    <t xml:space="preserve"> 1106-1118</t>
  </si>
  <si>
    <t xml:space="preserve"> 1147-1164</t>
  </si>
  <si>
    <t xml:space="preserve"> 1166(?)-1169</t>
  </si>
  <si>
    <t xml:space="preserve"> 1185-1202</t>
  </si>
  <si>
    <t xml:space="preserve"> 1304/1305</t>
  </si>
  <si>
    <t xml:space="preserve"> 1169-1171</t>
  </si>
  <si>
    <t>Gröbming</t>
  </si>
  <si>
    <t>c. 1162</t>
  </si>
  <si>
    <t xml:space="preserve"> 1231-1241</t>
  </si>
  <si>
    <t xml:space="preserve"> 1202-1208</t>
  </si>
  <si>
    <t>Vorau/Admont</t>
  </si>
  <si>
    <t>Admont?</t>
  </si>
  <si>
    <t>Cahors</t>
  </si>
  <si>
    <t>Frankreich Lothringen?/Italien</t>
  </si>
  <si>
    <t>Oberitalien Bologna</t>
  </si>
  <si>
    <t>Seckau</t>
  </si>
  <si>
    <t>A VII 97</t>
  </si>
  <si>
    <t>A VII 10</t>
  </si>
  <si>
    <t>A VII 11</t>
  </si>
  <si>
    <t>A VII 255</t>
  </si>
  <si>
    <t>A VII 40</t>
  </si>
  <si>
    <t>A VII 92</t>
  </si>
  <si>
    <t>A VII 6</t>
  </si>
  <si>
    <t>A VII 260</t>
  </si>
  <si>
    <t>A VII 261</t>
  </si>
  <si>
    <t>A VII 215</t>
  </si>
  <si>
    <t>A VII 27</t>
  </si>
  <si>
    <t>A VII 68</t>
  </si>
  <si>
    <t>A VII 95</t>
  </si>
  <si>
    <t>A VII 66</t>
  </si>
  <si>
    <t>A VII 219</t>
  </si>
  <si>
    <t>A VII 16</t>
  </si>
  <si>
    <t>A VII 220</t>
  </si>
  <si>
    <t>A VII 122</t>
  </si>
  <si>
    <t>Bologna / Padua</t>
  </si>
  <si>
    <t>A VII add. 32-33</t>
  </si>
  <si>
    <t>A VII add. 34-38</t>
  </si>
  <si>
    <t>A I add. 17</t>
  </si>
  <si>
    <t>A I add. 18</t>
  </si>
  <si>
    <t>A I add. 21-23</t>
  </si>
  <si>
    <t>A I add. 24</t>
  </si>
  <si>
    <t>A I add. 27</t>
  </si>
  <si>
    <t>A I add. 28</t>
  </si>
  <si>
    <t>A I add. 29</t>
  </si>
  <si>
    <t>A I add. 30</t>
  </si>
  <si>
    <t>A I add. 37</t>
  </si>
  <si>
    <t>A I add. 38</t>
  </si>
  <si>
    <t>A I add. 39</t>
  </si>
  <si>
    <t>A I add. 40</t>
  </si>
  <si>
    <t>A I add. 41</t>
  </si>
  <si>
    <t>A I add. 43</t>
  </si>
  <si>
    <t>A I add. 45</t>
  </si>
  <si>
    <t>A I add. 46</t>
  </si>
  <si>
    <t>A I add. 47</t>
  </si>
  <si>
    <t>A I add. 48</t>
  </si>
  <si>
    <t>A I add. 49</t>
  </si>
  <si>
    <t>A I add. 50</t>
  </si>
  <si>
    <t>A I add. 51</t>
  </si>
  <si>
    <t>A I add. 52</t>
  </si>
  <si>
    <t>A I add. 53</t>
  </si>
  <si>
    <t>A I add. 54</t>
  </si>
  <si>
    <t>A I add. 55</t>
  </si>
  <si>
    <t>A I add. 56</t>
  </si>
  <si>
    <t>A I add. 57</t>
  </si>
  <si>
    <t>A I add. 58</t>
  </si>
  <si>
    <t>A I add. 60</t>
  </si>
  <si>
    <t>A I add. 61</t>
  </si>
  <si>
    <t>A I add. 63</t>
  </si>
  <si>
    <t>A I add. 64</t>
  </si>
  <si>
    <t xml:space="preserve">A IV/2 add. 478 </t>
  </si>
  <si>
    <t xml:space="preserve">A IV/2 add. 479 </t>
  </si>
  <si>
    <t>A V/2 add. 1-3</t>
  </si>
  <si>
    <t>A V/2 add. 15-18</t>
  </si>
  <si>
    <t>A V/2 add. 21</t>
  </si>
  <si>
    <t>A V/2 add. 4</t>
  </si>
  <si>
    <t>A V/2 add. 9-12</t>
  </si>
  <si>
    <t>A VII add. 1-2</t>
  </si>
  <si>
    <t>A VII add. 11-28</t>
  </si>
  <si>
    <t>A VII add. 27-28</t>
  </si>
  <si>
    <t>A VII add. 3</t>
  </si>
  <si>
    <t>A VII add. 39</t>
  </si>
  <si>
    <t>A VII add. 4</t>
  </si>
  <si>
    <t>A VII add. 40</t>
  </si>
  <si>
    <t>A VII add. 41</t>
  </si>
  <si>
    <t>A VII add. 42</t>
  </si>
  <si>
    <t>A VII add. 46</t>
  </si>
  <si>
    <t>A VII add. 47</t>
  </si>
  <si>
    <t>A VII add. 48-49</t>
  </si>
  <si>
    <t>A VII add. 5-8</t>
  </si>
  <si>
    <t>A VII add. 50</t>
  </si>
  <si>
    <t>A VII add. 51</t>
  </si>
  <si>
    <t>A VII add. 53</t>
  </si>
  <si>
    <t>A I add. 59</t>
  </si>
  <si>
    <t>Wien, Haus-, Hof- und Staatsarchiv, Cod. R 42 (Böhm 339) [ff. 5-10]</t>
  </si>
  <si>
    <t>Wien, Haus-, Hof- und Staatsarchiv, Cod. R 41 (Böhm 338)</t>
  </si>
  <si>
    <t>Wien, Haus-, Hof- und Staatsarchiv, Cod. B 107 (Böhm 341) [ff. 9-32]</t>
  </si>
  <si>
    <t>Wien, Haus-, Hof- und Staatsarchiv, Cod. B 105 (Böhm 337)</t>
  </si>
  <si>
    <t>Admont, Benediktinerstift, Cod. 124</t>
  </si>
  <si>
    <t>Admont, Benediktinerstift, Cod. 184</t>
  </si>
  <si>
    <t>Admont, Benediktinerstift, Cod. 36</t>
  </si>
  <si>
    <t>Admont, Benediktinerstift, Cod. 434</t>
  </si>
  <si>
    <t>Admont, Benediktinerstift, Cod. 475 [ff. 1-29r]</t>
  </si>
  <si>
    <t>Admont, Benediktinerstift, Cod. 475 [ff. 30r-?]</t>
  </si>
  <si>
    <t>Admont, Benediktinerstift, Cod. 686a</t>
  </si>
  <si>
    <t>Admont, Benediktinerstift, Cod. 735</t>
  </si>
  <si>
    <t>Vorau, Augustiner-Chorherrenstift, Cod. 261</t>
  </si>
  <si>
    <t>Vorau, Augustiner-Chorherrenstift, Cod. 276</t>
  </si>
  <si>
    <t>Vorau, Augustiner-Chorherrenstift, Cod. 277</t>
  </si>
  <si>
    <t>Vorau, Augustiner-Chorherrenstift, Cod. 33</t>
  </si>
  <si>
    <t>Vorau, Augustiner-Chorherrenstift, Cod. 77</t>
  </si>
  <si>
    <t>Vorau, Augustiner-Chorherrenstift, Cod. 85</t>
  </si>
  <si>
    <t>Admont, Benediktinerstift, Cod. 52</t>
  </si>
  <si>
    <t>Graz, Landesarchiv, Hs 51</t>
  </si>
  <si>
    <t>shelf_full</t>
  </si>
  <si>
    <t>Wellesley College, MS 11</t>
  </si>
  <si>
    <t>University of Pennsylvania, Ms. Codex 80</t>
  </si>
  <si>
    <t>University of California, Berkeley, BANC MS UCB 4</t>
  </si>
  <si>
    <t xml:space="preserve"> The Huntington Library, Art Museum, and Botanical Gardens, mss HM 65</t>
  </si>
  <si>
    <t>DS</t>
  </si>
  <si>
    <t>Engelberg</t>
  </si>
  <si>
    <t>1143-1178</t>
  </si>
  <si>
    <t>Luxeuil</t>
  </si>
  <si>
    <t>Ashkenaz</t>
  </si>
  <si>
    <t>1143-1197</t>
  </si>
  <si>
    <t>1080-1096</t>
  </si>
  <si>
    <t>Schaffhausen, Allerheiligen</t>
  </si>
  <si>
    <t>[Ashkenaz] Sierre?</t>
  </si>
  <si>
    <t>Sepharad (Catalonia ?)</t>
  </si>
  <si>
    <t>It Sud</t>
  </si>
  <si>
    <t>It 2</t>
  </si>
  <si>
    <t>1245-1250</t>
  </si>
  <si>
    <t>spec_loc</t>
  </si>
  <si>
    <t>Marsiglia</t>
  </si>
  <si>
    <t>Roma</t>
  </si>
  <si>
    <t>Vercelli</t>
  </si>
  <si>
    <t>Viterbo</t>
  </si>
  <si>
    <t xml:space="preserve">loc </t>
  </si>
  <si>
    <t>loc_simp</t>
  </si>
  <si>
    <t xml:space="preserve">Abingdon, </t>
  </si>
  <si>
    <t xml:space="preserve">Arles s/Tech, </t>
  </si>
  <si>
    <t xml:space="preserve">Bec Helluin (Le), </t>
  </si>
  <si>
    <t xml:space="preserve">Belval, </t>
  </si>
  <si>
    <t xml:space="preserve">Bonport, </t>
  </si>
  <si>
    <t xml:space="preserve">Bonvaux, </t>
  </si>
  <si>
    <t xml:space="preserve">Cadouin, </t>
  </si>
  <si>
    <t xml:space="preserve">Cîteaux, </t>
  </si>
  <si>
    <t xml:space="preserve">Clairvaux, </t>
  </si>
  <si>
    <t xml:space="preserve">Ferté s/Grosne (La), </t>
  </si>
  <si>
    <t xml:space="preserve">Fontmorigny, </t>
  </si>
  <si>
    <t xml:space="preserve">Gimont, </t>
  </si>
  <si>
    <t xml:space="preserve">Grandselve, </t>
  </si>
  <si>
    <t xml:space="preserve">Himmerod, </t>
  </si>
  <si>
    <t xml:space="preserve">Nogent s/Coucy, </t>
  </si>
  <si>
    <t xml:space="preserve">Pontlevoy, </t>
  </si>
  <si>
    <t xml:space="preserve">Schuttern </t>
  </si>
  <si>
    <t xml:space="preserve">Selby, </t>
  </si>
  <si>
    <t xml:space="preserve">Signy, </t>
  </si>
  <si>
    <t>Troyes,  aux Nonnains</t>
  </si>
  <si>
    <t xml:space="preserve">Variville, </t>
  </si>
  <si>
    <t>Abingdon , England</t>
  </si>
  <si>
    <t>Acquanegra , Italy</t>
  </si>
  <si>
    <t xml:space="preserve">Admont </t>
  </si>
  <si>
    <t xml:space="preserve">Anagni  </t>
  </si>
  <si>
    <t>Aquileia( )</t>
  </si>
  <si>
    <t xml:space="preserve">Avignon  </t>
  </si>
  <si>
    <t>Beauvais [ ]</t>
  </si>
  <si>
    <t>Bologna , Italy</t>
  </si>
  <si>
    <t>Bourne , England</t>
  </si>
  <si>
    <t>Canterbury , England</t>
  </si>
  <si>
    <t xml:space="preserve">Cerrato, S.Pelayo  </t>
  </si>
  <si>
    <t xml:space="preserve">Chartres  </t>
  </si>
  <si>
    <t>Chester , England</t>
  </si>
  <si>
    <t>Cirencester , England</t>
  </si>
  <si>
    <t>Citeaux , France</t>
  </si>
  <si>
    <t xml:space="preserve">Clairvaux,   </t>
  </si>
  <si>
    <t xml:space="preserve">Cluny, S.Pierre  </t>
  </si>
  <si>
    <t xml:space="preserve">Colmar  </t>
  </si>
  <si>
    <t xml:space="preserve">Compiègne, S.Corneille  </t>
  </si>
  <si>
    <t>Dore , England</t>
  </si>
  <si>
    <t>Dover , England</t>
  </si>
  <si>
    <t>Durham , England</t>
  </si>
  <si>
    <t>Emly  &amp; Inisfallen, Ireland</t>
  </si>
  <si>
    <t>Fontaine-Jean , France</t>
  </si>
  <si>
    <t>France , Brabant (Villers )</t>
  </si>
  <si>
    <t>Gascony , France</t>
  </si>
  <si>
    <t xml:space="preserve">Grande Chartreuse  </t>
  </si>
  <si>
    <t>Gremona , Italy</t>
  </si>
  <si>
    <t>Hirsau , Germany</t>
  </si>
  <si>
    <t xml:space="preserve">Jumièges, S.Pierre  </t>
  </si>
  <si>
    <t>Konstanz , Germany</t>
  </si>
  <si>
    <t>Lichfield , England</t>
  </si>
  <si>
    <t>Lincoln , England</t>
  </si>
  <si>
    <t>Lodi , Italy</t>
  </si>
  <si>
    <t>London , England</t>
  </si>
  <si>
    <t>Lorvao , Portugal</t>
  </si>
  <si>
    <t xml:space="preserve">Mainz </t>
  </si>
  <si>
    <t xml:space="preserve">Mayence, Saint-Jacques </t>
  </si>
  <si>
    <t>Medingen , Germany</t>
  </si>
  <si>
    <t xml:space="preserve">Metz, S.Clément  </t>
  </si>
  <si>
    <t xml:space="preserve">Montpellier </t>
  </si>
  <si>
    <t>Morimondo , Italy</t>
  </si>
  <si>
    <t>Naples , Italy</t>
  </si>
  <si>
    <t>Oxford , England</t>
  </si>
  <si>
    <t xml:space="preserve">Paris  </t>
  </si>
  <si>
    <t xml:space="preserve">Paris, France </t>
  </si>
  <si>
    <t xml:space="preserve">Paris </t>
  </si>
  <si>
    <t>Paris , France</t>
  </si>
  <si>
    <t>Pontigny , France</t>
  </si>
  <si>
    <t>Porto , Italy (Kanonistisch)</t>
  </si>
  <si>
    <t>Ramsey , England</t>
  </si>
  <si>
    <t>Reading , England</t>
  </si>
  <si>
    <t>Regensburg , Germany</t>
  </si>
  <si>
    <t>Rievaulx , England</t>
  </si>
  <si>
    <t xml:space="preserve">Rome </t>
  </si>
  <si>
    <t xml:space="preserve">Rottweil </t>
  </si>
  <si>
    <t xml:space="preserve">Rouen  </t>
  </si>
  <si>
    <t>Rouen , France</t>
  </si>
  <si>
    <t xml:space="preserve">Rushen, Isle of Man </t>
  </si>
  <si>
    <t xml:space="preserve">S.Amand en Pévèle  </t>
  </si>
  <si>
    <t xml:space="preserve">S.Benoît s/Loire  </t>
  </si>
  <si>
    <t xml:space="preserve">S.Evroult d'Ouche  </t>
  </si>
  <si>
    <t xml:space="preserve">Salzburg  </t>
  </si>
  <si>
    <t>Salzburg , Austria</t>
  </si>
  <si>
    <t xml:space="preserve">Sarlat  </t>
  </si>
  <si>
    <t>Sepharad (Catalonia  )</t>
  </si>
  <si>
    <t>Sherborne , England</t>
  </si>
  <si>
    <t xml:space="preserve">Signy,   </t>
  </si>
  <si>
    <t>Soissons, Saint-Crépin-en-Chaye [ ]</t>
  </si>
  <si>
    <t>Southwark , England</t>
  </si>
  <si>
    <t xml:space="preserve">Tewkesbury,   </t>
  </si>
  <si>
    <t xml:space="preserve">Toulouse  </t>
  </si>
  <si>
    <t xml:space="preserve">Tours  </t>
  </si>
  <si>
    <t xml:space="preserve">Vendôme, S.Trinité  </t>
  </si>
  <si>
    <t>Veneto , Italy</t>
  </si>
  <si>
    <t>Venice , Italy</t>
  </si>
  <si>
    <t>Vich , Spain</t>
  </si>
  <si>
    <t>Waverley , England</t>
  </si>
  <si>
    <t xml:space="preserve">Werden  </t>
  </si>
  <si>
    <t>Westminster /St. Albans , England</t>
  </si>
  <si>
    <t>Worcester , England</t>
  </si>
  <si>
    <t>Worms , Germany</t>
  </si>
  <si>
    <t>York , England</t>
  </si>
  <si>
    <t>region</t>
  </si>
  <si>
    <t>country</t>
  </si>
  <si>
    <t>long</t>
  </si>
  <si>
    <t>lat</t>
  </si>
  <si>
    <t>Abingdon</t>
  </si>
  <si>
    <t>Oxfordshire, England</t>
  </si>
  <si>
    <t>Styria</t>
  </si>
  <si>
    <t>Austria</t>
  </si>
  <si>
    <t>La Rioja</t>
  </si>
  <si>
    <t>Spain</t>
  </si>
  <si>
    <t>Bavaria</t>
  </si>
  <si>
    <t>Alzey</t>
  </si>
  <si>
    <t>Rhineland-Palatinate</t>
  </si>
  <si>
    <t>Anagni</t>
  </si>
  <si>
    <t>Lazio</t>
  </si>
  <si>
    <t>Pays de la Loire</t>
  </si>
  <si>
    <t>-0.5632</t>
  </si>
  <si>
    <t>Aquileia</t>
  </si>
  <si>
    <t>Friuli-Venezia Giulia</t>
  </si>
  <si>
    <t>Arles s/Tech</t>
  </si>
  <si>
    <t>Pyr√©n√©es-Orientales</t>
  </si>
  <si>
    <t>Armagh</t>
  </si>
  <si>
    <t>Northern Ireland</t>
  </si>
  <si>
    <t>Arnstein</t>
  </si>
  <si>
    <t>Hauts-de-France</t>
  </si>
  <si>
    <t>Aurillac</t>
  </si>
  <si>
    <t>Auvergne-Rh√¥ne-Alpes</t>
  </si>
  <si>
    <t>Bourgogne-Franche-Comt√©</t>
  </si>
  <si>
    <t>Provence-Alpes-C√¥te d'Azur</t>
  </si>
  <si>
    <t xml:space="preserve">Avignon </t>
  </si>
  <si>
    <t>Barnwell</t>
  </si>
  <si>
    <t>Battle</t>
  </si>
  <si>
    <t>East Sussex</t>
  </si>
  <si>
    <t>0.4850</t>
  </si>
  <si>
    <t>Normandy</t>
  </si>
  <si>
    <t>-0.7020</t>
  </si>
  <si>
    <t>Bec Helluin (Le)</t>
  </si>
  <si>
    <t>Eure, Normandy</t>
  </si>
  <si>
    <t>0.7080</t>
  </si>
  <si>
    <t>Belval</t>
  </si>
  <si>
    <t>Besan√ßon</t>
  </si>
  <si>
    <t>Seine-Maritime, Normandy</t>
  </si>
  <si>
    <t>0.4040</t>
  </si>
  <si>
    <t>Emilia-Romagna</t>
  </si>
  <si>
    <t>Emilia-Romagna / Veneto</t>
  </si>
  <si>
    <t>Trentino-Alto Adige</t>
  </si>
  <si>
    <t>Bonport</t>
  </si>
  <si>
    <t>0.2590</t>
  </si>
  <si>
    <t>Tuscany</t>
  </si>
  <si>
    <t>Bourne</t>
  </si>
  <si>
    <t>Lincolnshire</t>
  </si>
  <si>
    <t>-0.3610</t>
  </si>
  <si>
    <t>Bredelar</t>
  </si>
  <si>
    <t>North Rhine-Westphalia</t>
  </si>
  <si>
    <t>Bruges</t>
  </si>
  <si>
    <t>West Flanders</t>
  </si>
  <si>
    <t>Buildwas</t>
  </si>
  <si>
    <t>Shropshire</t>
  </si>
  <si>
    <t>Bury St. Edmunds</t>
  </si>
  <si>
    <t>Suffolk</t>
  </si>
  <si>
    <t>0.7120</t>
  </si>
  <si>
    <t>Cadouin</t>
  </si>
  <si>
    <t>Dordogne</t>
  </si>
  <si>
    <t>0.8320</t>
  </si>
  <si>
    <t>Occitanie</t>
  </si>
  <si>
    <t>Cambridgeshire</t>
  </si>
  <si>
    <t>0.1218</t>
  </si>
  <si>
    <t>Canterbury</t>
  </si>
  <si>
    <t>Kent</t>
  </si>
  <si>
    <t>Cantorb√©ry</t>
  </si>
  <si>
    <t>Castle Hedingham</t>
  </si>
  <si>
    <t>Essex</t>
  </si>
  <si>
    <t>0.6440</t>
  </si>
  <si>
    <t>Cerne Abbas</t>
  </si>
  <si>
    <t>Dorset</t>
  </si>
  <si>
    <t>Ch√¢lons s/M., S.Pierre aux Monts</t>
  </si>
  <si>
    <t>Grand Est</t>
  </si>
  <si>
    <t>Chartres</t>
  </si>
  <si>
    <t>Centre-Val de Loire</t>
  </si>
  <si>
    <t>Chartres, S.Jean en Vall√©e</t>
  </si>
  <si>
    <t>Ch√¢tillon s/Seine</t>
  </si>
  <si>
    <t>Chester</t>
  </si>
  <si>
    <t>Cheshire</t>
  </si>
  <si>
    <t>West Sussex</t>
  </si>
  <si>
    <t>-0.7790</t>
  </si>
  <si>
    <t>Cirencester</t>
  </si>
  <si>
    <t>Gloucestershire</t>
  </si>
  <si>
    <t>C√Æteaux</t>
  </si>
  <si>
    <t>C√¥te-d'Or</t>
  </si>
  <si>
    <t>Citta di Castello</t>
  </si>
  <si>
    <t>Umbria</t>
  </si>
  <si>
    <t>Cluny</t>
  </si>
  <si>
    <t>Sa√¥ne-et-Loire</t>
  </si>
  <si>
    <t>Auvergne</t>
  </si>
  <si>
    <t>Colmar</t>
  </si>
  <si>
    <t>Compi√®gne</t>
  </si>
  <si>
    <t>Corbie</t>
  </si>
  <si>
    <t>Somme</t>
  </si>
  <si>
    <t>Corfe Castle</t>
  </si>
  <si>
    <t>Cornwall</t>
  </si>
  <si>
    <t>Crowland</t>
  </si>
  <si>
    <t>-0.1840</t>
  </si>
  <si>
    <t>Dijon</t>
  </si>
  <si>
    <t>dioc. Of Worcester</t>
  </si>
  <si>
    <t>Worcestershire</t>
  </si>
  <si>
    <t>Dover</t>
  </si>
  <si>
    <t>Durham</t>
  </si>
  <si>
    <t>County Durham</t>
  </si>
  <si>
    <t>Echternach</t>
  </si>
  <si>
    <t>Luxembourg</t>
  </si>
  <si>
    <t>Ely</t>
  </si>
  <si>
    <t>0.2620</t>
  </si>
  <si>
    <t>Obwalden</t>
  </si>
  <si>
    <t>Switzerland</t>
  </si>
  <si>
    <t>Eure</t>
  </si>
  <si>
    <t>Exeter</t>
  </si>
  <si>
    <t>Devon</t>
  </si>
  <si>
    <t>Eynsham</t>
  </si>
  <si>
    <t>Oxfordshire</t>
  </si>
  <si>
    <t>F√©camp</t>
  </si>
  <si>
    <t>Seine-Maritime</t>
  </si>
  <si>
    <t>0.3860</t>
  </si>
  <si>
    <t>Fert√© s/Grosne (La)</t>
  </si>
  <si>
    <t>Apulia</t>
  </si>
  <si>
    <t>Fontenay, Abbey</t>
  </si>
  <si>
    <t>Walloon Brabant</t>
  </si>
  <si>
    <t>Ghent</t>
  </si>
  <si>
    <t>East Flanders</t>
  </si>
  <si>
    <t>Gimont</t>
  </si>
  <si>
    <t>Gers</t>
  </si>
  <si>
    <t>0.8250</t>
  </si>
  <si>
    <t>Glastonbury</t>
  </si>
  <si>
    <t>Somerset</t>
  </si>
  <si>
    <t>Is√®re</t>
  </si>
  <si>
    <t>Gremona (Cremona)</t>
  </si>
  <si>
    <t>Lombardy</t>
  </si>
  <si>
    <t>Hirsau</t>
  </si>
  <si>
    <t>Baden-W√ºrttemberg</t>
  </si>
  <si>
    <t>Hyde Abbey (Winchester)</t>
  </si>
  <si>
    <t>Hampshire</t>
  </si>
  <si>
    <t>Jerusalem</t>
  </si>
  <si>
    <t>Jerusalem District</t>
  </si>
  <si>
    <t>Israel/Palestine</t>
  </si>
  <si>
    <t>Jumi√®ges</t>
  </si>
  <si>
    <t>0.8410</t>
  </si>
  <si>
    <t>Kremsm√ºnster</t>
  </si>
  <si>
    <t>Upper Austria</t>
  </si>
  <si>
    <t>Central Slovenia</t>
  </si>
  <si>
    <t>Slovenia</t>
  </si>
  <si>
    <t>Lesnes</t>
  </si>
  <si>
    <t>London Borough of Bexley</t>
  </si>
  <si>
    <t>0.1030</t>
  </si>
  <si>
    <t>Lichfield</t>
  </si>
  <si>
    <t>Staffordshire</t>
  </si>
  <si>
    <t>Li√®ge</t>
  </si>
  <si>
    <t>Wallonia</t>
  </si>
  <si>
    <t>Limoges</t>
  </si>
  <si>
    <t>Nouvelle-Aquitaine</t>
  </si>
  <si>
    <t>Lincoln</t>
  </si>
  <si>
    <t>-0.5400</t>
  </si>
  <si>
    <t>Llanbadarn Fawr</t>
  </si>
  <si>
    <t>Ceredigion</t>
  </si>
  <si>
    <t>Wales</t>
  </si>
  <si>
    <t>Lodi</t>
  </si>
  <si>
    <t>Greater London</t>
  </si>
  <si>
    <t>-0.1278</t>
  </si>
  <si>
    <t>Luxeuil-les-Bains</t>
  </si>
  <si>
    <t>Haute-Sa√¥ne</t>
  </si>
  <si>
    <t>Mainz (Magonza)</t>
  </si>
  <si>
    <t>Malmesbury</t>
  </si>
  <si>
    <t>Wiltshire</t>
  </si>
  <si>
    <t>Marseille (Marsiglia)</t>
  </si>
  <si>
    <t>Mayence, Saint-Jacques (Mainz)</t>
  </si>
  <si>
    <t>Medingen</t>
  </si>
  <si>
    <t>Lower Saxony</t>
  </si>
  <si>
    <t>√éle-de-France</t>
  </si>
  <si>
    <t>Metz</t>
  </si>
  <si>
    <t>Monte Cassino</t>
  </si>
  <si>
    <t>Morimondo</t>
  </si>
  <si>
    <t>Campania</t>
  </si>
  <si>
    <t>Bas-Rhin</t>
  </si>
  <si>
    <t>Newstead</t>
  </si>
  <si>
    <t>Nottinghamshire</t>
  </si>
  <si>
    <t>N√Æmes</t>
  </si>
  <si>
    <t>Nogent le Rotrou</t>
  </si>
  <si>
    <t>0.8720</t>
  </si>
  <si>
    <t>N√∂rdlingen</t>
  </si>
  <si>
    <t>Norwich</t>
  </si>
  <si>
    <t>Norfolk</t>
  </si>
  <si>
    <t>Noyon</t>
  </si>
  <si>
    <t>Orl√©ans</t>
  </si>
  <si>
    <t>Padova (Padua)</t>
  </si>
  <si>
    <t>Veneto</t>
  </si>
  <si>
    <t>Palermo (Palerme)</t>
  </si>
  <si>
    <t>Sicily</t>
  </si>
  <si>
    <t>Ponteigny (Pontigny)</t>
  </si>
  <si>
    <t>Reims</t>
  </si>
  <si>
    <t>Salisbury</t>
  </si>
  <si>
    <t>Sarlat-la-Can√©da</t>
  </si>
  <si>
    <t>Schaffhausen Canton</t>
  </si>
  <si>
    <t>Selby</t>
  </si>
  <si>
    <t>North Yorkshire</t>
  </si>
  <si>
    <t>Silos (Santo Domingo de Silos)</t>
  </si>
  <si>
    <t>Burgos</t>
  </si>
  <si>
    <t>Aisne</t>
  </si>
  <si>
    <t>St. Albans</t>
  </si>
  <si>
    <t>Hertfordshire</t>
  </si>
  <si>
    <t>-0.3350</t>
  </si>
  <si>
    <t>St. Gallen</t>
  </si>
  <si>
    <t>St. Gallen Canton</t>
  </si>
  <si>
    <t>0.6840</t>
  </si>
  <si>
    <t>Troyes</t>
  </si>
  <si>
    <t>Venice</t>
  </si>
  <si>
    <t>Walsingham</t>
  </si>
  <si>
    <t>0.8590</t>
  </si>
  <si>
    <t>Wells</t>
  </si>
  <si>
    <t>Worcester</t>
  </si>
  <si>
    <t>Worms</t>
  </si>
  <si>
    <t>W√ºrzburg</t>
  </si>
  <si>
    <t>York</t>
  </si>
  <si>
    <t>Zadar</t>
  </si>
  <si>
    <t>Zadar County</t>
  </si>
  <si>
    <t>Croatia</t>
  </si>
  <si>
    <t>Clairvaux</t>
  </si>
  <si>
    <t>Aube, Grand Est</t>
  </si>
  <si>
    <t>4.1800</t>
  </si>
  <si>
    <t>47.9830</t>
  </si>
  <si>
    <t>dioc. Of Bayeux</t>
  </si>
  <si>
    <t>Calvados, Normandy</t>
  </si>
  <si>
    <t>-0.7000</t>
  </si>
  <si>
    <t>49.2800</t>
  </si>
  <si>
    <t>dioc. Of Udine</t>
  </si>
  <si>
    <t>13.2350</t>
  </si>
  <si>
    <t>46.0700</t>
  </si>
  <si>
    <t>Diocese of Parma</t>
  </si>
  <si>
    <t>10.3279</t>
  </si>
  <si>
    <t>44.8015</t>
  </si>
  <si>
    <t>7.8600</t>
  </si>
  <si>
    <t>49.9000</t>
  </si>
  <si>
    <t>Ain, Auvergne-Rhône-Alpes</t>
  </si>
  <si>
    <t>5.1660</t>
  </si>
  <si>
    <t>46.0160</t>
  </si>
  <si>
    <t>Dore</t>
  </si>
  <si>
    <t>-3.0000</t>
  </si>
  <si>
    <t>51.0000</t>
  </si>
  <si>
    <t>Douai</t>
  </si>
  <si>
    <t>3.0800</t>
  </si>
  <si>
    <t>50.3710</t>
  </si>
  <si>
    <t>Ardennes, Grand Est</t>
  </si>
  <si>
    <t>4.3830</t>
  </si>
  <si>
    <t>49.6250</t>
  </si>
  <si>
    <t>Liège Province</t>
  </si>
  <si>
    <t>5.5660</t>
  </si>
  <si>
    <t>50.6330</t>
  </si>
  <si>
    <t>Fontaine-Jean</t>
  </si>
  <si>
    <t>4.3000</t>
  </si>
  <si>
    <t>48.0160</t>
  </si>
  <si>
    <t>Fonte Buono</t>
  </si>
  <si>
    <t>11.7660</t>
  </si>
  <si>
    <t>42.4660</t>
  </si>
  <si>
    <t>Freising (Friesing)</t>
  </si>
  <si>
    <t>11.7460</t>
  </si>
  <si>
    <t>48.4040</t>
  </si>
  <si>
    <t>14.3330</t>
  </si>
  <si>
    <t>48.1160</t>
  </si>
  <si>
    <t>Gascony</t>
  </si>
  <si>
    <t>Nouvelle-Aquitaine / Occitanie</t>
  </si>
  <si>
    <t>-0.5000</t>
  </si>
  <si>
    <t>44.0000</t>
  </si>
  <si>
    <t>Loire-Atlantique</t>
  </si>
  <si>
    <t>-1.4330</t>
  </si>
  <si>
    <t>47.1300</t>
  </si>
  <si>
    <t>Côte-d'Or</t>
  </si>
  <si>
    <t>5.2830</t>
  </si>
  <si>
    <t>47.2160</t>
  </si>
  <si>
    <t>10.4515</t>
  </si>
  <si>
    <t>51.1657</t>
  </si>
  <si>
    <t>Grandselve</t>
  </si>
  <si>
    <t>Haute-Garonne, Occitanie</t>
  </si>
  <si>
    <t>1.1330</t>
  </si>
  <si>
    <t>43.4000</t>
  </si>
  <si>
    <t>Gröbming</t>
  </si>
  <si>
    <t>13.7000</t>
  </si>
  <si>
    <t>47.5160</t>
  </si>
  <si>
    <t>Nord, Hauts-de-France</t>
  </si>
  <si>
    <t>3.7770</t>
  </si>
  <si>
    <t>50.1860</t>
  </si>
  <si>
    <t>Lower Austria</t>
  </si>
  <si>
    <t>16.2160</t>
  </si>
  <si>
    <t>48.0730</t>
  </si>
  <si>
    <t>Somme, Hauts-de-France</t>
  </si>
  <si>
    <t>2.3500</t>
  </si>
  <si>
    <t>49.9830</t>
  </si>
  <si>
    <t>Helmarshausen</t>
  </si>
  <si>
    <t>Hesse</t>
  </si>
  <si>
    <t>9.5520</t>
  </si>
  <si>
    <t>51.3280</t>
  </si>
  <si>
    <t>Himmerod</t>
  </si>
  <si>
    <t>6.8800</t>
  </si>
  <si>
    <t>50.1330</t>
  </si>
  <si>
    <t>Jodoigne (Geldenaken)</t>
  </si>
  <si>
    <t>4.9000</t>
  </si>
  <si>
    <t>50.7170</t>
  </si>
  <si>
    <t>Landevennec</t>
  </si>
  <si>
    <t>Finistère, Brittany</t>
  </si>
  <si>
    <t>-4.4830</t>
  </si>
  <si>
    <t>48.2080</t>
  </si>
  <si>
    <t>0.7075</t>
  </si>
  <si>
    <t>49.1830</t>
  </si>
  <si>
    <t>Meurthe-et-Moselle</t>
  </si>
  <si>
    <t>6.0100</t>
  </si>
  <si>
    <t>48.7000</t>
  </si>
  <si>
    <t>Lobbes</t>
  </si>
  <si>
    <t>Hainaut</t>
  </si>
  <si>
    <t>4.1660</t>
  </si>
  <si>
    <t>50.2500</t>
  </si>
  <si>
    <t>Magonza (Mainz)</t>
  </si>
  <si>
    <t>8.2473</t>
  </si>
  <si>
    <t>49.9929</t>
  </si>
  <si>
    <t>Le Mans (Mans)</t>
  </si>
  <si>
    <t>Sarthe, Pays de la Loire</t>
  </si>
  <si>
    <t>0.1996</t>
  </si>
  <si>
    <t>48.0061</t>
  </si>
  <si>
    <t>Baden-Württemberg</t>
  </si>
  <si>
    <t>9.5000</t>
  </si>
  <si>
    <t>48.8660</t>
  </si>
  <si>
    <t>Oise, Hauts-de-France</t>
  </si>
  <si>
    <t>2.1830</t>
  </si>
  <si>
    <t>49.3500</t>
  </si>
  <si>
    <t>Saône-et-Loire</t>
  </si>
  <si>
    <t>4.0570</t>
  </si>
  <si>
    <t>46.4560</t>
  </si>
  <si>
    <t>Marienthal (Dominicanes)</t>
  </si>
  <si>
    <t>7.7490</t>
  </si>
  <si>
    <t>48.9430</t>
  </si>
  <si>
    <t>Bas-Rhin, Grand Est</t>
  </si>
  <si>
    <t>7.5230</t>
  </si>
  <si>
    <t>48.7070</t>
  </si>
  <si>
    <t>8.8500</t>
  </si>
  <si>
    <t>48.9400</t>
  </si>
  <si>
    <t>Middle Rhineland</t>
  </si>
  <si>
    <t>Rheinland-Pfalz / North Rhine-Westphalia</t>
  </si>
  <si>
    <t>7.5000</t>
  </si>
  <si>
    <t>50.3000</t>
  </si>
  <si>
    <t>Alpes-de-Haute-Provence</t>
  </si>
  <si>
    <t>5.9160</t>
  </si>
  <si>
    <t>43.9610</t>
  </si>
  <si>
    <t>7.6000</t>
  </si>
  <si>
    <t>Modène (Modena)</t>
  </si>
  <si>
    <t>10.9260</t>
  </si>
  <si>
    <t>44.6471</t>
  </si>
  <si>
    <t>Moggio (Lombardy)</t>
  </si>
  <si>
    <t>9.7400</t>
  </si>
  <si>
    <t>45.9660</t>
  </si>
  <si>
    <t>Moissac</t>
  </si>
  <si>
    <t>Tarn-et-Garonne, Occitanie</t>
  </si>
  <si>
    <t>1.0500</t>
  </si>
  <si>
    <t>44.1050</t>
  </si>
  <si>
    <t>13.4160</t>
  </si>
  <si>
    <t>47.8330</t>
  </si>
  <si>
    <t>17.2960</t>
  </si>
  <si>
    <t>40.9550</t>
  </si>
  <si>
    <t>Mons</t>
  </si>
  <si>
    <t>3.9520</t>
  </si>
  <si>
    <t>50.4540</t>
  </si>
  <si>
    <t>Mont Saint-Michel</t>
  </si>
  <si>
    <t>Normandy/Brittany border</t>
  </si>
  <si>
    <t>-1.5110</t>
  </si>
  <si>
    <t>48.6360</t>
  </si>
  <si>
    <t>Marche</t>
  </si>
  <si>
    <t>13.3330</t>
  </si>
  <si>
    <t>43.4330</t>
  </si>
  <si>
    <t>Munsterbilsen (Munsterbilzen)</t>
  </si>
  <si>
    <t>Limburg</t>
  </si>
  <si>
    <t>5.3500</t>
  </si>
  <si>
    <t>50.8830</t>
  </si>
  <si>
    <t>Nogent s/Coucy</t>
  </si>
  <si>
    <t>Aisne, Hauts-de-France</t>
  </si>
  <si>
    <t>3.3330</t>
  </si>
  <si>
    <t>49.4830</t>
  </si>
  <si>
    <t>Novara (Novare)</t>
  </si>
  <si>
    <t>Piedmont</t>
  </si>
  <si>
    <t>8.6200</t>
  </si>
  <si>
    <t>45.4550</t>
  </si>
  <si>
    <t>Northern Italy</t>
  </si>
  <si>
    <t>10.0000</t>
  </si>
  <si>
    <t>45.0000</t>
  </si>
  <si>
    <t>11.3410</t>
  </si>
  <si>
    <t>44.4940</t>
  </si>
  <si>
    <t>Orvieto</t>
  </si>
  <si>
    <t>12.1125</t>
  </si>
  <si>
    <t>42.7184</t>
  </si>
  <si>
    <t>Osney</t>
  </si>
  <si>
    <t>-1.2700</t>
  </si>
  <si>
    <t>51.7480</t>
  </si>
  <si>
    <t>10.2830</t>
  </si>
  <si>
    <t>48.0870</t>
  </si>
  <si>
    <t>Padua (Padova)</t>
  </si>
  <si>
    <t>11.8768</t>
  </si>
  <si>
    <t>45.4064</t>
  </si>
  <si>
    <t>Pavia (Pavie)</t>
  </si>
  <si>
    <t>9.1582</t>
  </si>
  <si>
    <t>45.1847</t>
  </si>
  <si>
    <t>Peterborough</t>
  </si>
  <si>
    <t>-0.2400</t>
  </si>
  <si>
    <t>52.5710</t>
  </si>
  <si>
    <t>Piacenza</t>
  </si>
  <si>
    <t>9.7040</t>
  </si>
  <si>
    <t>45.0520</t>
  </si>
  <si>
    <t>Pistoia</t>
  </si>
  <si>
    <t>10.9170</t>
  </si>
  <si>
    <t>43.9350</t>
  </si>
  <si>
    <t>Plympton</t>
  </si>
  <si>
    <t>-3.8000</t>
  </si>
  <si>
    <t>50.4000</t>
  </si>
  <si>
    <t>Pohlde</t>
  </si>
  <si>
    <t>10.0660</t>
  </si>
  <si>
    <t>51.7500</t>
  </si>
  <si>
    <t>Polonia (Poland)</t>
  </si>
  <si>
    <t>Poland</t>
  </si>
  <si>
    <t>19.1450</t>
  </si>
  <si>
    <t>51.9194</t>
  </si>
  <si>
    <t>Pontlevoy</t>
  </si>
  <si>
    <t>Loir-et-Cher, Centre-Val de Loire</t>
  </si>
  <si>
    <t>1.3350</t>
  </si>
  <si>
    <t>47.3000</t>
  </si>
  <si>
    <t>Val-d'Oise, Île-de-France</t>
  </si>
  <si>
    <t>2.1000</t>
  </si>
  <si>
    <t>49.0560</t>
  </si>
  <si>
    <t>0.9000</t>
  </si>
  <si>
    <t>Prémontré, Saint-Jean-Baptiste</t>
  </si>
  <si>
    <t>3.7775</t>
  </si>
  <si>
    <t>49.6490</t>
  </si>
  <si>
    <t>11.9830</t>
  </si>
  <si>
    <t>49.0150</t>
  </si>
  <si>
    <t>6.5000</t>
  </si>
  <si>
    <t>50.2000</t>
  </si>
  <si>
    <t>Sicily (Ragusa) or Dubrovnik (Croatia)</t>
  </si>
  <si>
    <t>Italy/Croatia</t>
  </si>
  <si>
    <t>14.0160</t>
  </si>
  <si>
    <t>36.9230</t>
  </si>
  <si>
    <t>Upper Bavaria</t>
  </si>
  <si>
    <t>13.3000</t>
  </si>
  <si>
    <t>48.5000</t>
  </si>
  <si>
    <t>Ramsey</t>
  </si>
  <si>
    <t>Cambridgeshire?</t>
  </si>
  <si>
    <t>-0.1500</t>
  </si>
  <si>
    <t>53.2250</t>
  </si>
  <si>
    <t>Reading</t>
  </si>
  <si>
    <t>Berkshire</t>
  </si>
  <si>
    <t>-0.9730</t>
  </si>
  <si>
    <t>51.4540</t>
  </si>
  <si>
    <t>9.2680</t>
  </si>
  <si>
    <t>47.6880</t>
  </si>
  <si>
    <t>Rein (Rein Abbey)</t>
  </si>
  <si>
    <t>13.2000</t>
  </si>
  <si>
    <t>47.1660</t>
  </si>
  <si>
    <t>Vosges, Grand Est</t>
  </si>
  <si>
    <t>6.6880</t>
  </si>
  <si>
    <t>47.9400</t>
  </si>
  <si>
    <t>12.8600</t>
  </si>
  <si>
    <t>42.4020</t>
  </si>
  <si>
    <t>Rievaulx</t>
  </si>
  <si>
    <t>-1.2620</t>
  </si>
  <si>
    <t>54.3220</t>
  </si>
  <si>
    <t>Rochester</t>
  </si>
  <si>
    <t>0.4980</t>
  </si>
  <si>
    <t>51.3860</t>
  </si>
  <si>
    <t>Rottweil</t>
  </si>
  <si>
    <t>8.6180</t>
  </si>
  <si>
    <t>48.1610</t>
  </si>
  <si>
    <t>Rushen, Isle of Man</t>
  </si>
  <si>
    <t>Isle of Man</t>
  </si>
  <si>
    <t>-4.6000</t>
  </si>
  <si>
    <t>54.1180</t>
  </si>
  <si>
    <t>3.1280</t>
  </si>
  <si>
    <t>50.4040</t>
  </si>
  <si>
    <t>S.Benoît s/Loire (Saint-Benoît-sur-Loire)</t>
  </si>
  <si>
    <t>Loiret, Centre-Val de Loire</t>
  </si>
  <si>
    <t>2.4650</t>
  </si>
  <si>
    <t>47.9070</t>
  </si>
  <si>
    <t>S.Denis (Saint-Denis)</t>
  </si>
  <si>
    <t>Seine-Saint-Denis, Île-de-France</t>
  </si>
  <si>
    <t>2.3570</t>
  </si>
  <si>
    <t>48.9360</t>
  </si>
  <si>
    <t>-0.2160</t>
  </si>
  <si>
    <t>49.0600</t>
  </si>
  <si>
    <t>3.8330</t>
  </si>
  <si>
    <t>50.4830</t>
  </si>
  <si>
    <t>Gard, Occitanie</t>
  </si>
  <si>
    <t>4.0210</t>
  </si>
  <si>
    <t>43.6690</t>
  </si>
  <si>
    <t>Val-de-Marne, Île-de-France</t>
  </si>
  <si>
    <t>2.4950</t>
  </si>
  <si>
    <t>48.7880</t>
  </si>
  <si>
    <t>Meuse, Grand Est</t>
  </si>
  <si>
    <t>5.4070</t>
  </si>
  <si>
    <t>48.7900</t>
  </si>
  <si>
    <t>Allier, Auvergne-Rhône-Alpes</t>
  </si>
  <si>
    <t>46.4260</t>
  </si>
  <si>
    <t>3.5920</t>
  </si>
  <si>
    <t>50.3680</t>
  </si>
  <si>
    <t>S.Sever (Sainte-Sèvère?)</t>
  </si>
  <si>
    <t>Lot-et-Garonne, Nouvelle-Aquitaine</t>
  </si>
  <si>
    <t>0.2830</t>
  </si>
  <si>
    <t>44.3150</t>
  </si>
  <si>
    <t>Auvergne-Rhône-Alpes</t>
  </si>
  <si>
    <t>4.8100</t>
  </si>
  <si>
    <t>45.8000</t>
  </si>
  <si>
    <t>S.Wandrille (Saint-Wandrille)</t>
  </si>
  <si>
    <t>0.9440</t>
  </si>
  <si>
    <t>49.4820</t>
  </si>
  <si>
    <t>2.4700</t>
  </si>
  <si>
    <t>47.9080</t>
  </si>
  <si>
    <t>Yonne, Bourgogne-Franche-Comté</t>
  </si>
  <si>
    <t>3.2800</t>
  </si>
  <si>
    <t>48.1950</t>
  </si>
  <si>
    <t>Saint-Gall (St. Gallen)</t>
  </si>
  <si>
    <t>9.3790</t>
  </si>
  <si>
    <t>47.4230</t>
  </si>
  <si>
    <t>2.5330</t>
  </si>
  <si>
    <t>50.1260</t>
  </si>
  <si>
    <t>Aisne/Somme</t>
  </si>
  <si>
    <t>49.6160</t>
  </si>
  <si>
    <t>Salem (Salem Abbey)</t>
  </si>
  <si>
    <t>9.1500</t>
  </si>
  <si>
    <t>47.7710</t>
  </si>
  <si>
    <t>13.0419</t>
  </si>
  <si>
    <t>47.8095</t>
  </si>
  <si>
    <t>Sant' Emmeran (Regensburg - St. Emmeram)</t>
  </si>
  <si>
    <t>12.0970</t>
  </si>
  <si>
    <t>4.7660</t>
  </si>
  <si>
    <t>46.6220</t>
  </si>
  <si>
    <t>9.5330</t>
  </si>
  <si>
    <t>49.7000</t>
  </si>
  <si>
    <t>11.4330</t>
  </si>
  <si>
    <t>48.4960</t>
  </si>
  <si>
    <t>Schuttern</t>
  </si>
  <si>
    <t>7.9350</t>
  </si>
  <si>
    <t>48.4170</t>
  </si>
  <si>
    <t>14.4830</t>
  </si>
  <si>
    <t>47.3330</t>
  </si>
  <si>
    <t>11.0160</t>
  </si>
  <si>
    <t>50.1160</t>
  </si>
  <si>
    <t>2.7000</t>
  </si>
  <si>
    <t>Vosges</t>
  </si>
  <si>
    <t>6.6760</t>
  </si>
  <si>
    <t>48.2440</t>
  </si>
  <si>
    <t>Sepharad (Catalonia)</t>
  </si>
  <si>
    <t>Catalonia</t>
  </si>
  <si>
    <t>1.5000</t>
  </si>
  <si>
    <t>41.9000</t>
  </si>
  <si>
    <t>-2.5190</t>
  </si>
  <si>
    <t>50.9490</t>
  </si>
  <si>
    <t>Shorwell</t>
  </si>
  <si>
    <t>Isle of Wight</t>
  </si>
  <si>
    <t>-1.3260</t>
  </si>
  <si>
    <t>50.6520</t>
  </si>
  <si>
    <t>Signy</t>
  </si>
  <si>
    <t>Ardennes</t>
  </si>
  <si>
    <t>4.4830</t>
  </si>
  <si>
    <t>49.6000</t>
  </si>
  <si>
    <t>15.4000</t>
  </si>
  <si>
    <t>46.8000</t>
  </si>
  <si>
    <t>Snelshall</t>
  </si>
  <si>
    <t>Bedfordshire</t>
  </si>
  <si>
    <t>-0.6000</t>
  </si>
  <si>
    <t>51.9800</t>
  </si>
  <si>
    <t>Haute-Vienne</t>
  </si>
  <si>
    <t>1.2330</t>
  </si>
  <si>
    <t>45.8990</t>
  </si>
  <si>
    <t>Southwark</t>
  </si>
  <si>
    <t>-0.0920</t>
  </si>
  <si>
    <t>51.5010</t>
  </si>
  <si>
    <t>St. Bertin (Saint-Bertin)</t>
  </si>
  <si>
    <t>Pas-de-Calais</t>
  </si>
  <si>
    <t>2.7760</t>
  </si>
  <si>
    <t>50.4140</t>
  </si>
  <si>
    <t>Seine-Saint-Denis</t>
  </si>
  <si>
    <t>14.3160</t>
  </si>
  <si>
    <t>48.2630</t>
  </si>
  <si>
    <t>St. Gilles, Nîmes</t>
  </si>
  <si>
    <t>4.3570</t>
  </si>
  <si>
    <t>43.8340</t>
  </si>
  <si>
    <t>14.0900</t>
  </si>
  <si>
    <t>47.2330</t>
  </si>
  <si>
    <t>St. Neots</t>
  </si>
  <si>
    <t>-0.2670</t>
  </si>
  <si>
    <t>52.2280</t>
  </si>
  <si>
    <t>Stanlaw</t>
  </si>
  <si>
    <t>-2.7230</t>
  </si>
  <si>
    <t>53.2970</t>
  </si>
  <si>
    <t>Stavelot</t>
  </si>
  <si>
    <t>Liège</t>
  </si>
  <si>
    <t>5.8830</t>
  </si>
  <si>
    <t>50.4030</t>
  </si>
  <si>
    <t>Steiermark (Styria)</t>
  </si>
  <si>
    <t>14.7500</t>
  </si>
  <si>
    <t>11.6000</t>
  </si>
  <si>
    <t>49.3660</t>
  </si>
  <si>
    <t>12.2160</t>
  </si>
  <si>
    <t>42.1190</t>
  </si>
  <si>
    <t>Tewkesbury</t>
  </si>
  <si>
    <t>-2.1440</t>
  </si>
  <si>
    <t>51.9980</t>
  </si>
  <si>
    <t>Thorney</t>
  </si>
  <si>
    <t>52.5300</t>
  </si>
  <si>
    <t>Tolosa (Toulouse?)</t>
  </si>
  <si>
    <t>1.4440</t>
  </si>
  <si>
    <t>43.6040</t>
  </si>
  <si>
    <t>3.3890</t>
  </si>
  <si>
    <t>50.6070</t>
  </si>
  <si>
    <t>Trèves (Trier)</t>
  </si>
  <si>
    <t>6.6431</t>
  </si>
  <si>
    <t>49.7499</t>
  </si>
  <si>
    <t>Treviri (Trier)</t>
  </si>
  <si>
    <t>Trévise (Treviso)</t>
  </si>
  <si>
    <t>12.2430</t>
  </si>
  <si>
    <t>45.6667</t>
  </si>
  <si>
    <t>Variville</t>
  </si>
  <si>
    <t>Manche, Normandy</t>
  </si>
  <si>
    <t>-1.3500</t>
  </si>
  <si>
    <t>4.1500</t>
  </si>
  <si>
    <t>49.4660</t>
  </si>
  <si>
    <t>Vellereille-le-Brayeux (near Binche)</t>
  </si>
  <si>
    <t>3.8660</t>
  </si>
  <si>
    <t>Vendôme</t>
  </si>
  <si>
    <t>Loir-et-Cher</t>
  </si>
  <si>
    <t>1.0070</t>
  </si>
  <si>
    <t>47.8390</t>
  </si>
  <si>
    <t>12.4500</t>
  </si>
  <si>
    <t>45.7000</t>
  </si>
  <si>
    <t>8.4230</t>
  </si>
  <si>
    <t>45.3180</t>
  </si>
  <si>
    <t>5.3811</t>
  </si>
  <si>
    <t>49.1590</t>
  </si>
  <si>
    <t>Bourgogne-Franche-Comté</t>
  </si>
  <si>
    <t>3.7420</t>
  </si>
  <si>
    <t>47.4850</t>
  </si>
  <si>
    <t>11.5480</t>
  </si>
  <si>
    <t>45.5450</t>
  </si>
  <si>
    <t>Vich (Vic)</t>
  </si>
  <si>
    <t>Barcelona, Catalonia</t>
  </si>
  <si>
    <t>2.2540</t>
  </si>
  <si>
    <t>41.9330</t>
  </si>
  <si>
    <t>15.6160</t>
  </si>
  <si>
    <t>47.2500</t>
  </si>
  <si>
    <t>Styria/Admont</t>
  </si>
  <si>
    <t>14.4560</t>
  </si>
  <si>
    <t>47.5790</t>
  </si>
  <si>
    <t>-2.0270</t>
  </si>
  <si>
    <t>50.7160</t>
  </si>
  <si>
    <t>12.1660</t>
  </si>
  <si>
    <t>48.0540</t>
  </si>
  <si>
    <t>Waverley (Waverley Abbey)</t>
  </si>
  <si>
    <t>Surrey</t>
  </si>
  <si>
    <t>-0.6500</t>
  </si>
  <si>
    <t>51.2000</t>
  </si>
  <si>
    <t>9.7810</t>
  </si>
  <si>
    <t>47.7880</t>
  </si>
  <si>
    <t>Weißenburg im Elsass (Wissembourg)</t>
  </si>
  <si>
    <t>7.9620</t>
  </si>
  <si>
    <t>49.0430</t>
  </si>
  <si>
    <t>Werden</t>
  </si>
  <si>
    <t>7.0000</t>
  </si>
  <si>
    <t>51.4330</t>
  </si>
  <si>
    <t>Westminster /St. Albans</t>
  </si>
  <si>
    <t>Greater London / Hertfordshire</t>
  </si>
  <si>
    <t>51.7520</t>
  </si>
  <si>
    <t>Aargau</t>
  </si>
  <si>
    <t>8.3450</t>
  </si>
  <si>
    <t>47.4180</t>
  </si>
  <si>
    <t>Wien (Vienna)</t>
  </si>
  <si>
    <t>Vienna</t>
  </si>
  <si>
    <t>16.3738</t>
  </si>
  <si>
    <t>48.2082</t>
  </si>
  <si>
    <t>Winchcombe</t>
  </si>
  <si>
    <t>-1.9160</t>
  </si>
  <si>
    <t>51.9410</t>
  </si>
  <si>
    <t>Winchester</t>
  </si>
  <si>
    <t>-1.3130</t>
  </si>
  <si>
    <t>51.0600</t>
  </si>
  <si>
    <t>12.8830</t>
  </si>
  <si>
    <t>48.6160</t>
  </si>
  <si>
    <t>Netherlands</t>
  </si>
  <si>
    <t>6.5940</t>
  </si>
  <si>
    <t>53.2160</t>
  </si>
  <si>
    <t>-2.2210</t>
  </si>
  <si>
    <t>52.1920</t>
  </si>
  <si>
    <t>Acquanegra Cremonese</t>
  </si>
  <si>
    <t>Abbaye Notre‑Dame du Bec</t>
  </si>
  <si>
    <t xml:space="preserve"> Normandy</t>
  </si>
  <si>
    <t xml:space="preserve"> France</t>
  </si>
  <si>
    <t xml:space="preserve"> 0.7217</t>
  </si>
  <si>
    <t xml:space="preserve"> Lombardy</t>
  </si>
  <si>
    <t xml:space="preserve"> Italy</t>
  </si>
  <si>
    <t>Altenberg (Odenthal)</t>
  </si>
  <si>
    <t xml:space="preserve"> North Rhine‑Westphalia</t>
  </si>
  <si>
    <t xml:space="preserve"> Germany</t>
  </si>
  <si>
    <t>Altenberg (Saxony)</t>
  </si>
  <si>
    <t xml:space="preserve"> Saxony</t>
  </si>
  <si>
    <t xml:space="preserve"> Rhineland‑Palatinate</t>
  </si>
  <si>
    <t xml:space="preserve"> Northamptonshire</t>
  </si>
  <si>
    <t xml:space="preserve"> England</t>
  </si>
  <si>
    <t xml:space="preserve"> -0.4556</t>
  </si>
  <si>
    <t xml:space="preserve"> Ardennes</t>
  </si>
  <si>
    <t>Biburg Abbey, Biburg</t>
  </si>
  <si>
    <t xml:space="preserve"> Bavaria</t>
  </si>
  <si>
    <t>Abbaye Notre‑Dame de Bonne‑Espérance</t>
  </si>
  <si>
    <t xml:space="preserve"> Hainaut</t>
  </si>
  <si>
    <t xml:space="preserve"> Belgium</t>
  </si>
  <si>
    <t>Cardeña</t>
  </si>
  <si>
    <t xml:space="preserve"> Córdoba</t>
  </si>
  <si>
    <t xml:space="preserve"> Spain</t>
  </si>
  <si>
    <t>Abbey of Saint‑Clément de Casauria, Castiglione a Casauria</t>
  </si>
  <si>
    <t xml:space="preserve"> Abruzzo</t>
  </si>
  <si>
    <t>Monasterio de San Pelayo de Cerrato</t>
  </si>
  <si>
    <t xml:space="preserve"> Palencia</t>
  </si>
  <si>
    <t xml:space="preserve"> South West England</t>
  </si>
  <si>
    <t>Emly (Imleach Iubhair)</t>
  </si>
  <si>
    <t xml:space="preserve"> County Tipperary</t>
  </si>
  <si>
    <t xml:space="preserve"> Ireland</t>
  </si>
  <si>
    <t>Brabant‑lès‑Villers</t>
  </si>
  <si>
    <t xml:space="preserve"> Meuse</t>
  </si>
  <si>
    <t>Santa Colomba</t>
  </si>
  <si>
    <t xml:space="preserve"> Tuscany</t>
  </si>
  <si>
    <t>Lorvão</t>
  </si>
  <si>
    <t xml:space="preserve"> Coimbra District</t>
  </si>
  <si>
    <t xml:space="preserve"> Portugal</t>
  </si>
  <si>
    <t>Luffield Abbey</t>
  </si>
  <si>
    <t xml:space="preserve"> Buckinghamshire</t>
  </si>
  <si>
    <t xml:space="preserve"> Vendée</t>
  </si>
  <si>
    <t>Le Liget Charterhouse</t>
  </si>
  <si>
    <t xml:space="preserve"> Indre‑et‑Loire</t>
  </si>
  <si>
    <t xml:space="preserve"> 0.6500</t>
  </si>
  <si>
    <t>Lucy</t>
  </si>
  <si>
    <t xml:space="preserve"> Seine‑Maritime</t>
  </si>
  <si>
    <t>Parc (Jodoigne)</t>
  </si>
  <si>
    <t xml:space="preserve"> Walloon Brabant</t>
  </si>
  <si>
    <t>Porto</t>
  </si>
  <si>
    <t xml:space="preserve"> Porto District</t>
  </si>
  <si>
    <t>Saint‑Pierremont</t>
  </si>
  <si>
    <t>Sassatella, Frassinoro</t>
  </si>
  <si>
    <t xml:space="preserve"> Emilia‑Romagna</t>
  </si>
  <si>
    <t>La Chartreuse de Saint‑Hugon (Arvillard)</t>
  </si>
  <si>
    <t xml:space="preserve"> Savoie</t>
  </si>
  <si>
    <t>Abbaye de Saint‑Nicolas de Crisenon</t>
  </si>
  <si>
    <t xml:space="preserve"> Bourgogne‑Franche‑Comté</t>
  </si>
  <si>
    <t>Abbaye Saint‑Jacques de Montfort</t>
  </si>
  <si>
    <t xml:space="preserve"> Bretagne</t>
  </si>
  <si>
    <t>Rome, BNC, Farf. 1 (297)</t>
  </si>
  <si>
    <t>Rome, BNC, Farf. 2 (298)</t>
  </si>
  <si>
    <t>Rome, BNC, Sess. 103 (1546)</t>
  </si>
  <si>
    <t>Rome, BNC, Sess. 45 (1364)</t>
  </si>
  <si>
    <t>Rome, BNC, Sess. 44 (1473)</t>
  </si>
  <si>
    <t>Rome, BNC, Sess. 71 (1349)</t>
  </si>
  <si>
    <t>Rome, BNC, Farf. 3 (299)</t>
  </si>
  <si>
    <t>Rome, BNC, Sess. 2 (XXVI)</t>
  </si>
  <si>
    <t>Rome, BNC, Sess. 51 (2079)</t>
  </si>
  <si>
    <t>Rome, BNC, Sess. 84 (2091)</t>
  </si>
  <si>
    <t>Rome, BNC, Sess. 145 (1410)</t>
  </si>
  <si>
    <t>Rome, BNC, Farf. 28 (340)</t>
  </si>
  <si>
    <t>London, British Library, Add. 14250</t>
  </si>
  <si>
    <t>London, British Library, Add. 14787</t>
  </si>
  <si>
    <t>London, British Library, Add. 15307</t>
  </si>
  <si>
    <t>London, British Library, Add. 15722 [ff. 1-35]</t>
  </si>
  <si>
    <t>London, British Library, Add. 16410</t>
  </si>
  <si>
    <t>London, British Library, Add. 16918</t>
  </si>
  <si>
    <t>London, British Library, Add. 16950</t>
  </si>
  <si>
    <t>London, British Library, Add. 16952 [ff. 8v-36]</t>
  </si>
  <si>
    <t>London, British Library, Add. 16979</t>
  </si>
  <si>
    <t>London, British Library, Add. 17396</t>
  </si>
  <si>
    <t>London, British Library, Add. 17737</t>
  </si>
  <si>
    <t>London, British Library, Add. 17738</t>
  </si>
  <si>
    <t>London, British Library, Add. 17742</t>
  </si>
  <si>
    <t>London, British Library, Add. 19767</t>
  </si>
  <si>
    <t>London, British Library, Add. 22820</t>
  </si>
  <si>
    <t>London, British Library, Add. 23932</t>
  </si>
  <si>
    <t>London, British Library, Add. 23935</t>
  </si>
  <si>
    <t>London, British Library, Add. 24686</t>
  </si>
  <si>
    <t>London, British Library, Add. 25600</t>
  </si>
  <si>
    <t>London, British Library, Add. 28106</t>
  </si>
  <si>
    <t>London, British Library, Add. 28107</t>
  </si>
  <si>
    <t>London, British Library, Add. 28188</t>
  </si>
  <si>
    <t>London, British Library, Add. 30861</t>
  </si>
  <si>
    <t>London, British Library, Add. 31830</t>
  </si>
  <si>
    <t>London, British Library, Add. 35109</t>
  </si>
  <si>
    <t>London, British Library, Add. 35110</t>
  </si>
  <si>
    <t>London, British Library, Add. 37068 [ff. 1-50]</t>
  </si>
  <si>
    <t>London, British Library, Add. 37517</t>
  </si>
  <si>
    <t>London, British Library, Add. 38819</t>
  </si>
  <si>
    <t>London, British Library, Add. 39678</t>
  </si>
  <si>
    <t>London, British Library, Add. 40000 [ff. 10]</t>
  </si>
  <si>
    <t>London, British Library, Add. 40007</t>
  </si>
  <si>
    <t>London, British Library, Add. 46203</t>
  </si>
  <si>
    <t>London, British Library, Add. 46487</t>
  </si>
  <si>
    <t>London, British Library, Add. 49598</t>
  </si>
  <si>
    <t>London, British Library, Add. 50003</t>
  </si>
  <si>
    <t>London, British Library, Add. 54237</t>
  </si>
  <si>
    <t>London, British Library, Add. 57528</t>
  </si>
  <si>
    <t>London, British Library, Arundel 60 [ff. 149]</t>
  </si>
  <si>
    <t>London, British Library, Arundel 303</t>
  </si>
  <si>
    <t>London, British Library, Add. 11294 [ff. 2-25]</t>
  </si>
  <si>
    <t>London, British Library, Arundel 470 [ff. 1-194]</t>
  </si>
  <si>
    <t>London, British Library, Cotton Caligula A.XII [ff. 2-6]</t>
  </si>
  <si>
    <t>London, British Library, Cotton Caligula A.XV [ff. 120-41]</t>
  </si>
  <si>
    <t>London, British Library, Cotton Claudius A.III [ff. 31-38]</t>
  </si>
  <si>
    <t>London, British Library, Cotton Claudius C.IX [ff. 4-17]</t>
  </si>
  <si>
    <t>London, British Library, Cotton Claudius D.VI [ff. 1-98]</t>
  </si>
  <si>
    <t>London, British Library, Cotton Claudius E.III [ff. 3-158]</t>
  </si>
  <si>
    <t>London, British Library, Cotton Cleopatra A.VII [ff. 9-54]</t>
  </si>
  <si>
    <t>London, British Library, Cotton Cleopatra A.XII [ff. 1-62]</t>
  </si>
  <si>
    <t>London, British Library, Cotton Cleopatra B.XIII [ff. 1-58]</t>
  </si>
  <si>
    <t>London, British Library, Cotton Cleopatra D.IX [ff. 80-83]</t>
  </si>
  <si>
    <t>London, British Library, Cotton Cleopatra E.I [ff. 17-38]</t>
  </si>
  <si>
    <t>London, British Library, Cotton Faustina A.VIII [ff. 40-146]</t>
  </si>
  <si>
    <t>London, British Library, Cotton Faustina B.VII [ff. 2-17]</t>
  </si>
  <si>
    <t>London, British Library, Cotton Faustina B.VII [ff. 41-71]</t>
  </si>
  <si>
    <t>London, British Library, Cotton Galba E.III [ff. 2-41v]</t>
  </si>
  <si>
    <t>London, British Library, Cotton Galba E.III [ff. 42-56]</t>
  </si>
  <si>
    <t>London, British Library, Cotton Galba E.III [ff. 57-82]</t>
  </si>
  <si>
    <t>London, British Library, Cotton Galba E.X [ff. 2-7]</t>
  </si>
  <si>
    <t>London, British Library, Cotton Julius A.I [ff. 3-43]</t>
  </si>
  <si>
    <t>London, British Library, Cotton Julius A.VII [ff. 3-49]</t>
  </si>
  <si>
    <t>London, British Library, Cotton Nero A.I [ff. 70-177]</t>
  </si>
  <si>
    <t>London, British Library, Cotton Nero C.IV</t>
  </si>
  <si>
    <t>London, British Library, Cotton Nero C.V [ff. 33-161]</t>
  </si>
  <si>
    <t>London, British Library, Cotton Nero C.VII [ff. 216-223]</t>
  </si>
  <si>
    <t>London, British Library, Cotton Nero D.I [ff. 83-129v]</t>
  </si>
  <si>
    <t>London, British Library, Cotton Nero D.II [ff. 238-41]</t>
  </si>
  <si>
    <t>London, British Library, Cotton Nero D.V [ff. 162-393]</t>
  </si>
  <si>
    <t>London, British Library, Cotton Nero E.VIII [ff. 8-134]</t>
  </si>
  <si>
    <t>London, British Library, Cotton Tiberius A.III [ff. 178]</t>
  </si>
  <si>
    <t>London, British Library, Cotton Tiberius A.VI [ff. 1-35]</t>
  </si>
  <si>
    <t>London, British Library, Cotton Tiberius A.XIII [ff. 1-118]</t>
  </si>
  <si>
    <t>London, British Library, Cotton Tiberius A.XIII [ff. 119-200]</t>
  </si>
  <si>
    <t>London, British Library, Cotton Tiberius B.I [ff. 115-162]</t>
  </si>
  <si>
    <t>London, British Library, Cotton Tiberius B.II [ff. 86-233]</t>
  </si>
  <si>
    <t>London, British Library, Cotton Tiberius B.IV [ff. 76-86]</t>
  </si>
  <si>
    <t>London, British Library, Cotton Tiberius B.V [ff. 2-73]</t>
  </si>
  <si>
    <t>London, British Library, Cotton Tiberius C.I [ff. 2-42]</t>
  </si>
  <si>
    <t>London, British Library, Harley 3667</t>
  </si>
  <si>
    <t>London, British Library, Cotton Tiberius E.IV [ff. 26-27]</t>
  </si>
  <si>
    <t>London, British Library, Cotton Titus D.XXVI</t>
  </si>
  <si>
    <t>London, British Library, Cotton Titus D.XXVII</t>
  </si>
  <si>
    <t>London, British Library, Cotton Vespasian A.VIII [ff. 1-33]</t>
  </si>
  <si>
    <t>London, British Library, Cotton Vespasian A.IX [ff. 1-71]</t>
  </si>
  <si>
    <t>London, British Library, Cotton Vespasian A.XIV [ff. 114-179]</t>
  </si>
  <si>
    <t>London, British Library, Cotton Vespasian E.V [ff. 11v-16]</t>
  </si>
  <si>
    <t>London, British Library, Cotton Vitellius A.VIII [ff. 1-112]</t>
  </si>
  <si>
    <t>London, British Library, Cotton Vitellius A.XVII [ff. 1-16]</t>
  </si>
  <si>
    <t>London, British Library, Cotton Vitellius A.XVIII</t>
  </si>
  <si>
    <t>London, British Library, Cotton Vitellius A.XX [ff. 77-108]</t>
  </si>
  <si>
    <t>London, British Library, Cotton Vitellius C.XII [ff. 114-156]</t>
  </si>
  <si>
    <t>London, British Library, Egerton 1139</t>
  </si>
  <si>
    <t>London, British Library, Add. 11695</t>
  </si>
  <si>
    <t>London, British Library, Egerton 2569</t>
  </si>
  <si>
    <t>London, British Library, Egerton 2615 [ff. 1-73]</t>
  </si>
  <si>
    <t>London, British Library, Egerton 2849</t>
  </si>
  <si>
    <t>London, British Library, Egerton 2902</t>
  </si>
  <si>
    <t>London, British Library, Egerton 2977</t>
  </si>
  <si>
    <t>London, British Library, Egerton 3031</t>
  </si>
  <si>
    <t>London, British Library, Egerton 3036</t>
  </si>
  <si>
    <t>London, British Library, Egerton 3088</t>
  </si>
  <si>
    <t>London, British Library, Egerton 3661</t>
  </si>
  <si>
    <t>London, British Library, Egerton 3668</t>
  </si>
  <si>
    <t>London, British Library, Egerton 3721</t>
  </si>
  <si>
    <t>London, British Library, Egerton 3763</t>
  </si>
  <si>
    <t>London, British Library, Harley 55 [ff. 1-4]</t>
  </si>
  <si>
    <t>London, British Library, Harley 222</t>
  </si>
  <si>
    <t>London, British Library, Harley 447 [ff. 103-133]</t>
  </si>
  <si>
    <t>London, British Library, Harley 531 [ff. 1-32]</t>
  </si>
  <si>
    <t>London, British Library, Harley 863 [ff. 1-117]</t>
  </si>
  <si>
    <t>London, British Library, Harley 863 [ff. 117v-125]</t>
  </si>
  <si>
    <t>London, British Library, Harley 978 [ff. 2-21]</t>
  </si>
  <si>
    <t>London, British Library, Harley 1229</t>
  </si>
  <si>
    <t>London, British Library, Harley 1802</t>
  </si>
  <si>
    <t>London, British Library, Harley 2660</t>
  </si>
  <si>
    <t>London, British Library, Harley 2798</t>
  </si>
  <si>
    <t>London, British Library, Harley 2799</t>
  </si>
  <si>
    <t>London, British Library, Harley 2800</t>
  </si>
  <si>
    <t>London, British Library, Harley 2801</t>
  </si>
  <si>
    <t>London, British Library, Harley 2802</t>
  </si>
  <si>
    <t>London, British Library, Harley 2803</t>
  </si>
  <si>
    <t>London, British Library, Harley 2804</t>
  </si>
  <si>
    <t>London, British Library, Harley 2961</t>
  </si>
  <si>
    <t>London, British Library, Harley 3038 [ff. 1-58]</t>
  </si>
  <si>
    <t>London, British Library, Harley 3045</t>
  </si>
  <si>
    <t>London, British Library, Harley 3099</t>
  </si>
  <si>
    <t>London, British Library, Harley 3271 [ff. 128v-129]</t>
  </si>
  <si>
    <t>London, British Library, Harley 3583</t>
  </si>
  <si>
    <t>London, British Library, Harley 3601</t>
  </si>
  <si>
    <t>London, British Library, Harley 3678</t>
  </si>
  <si>
    <t>London, British Library, Harley 3904</t>
  </si>
  <si>
    <t>London, British Library, Harley 4487 [ff. 3-86]</t>
  </si>
  <si>
    <t>London, British Library, Lansdowne 381</t>
  </si>
  <si>
    <t>London, British Library, Royal 1 B.XII</t>
  </si>
  <si>
    <t>London, British Library, Royal 2 A.XXII</t>
  </si>
  <si>
    <t>London, British Library, Royal 2 B.VI</t>
  </si>
  <si>
    <t>London, British Library, Royal 2 F.VIII</t>
  </si>
  <si>
    <t>London, British Library, Royal 3 A.XII</t>
  </si>
  <si>
    <t>London, British Library, Royal 3 D.VII</t>
  </si>
  <si>
    <t>London, British Library, Royal 5 A.XI [ff.47-92]</t>
  </si>
  <si>
    <t>London, British Library, Royal 5 B.XII [ff. 2-3]</t>
  </si>
  <si>
    <t>London, British Library, Royal 5 D.II</t>
  </si>
  <si>
    <t>London, British Library, Royal 6 A.V</t>
  </si>
  <si>
    <t>London, British Library, Royal 6 C.VI</t>
  </si>
  <si>
    <t>London, British Library, Royal 7 C.XII</t>
  </si>
  <si>
    <t>London, British Library, Royal 7 F.III</t>
  </si>
  <si>
    <t>London, British Library, Royal 7 F.VI</t>
  </si>
  <si>
    <t>London, British Library, Royal 9 B.V</t>
  </si>
  <si>
    <t>London, British Library, Royal 13 D.IV</t>
  </si>
  <si>
    <t>London, British Library, Royal 14 C.VII</t>
  </si>
  <si>
    <t>London, British Library, Stowe 941</t>
  </si>
  <si>
    <t>London, British Library, Stowe 944 [ff. 6-61]</t>
  </si>
  <si>
    <t>London, British Library, Add. 14072</t>
  </si>
  <si>
    <t>Cambridge, Corpus Christi College, 2</t>
  </si>
  <si>
    <t>Cambridge, Corpus Christi College, 16</t>
  </si>
  <si>
    <t>Cambridge, Corpus Christi College, 26</t>
  </si>
  <si>
    <t>Cambridge, Corpus Christi College, 46</t>
  </si>
  <si>
    <t>Cambridge, Corpus Christi College, 139</t>
  </si>
  <si>
    <t>Cambridge, Corpus Christi College, 173 [ff. 16v-21]</t>
  </si>
  <si>
    <t>Cambridge, Corpus Christi College, 173 [ff. 21v-25v]</t>
  </si>
  <si>
    <t>Cambridge, Corpus Christi College, 183</t>
  </si>
  <si>
    <t>Cambridge, Corpus Christi College, 191</t>
  </si>
  <si>
    <t>Cambridge, Corpus Christi College, 192</t>
  </si>
  <si>
    <t>Cambridge, Corpus Christi College, 196</t>
  </si>
  <si>
    <t>Cambridge, Corpus Christi College, 199</t>
  </si>
  <si>
    <t>Cambridge, Corpus Christi College, 201 [ff. 179-272]</t>
  </si>
  <si>
    <t>Cambridge, Corpus Christi College, 297</t>
  </si>
  <si>
    <t>Cambridge, Corpus Christi College, 313 vol. II</t>
  </si>
  <si>
    <t>Cambridge, Corpus Christi College, 339 vol. I</t>
  </si>
  <si>
    <t>Cambridge, Corpus Christi College, 371</t>
  </si>
  <si>
    <t>Cambridge, Corpus Christi College, 373</t>
  </si>
  <si>
    <t>Cambridge, Corpus Christi College, 391</t>
  </si>
  <si>
    <t>Cambridge, Corpus Christi College, 393</t>
  </si>
  <si>
    <t>Cambridge, Corpus Christi College, 415</t>
  </si>
  <si>
    <t>Cambridge, Corpus Christi College, 422 [pp. 27-586]</t>
  </si>
  <si>
    <t>Cambridge, Corpus Christi College, 425 vol. I</t>
  </si>
  <si>
    <t>Cambridge, Corpus Christi College, 452</t>
  </si>
  <si>
    <t>Cambridge, Corpus Christi College, 465 [ff. 1-6]</t>
  </si>
  <si>
    <t>Cambridge, Corpus Christi College, 465 [ff. 9-159]</t>
  </si>
  <si>
    <t>Cambridge, Emmanuel College, 3. 2. 26 (232)</t>
  </si>
  <si>
    <t>Cambridge, Gonville &amp; Caius College, 205/111</t>
  </si>
  <si>
    <t>Cambridge, Gonville &amp; Caius College, 427/427 [pp. 197-230]</t>
  </si>
  <si>
    <t>Cambridge, Gonville &amp; Caius College, 454/357</t>
  </si>
  <si>
    <t>Cambridge, Gonville &amp; Caius College, 494/263 [ff. 1-197]</t>
  </si>
  <si>
    <t>Cambridge, Pembroke College, 148</t>
  </si>
  <si>
    <t>Cambridge, Pembroke College, 149</t>
  </si>
  <si>
    <t>Cambridge, Pembroke College, 210</t>
  </si>
  <si>
    <t>Cambridge, St John's College, A. 22 (22)</t>
  </si>
  <si>
    <t>Cambridge, St John's College, B. 20(42)</t>
  </si>
  <si>
    <t>Cambridge, St John's College, C. 18 (68)</t>
  </si>
  <si>
    <t>Cambridge, St John's College, D. 19 (94)</t>
  </si>
  <si>
    <t>Cambridge, St John's College, G. 15 (183)</t>
  </si>
  <si>
    <t>Cambridge, St John's College, Muniments C. 7. 1 [ff. 2-80]</t>
  </si>
  <si>
    <t>Cambridge, Trinity College, B. 3. 11 (90)</t>
  </si>
  <si>
    <t>Cambridge, Trinity College, B. 3. 12 (91)</t>
  </si>
  <si>
    <t>Cambridge, Trinity College, B. 3. 30 (109)</t>
  </si>
  <si>
    <t>Cambridge, Trinity College, B. 4. 30 (144)</t>
  </si>
  <si>
    <t>Cambridge, Trinity College, B. 5. 4 (150)</t>
  </si>
  <si>
    <t>Cambridge, Trinity College, B. 5. 5 (151)</t>
  </si>
  <si>
    <t>Cambridge, Trinity College, B. 5. 6 (152)</t>
  </si>
  <si>
    <t>Cambridge, Trinity College, B. 5. 7 (153)</t>
  </si>
  <si>
    <t>Cambridge, Trinity College, B. 5. 28 (174)</t>
  </si>
  <si>
    <t>Cambridge, Trinity College, B. 15. 10 (346)</t>
  </si>
  <si>
    <t>Cambridge, Trinity College, B. 16. 17 (391)</t>
  </si>
  <si>
    <t>Cambridge, Trinity College, B. 16. 44 (405)</t>
  </si>
  <si>
    <t>Cambridge, Trinity College, R. 3. 29 (609) [ff. 2-27]</t>
  </si>
  <si>
    <t>Cambridge, Trinity College, R. 4. 4 (637)</t>
  </si>
  <si>
    <t>Cambridge, Trinity College, R. 7. 28 (770) [pp. 1-74]</t>
  </si>
  <si>
    <t>Cambridge, Trinity College, R. 15. 32 (945) [pp. 13-26]</t>
  </si>
  <si>
    <t>Cambridge, Trinity College, R. 17. 1 (987)</t>
  </si>
  <si>
    <t>Cambridge, Trinity College, 0. 2. 1. (1105) [ff. K1-14]</t>
  </si>
  <si>
    <t>Cambridge, Trinity College, 0. 5. 20 (1301) [pp. 1-265]</t>
  </si>
  <si>
    <t>Cambridge, Trinity College, 0. 7. 13 (1341)</t>
  </si>
  <si>
    <t>Cambridge, Fitzwilliam Museum, 300</t>
  </si>
  <si>
    <t>Cambridge, Fitzwilliam Museum, 36-1950</t>
  </si>
  <si>
    <t>Cambridge, Peterhouse, 89</t>
  </si>
  <si>
    <t>Cambridge, Trinity Hall, 2</t>
  </si>
  <si>
    <t>Cambridge, Add., 4080</t>
  </si>
  <si>
    <t>Wellesley, Wellesley College, MS 11</t>
  </si>
  <si>
    <t>Philadelphia, University of Pennsylvania, Ms. Codex 80</t>
  </si>
  <si>
    <t>Cambrai, Bibl. mun., 1108</t>
  </si>
  <si>
    <t>Cambrai, Bibl. mun., 1109</t>
  </si>
  <si>
    <t>Cambrai, Bibl. mun., 1152 [ff. 1-63]</t>
  </si>
  <si>
    <t>Cambrai, Bibl. mun., 1161</t>
  </si>
  <si>
    <t>Cambrai, Bibl. mun., 1222 [ff. 1-13]</t>
  </si>
  <si>
    <t>Cambrai, Bibl. mun., 1225</t>
  </si>
  <si>
    <t>Cambrai, Bibl. mun., 1233</t>
  </si>
  <si>
    <t>Cambrai, Bibl. mun., 139</t>
  </si>
  <si>
    <t>Cambrai, Bibl. mun., 170 [ff. 1-24]</t>
  </si>
  <si>
    <t>Cambrai, Bibl. mun., 172</t>
  </si>
  <si>
    <t>Cambrai, Bibl. mun., 181</t>
  </si>
  <si>
    <t>Cambrai, Bibl. mun., 183</t>
  </si>
  <si>
    <t>Cambrai, Bibl. mun., 189</t>
  </si>
  <si>
    <t>Cambrai, Bibl. mun., 190</t>
  </si>
  <si>
    <t>Cambrai, Bibl. mun., 193</t>
  </si>
  <si>
    <t>Cambrai, Bibl. mun., 215</t>
  </si>
  <si>
    <t>Cambrai, Bibl. mun., 218</t>
  </si>
  <si>
    <t>Cambrai, Bibl. mun., 219 [ff. 1-89]</t>
  </si>
  <si>
    <t>Cambrai, Bibl. mun., 229 [ff. 1-57r]</t>
  </si>
  <si>
    <t>Cambrai, Bibl. mun., 229 [ff. 57v-83]</t>
  </si>
  <si>
    <t>Cambrai, Bibl. mun., 247</t>
  </si>
  <si>
    <t>Cambrai, Bibl. mun., 28</t>
  </si>
  <si>
    <t>Cambrai, Bibl. mun., 37</t>
  </si>
  <si>
    <t>Cambrai, Bibl. mun., 38</t>
  </si>
  <si>
    <t>Cambrai, Bibl. mun., 46 [ff. 1-246]</t>
  </si>
  <si>
    <t>Cambrai, Bibl. mun., 504</t>
  </si>
  <si>
    <t>Cambrai, Bibl. mun., 506</t>
  </si>
  <si>
    <t>Cambrai, Bibl. mun., 519</t>
  </si>
  <si>
    <t>Cambrai, Bibl. mun., 534</t>
  </si>
  <si>
    <t>Cambrai, Bibl. mun., 56 [ff. 1-186]</t>
  </si>
  <si>
    <t>Cambrai, Bibl. mun., 561</t>
  </si>
  <si>
    <t>Cambrai, Bibl. mun., 646</t>
  </si>
  <si>
    <t>Cambrai, Bibl. mun., 807</t>
  </si>
  <si>
    <t>Cambrai, Bibl. mun., 809 [ff. 90-103]</t>
  </si>
  <si>
    <t>Cambrai, Bibl. mun., 819</t>
  </si>
  <si>
    <t>Cambrai, Bibl. mun., 825 [ff. 1-93]</t>
  </si>
  <si>
    <t>Cambrai, Bibl. mun., 829</t>
  </si>
  <si>
    <t>Cambrai, Bibl. mun., 861</t>
  </si>
  <si>
    <t>Cambrai, Bibl. mun., 863</t>
  </si>
  <si>
    <t>Cambrai, Bibl. mun., 864</t>
  </si>
  <si>
    <t>Cambrai, Bibl. mun., 90</t>
  </si>
  <si>
    <t>Cambrai, Bibl. mun., 93 [ff. 1-338]</t>
  </si>
  <si>
    <t>Cambrai, Bibl. mun., 96</t>
  </si>
  <si>
    <t>Cambrai, Bibl. mun., 965</t>
  </si>
  <si>
    <t>Cambrai, Bibl. mun., 99</t>
  </si>
  <si>
    <t>Reims, Bibl. mun., 452</t>
  </si>
  <si>
    <t>Troyes, Bibl. mun., 386</t>
  </si>
  <si>
    <t>Troyes, Bibl. mun., 1157 [ff. 1-38]</t>
  </si>
  <si>
    <t>Troyes, Bibl. mun., 268</t>
  </si>
  <si>
    <t>Troyes, Bibl. mun., 1162 [ff. 26-158]</t>
  </si>
  <si>
    <t>Charleville, Bibl. mun., 172</t>
  </si>
  <si>
    <t>Reims, Bibl. mun., 1330</t>
  </si>
  <si>
    <t>Reims, Bibl. mun., 492</t>
  </si>
  <si>
    <t>Reims, Bibl. mun., 812</t>
  </si>
  <si>
    <t>Reims, Bibl. mun., 816</t>
  </si>
  <si>
    <t>Troyes, Bibl. mun., 1484</t>
  </si>
  <si>
    <t>Troyes, Bibl. mun., 1739</t>
  </si>
  <si>
    <t>Verdun, Bibl. mun., 3 [ff. 1-3]</t>
  </si>
  <si>
    <t>Verdun, Bibl. mun., 6</t>
  </si>
  <si>
    <t>Verdun, Bibl. mun., 2 [ff. 103-198]</t>
  </si>
  <si>
    <t>Metz, Bibl. mun., 1154 [ff. 1-76]</t>
  </si>
  <si>
    <t>Nancy, Bibl. mun., 494</t>
  </si>
  <si>
    <t>Colmar, Bibl. mun., 331</t>
  </si>
  <si>
    <t>Reims, Bibl. mun., 250</t>
  </si>
  <si>
    <t>Reims, Bibl. mun., 451 [ff. 1-52]</t>
  </si>
  <si>
    <t>Saint-Mihiel, Bibl. mun., 14</t>
  </si>
  <si>
    <t>Reims, Bibl. mun., 1843</t>
  </si>
  <si>
    <t>Troyes, Bibl. mun., 2006</t>
  </si>
  <si>
    <t>Troyes, Bibl. mun., 1159</t>
  </si>
  <si>
    <t>Troyes, Bibl. mun., 1402</t>
  </si>
  <si>
    <t>Troyes, Bibl. mun., 1999</t>
  </si>
  <si>
    <t>Troyes, Bibl. mun., 426</t>
  </si>
  <si>
    <t>Besancon, Bibl. mun., 538</t>
  </si>
  <si>
    <t>Châlons-sur-Marne, Bibl. mun., 63 [ff. 2-5]</t>
  </si>
  <si>
    <t>Charleville, Bibl. mun., 12 [ff. 1-68]</t>
  </si>
  <si>
    <t>Charleville, Bibl. mun., 2</t>
  </si>
  <si>
    <t>Charleville, Bibl. mun., 246B</t>
  </si>
  <si>
    <t>Charleville, Bibl. mun., 246D</t>
  </si>
  <si>
    <t>Charleville, Bibl. mun., 34</t>
  </si>
  <si>
    <t>Châlons-sur-Marne, Bibl. mun., 48 [ff. 170-239]</t>
  </si>
  <si>
    <t>Charleville, Bibl. mun., 114</t>
  </si>
  <si>
    <t>Colmar, Bibl. mun., 57 [ff. 1-72]</t>
  </si>
  <si>
    <t>Colmar, Bibl. mun., 57 [ff. 73-103]</t>
  </si>
  <si>
    <t>Dole, Bibl. mun., 15</t>
  </si>
  <si>
    <t>Dole, Bibl. mun., 269</t>
  </si>
  <si>
    <t>Metz, Bibl. mun., 262 (2° ms.)</t>
  </si>
  <si>
    <t>Metz, Bibl. mun., 651 [ff. 118-133]</t>
  </si>
  <si>
    <t>Reims, Bibl. mun., 248</t>
  </si>
  <si>
    <t>Troyes, Bibl. mun., 1176 [ff. 24-61]</t>
  </si>
  <si>
    <t>Troyes, Bibl. mun., 1709</t>
  </si>
  <si>
    <t>Troyes, Bibl. mun., 2402</t>
  </si>
  <si>
    <t>Troyes, Bibl. mun., 2403</t>
  </si>
  <si>
    <t>Troyes, Bibl. mun., 244 [ff. 7-191]</t>
  </si>
  <si>
    <t>Troyes, Bibl. mun., 597</t>
  </si>
  <si>
    <t>Troyes, Bibl. mun., 665</t>
  </si>
  <si>
    <t>Troyes, Bibl. mun., 792</t>
  </si>
  <si>
    <t>Troyes, Bibl. mun., 799</t>
  </si>
  <si>
    <t>Troyes, Bibl. mun., 960</t>
  </si>
  <si>
    <t>Toulouse, Bibl. mun., 609</t>
  </si>
  <si>
    <t>Grenoble, Bibl. mun., 16 (1)</t>
  </si>
  <si>
    <t>Grenoble, Bibl. mun., 17 (8)</t>
  </si>
  <si>
    <t>Grenoble, Bibl. mun., 18(3)</t>
  </si>
  <si>
    <t>Chalon-sur-Saône, Bibl. mun., 7</t>
  </si>
  <si>
    <t>Chalon-sur-Saône, Bibl. mun., 8</t>
  </si>
  <si>
    <t>Chalon-sur-Saône, Bibl. mun., 9</t>
  </si>
  <si>
    <t>Dijon, Bibl. mun., 13</t>
  </si>
  <si>
    <t>Dijon, Bibl. mun., 14</t>
  </si>
  <si>
    <t>Dijon, Bibl. mun., 15</t>
  </si>
  <si>
    <t>Dijon, Bibl. mun., 170</t>
  </si>
  <si>
    <t>Avignon, Bibl. mun., 98</t>
  </si>
  <si>
    <t>Albi, Bibl. mun., 25 (76)</t>
  </si>
  <si>
    <t>Beaune, Bibl. mun., 61</t>
  </si>
  <si>
    <t>Dijon, Bibl. mun., 219</t>
  </si>
  <si>
    <t>Grenoble, Bibl. mun., 73 (874)</t>
  </si>
  <si>
    <t>Sens, Bibl. mun., 62</t>
  </si>
  <si>
    <t>Toulouse, Bibl. mun., 161</t>
  </si>
  <si>
    <t>Toulouse, Bibl. mun., 418</t>
  </si>
  <si>
    <t>Auxerre, Bibl. mun., 227</t>
  </si>
  <si>
    <t>Auxerre, Bibl. mun., 212 [ff. 9-92]</t>
  </si>
  <si>
    <t>Sens, Bibl. mun., 55</t>
  </si>
  <si>
    <t>Sens, Bibl. mun., 56</t>
  </si>
  <si>
    <t>Grenoble, Bibl. mun., 861 (293)</t>
  </si>
  <si>
    <t>Nîmes, Bibl. mun., 14</t>
  </si>
  <si>
    <t>Clermont-Ferrand, Bibl. mun., 102</t>
  </si>
  <si>
    <t>Clermont-Ferrand, Bibl. mun., 674</t>
  </si>
  <si>
    <t>Dijon, Bibl. mun., 114</t>
  </si>
  <si>
    <t>Dijon, Bibl. mun., 12</t>
  </si>
  <si>
    <t>Dijon, Bibl. mun., 168</t>
  </si>
  <si>
    <t>Dijon, Bibl. mun., 169</t>
  </si>
  <si>
    <t>Dijon, Bibl. mun., 595</t>
  </si>
  <si>
    <t>Dijon, Bibl. mun., 633</t>
  </si>
  <si>
    <t>Avignon, Bibl. mun., 2833 [ff. 1-24]</t>
  </si>
  <si>
    <t>Auxerre, Bibl. mun., 145</t>
  </si>
  <si>
    <t>Auxerre, Bibl. mun., 161 [ff. 1-101]</t>
  </si>
  <si>
    <t>Auxerre, Bibl. mun., 142</t>
  </si>
  <si>
    <t>Dijon, Bibl. mun., 130</t>
  </si>
  <si>
    <t>Perpignan, Bibl. mun., 4</t>
  </si>
  <si>
    <t>Auxerre, Bibl. mun., 78</t>
  </si>
  <si>
    <t>Chambéry, Bibl. mun., 29</t>
  </si>
  <si>
    <t>Dijon, Bibl. mun., 253 [ff. 2-72]</t>
  </si>
  <si>
    <t>Dijon, Bibl. mun., 597</t>
  </si>
  <si>
    <t>Dijon, Bibl. mun., 60</t>
  </si>
  <si>
    <t>Dijon, Bibl. mun., 658</t>
  </si>
  <si>
    <t>Grenoble, Bibl. mun., 830 (1087)</t>
  </si>
  <si>
    <t>Lyon, Bibl. mun., 464</t>
  </si>
  <si>
    <t>Lyon, Bibl. mun., 678</t>
  </si>
  <si>
    <t>Toulouse, Bibl. mun., 154</t>
  </si>
  <si>
    <t>Toulouse, Bibl. mun., 157 [ff. 1-129]</t>
  </si>
  <si>
    <t>Toulouse, Bibl. mun., 168</t>
  </si>
  <si>
    <t>Toulouse, Bibl. mun., 178</t>
  </si>
  <si>
    <t>Toulouse, Bibl. mun., 185</t>
  </si>
  <si>
    <t>Toulouse, Bibl. mun., 188</t>
  </si>
  <si>
    <t>Toulouse, Bibl. mun., 189</t>
  </si>
  <si>
    <t>Toulouse, Bibl. mun., 44</t>
  </si>
  <si>
    <t>Tours, Bibl. mun., 193 [ff. 1-142]</t>
  </si>
  <si>
    <t>Tours, Bibl. mun., 1028</t>
  </si>
  <si>
    <t>Alençon, Bibl. mun., 151</t>
  </si>
  <si>
    <t>Orléans, Bibl. mun., 202 (179)</t>
  </si>
  <si>
    <t>Rouen, Bibl. mun., 276 (A. 459)</t>
  </si>
  <si>
    <t>Rouen, Bibl. mun., 1405 (Y. 27)</t>
  </si>
  <si>
    <t>Tours, Bibl. mun., 98</t>
  </si>
  <si>
    <t>Rennes, Bibl. mun., 1</t>
  </si>
  <si>
    <t>Avranches, Bibl. mun., 115 [ff. 1-192]</t>
  </si>
  <si>
    <t>Avranches, Bibl. mun., 160 [ff. 135-189]</t>
  </si>
  <si>
    <t>Avranches, Bibl. mun., 95</t>
  </si>
  <si>
    <t>Avranches, Bibl. mun., 97 [ff. 1-256?]</t>
  </si>
  <si>
    <t>Rouen, Bibl. mun., 310 (A. 293)</t>
  </si>
  <si>
    <t>Rouen, Bibl. mun., 209 (Y. 175)</t>
  </si>
  <si>
    <t>Orleans, Bibl. mun., 82</t>
  </si>
  <si>
    <t>Évreux, Bibl. mun., 92 L.</t>
  </si>
  <si>
    <t>Angers, Bibl. mun., 837 (753) [4-46]</t>
  </si>
  <si>
    <t>Angers, Bibl. mun., 827 (743)</t>
  </si>
  <si>
    <t>Angers, Bibl. mun., 225 (216)</t>
  </si>
  <si>
    <t>Angers, Bibl. mun., 302 (293)</t>
  </si>
  <si>
    <t>Angers, Bibl. mun., 312 (303) [ff. 1-40]</t>
  </si>
  <si>
    <t>Angers, Bibl. mun., 668 (605)</t>
  </si>
  <si>
    <t>Avranches, Bibl. mun., 193</t>
  </si>
  <si>
    <t>Avranches, Bibl. mun., 236 [ff. 82bis-97]</t>
  </si>
  <si>
    <t>Avranches, Bibl. mun., 97 [ff. 257-264]</t>
  </si>
  <si>
    <t>Évreux, Bibl. mun., 2 L.</t>
  </si>
  <si>
    <t>Le Mans, Bibl. mun., 109 [pp. 1-136]</t>
  </si>
  <si>
    <t>Orléans, Bibl. mun., 336 (284bis)</t>
  </si>
  <si>
    <t>Orleans, Bibl. mun., 323 [ff. 34-53]</t>
  </si>
  <si>
    <t>Orleans, Bibl. mun., 337</t>
  </si>
  <si>
    <t>Rouen, Bibl. mun., 67 (A. 196)</t>
  </si>
  <si>
    <t>Rouen, Bibl. mun., 77 (A. 155)</t>
  </si>
  <si>
    <t>Rouen, Bibl. mun., 80 (A. 182)</t>
  </si>
  <si>
    <t>Tours, Bibl. mun., 77</t>
  </si>
  <si>
    <t>Orléans, Bibl. mun., 127 (105)</t>
  </si>
  <si>
    <t>Évreux, Bibl. mun., 17 L.</t>
  </si>
  <si>
    <t>Vendôme, Bibl. mun., 17E</t>
  </si>
  <si>
    <t>Vendôme, Bibl. mun., 203</t>
  </si>
  <si>
    <t>Orléans, Bibl. mun., 315 (267bis)</t>
  </si>
  <si>
    <t>Rouen, Bibl. mun., 272 (Y. 196)</t>
  </si>
  <si>
    <t>Alençon, Bibl. mun., 26</t>
  </si>
  <si>
    <t>Rouen, Bibl. mun., 1174 (Y. 14) [ff. 1-100]</t>
  </si>
  <si>
    <t>Rouen, Bibl. mun., 1174 (Y. 14) [ff. 116-139]</t>
  </si>
  <si>
    <t>Rouen, Bibl. mun., 1343 (U. 43)</t>
  </si>
  <si>
    <t>Rouen, Bibl. mun., 31 (A. 24) [ff. 9-48]</t>
  </si>
  <si>
    <t>Orléans, Bibl. mun., 129 (127)</t>
  </si>
  <si>
    <t>Orléans, Bibl. mun., 175 (152)</t>
  </si>
  <si>
    <t>Orléans, Bibl. mun., 229 (200)</t>
  </si>
  <si>
    <t>Orléans, Bibl. mun., 23 (20)</t>
  </si>
  <si>
    <t>Orléans, Bibl. mun., 24 (21)</t>
  </si>
  <si>
    <t>Orléans, Bibl. mun., 25 (22)</t>
  </si>
  <si>
    <t>Orléans, Bibl. mun., 26 (23)</t>
  </si>
  <si>
    <t>Orléans, Bibl. mun., 27 (24)</t>
  </si>
  <si>
    <t>Orléans, Bibl. mun., 277 (233) [pp. 62-77]</t>
  </si>
  <si>
    <t>Orléans, Bibl. mun., 28 (25)</t>
  </si>
  <si>
    <t>Orléans, Bibl. mun., 29 (26)</t>
  </si>
  <si>
    <t>Orléans, Bibl. mun., 30 (27)</t>
  </si>
  <si>
    <t>Orléans, Bibl. mun., 32 (29)</t>
  </si>
  <si>
    <t>Orléans, Bibl. mun., 322 (273) [pp. 9-266]</t>
  </si>
  <si>
    <t>Rouen, Bibl. mun., 1406 (Y. 41)</t>
  </si>
  <si>
    <t>Rouen, Bibl. mun., 277 (Y. 50)</t>
  </si>
  <si>
    <t>Blois, Bibl. mun., 44</t>
  </si>
  <si>
    <t>Rouen, Bibl. mun., 733 (E. 37)</t>
  </si>
  <si>
    <t>Tours, Bibl. mun., 558</t>
  </si>
  <si>
    <t>Tours, Bibl. mun., 1</t>
  </si>
  <si>
    <t>Le Mans, Bibl. mun., 23</t>
  </si>
  <si>
    <t>Avranches, Bibl. mun., 159 [ff. 207-238]</t>
  </si>
  <si>
    <t>Avranches, Bibl. mun., 159 [ff. 4-206]</t>
  </si>
  <si>
    <t>Avranches, Bibl. mun., 210 [ff. 5-115]</t>
  </si>
  <si>
    <t>Avranches, Bibl. mun., 211 [ff. 156-210]</t>
  </si>
  <si>
    <t>Avranches, Bibl. mun., 211 [ff. 67-77]</t>
  </si>
  <si>
    <t>Avranches, Bibl. mun., 229 [ff. 116-192]</t>
  </si>
  <si>
    <t>Avranches, Bibl. mun., 98</t>
  </si>
  <si>
    <t>Tours, Bibl. mun., 308</t>
  </si>
  <si>
    <t>Tours, Bibl. mun., 344</t>
  </si>
  <si>
    <t>Tours, Bibl. mun., 90</t>
  </si>
  <si>
    <t>Le Mans, Bibl. mun., 224 [ff. 1-4]</t>
  </si>
  <si>
    <t>Quimper, Bibl. mun., 16</t>
  </si>
  <si>
    <t>Rouen, Bibl. mun., 1378 (U. 40)</t>
  </si>
  <si>
    <t>Rouen, Bibl. mun., 1409 (Y. 189)</t>
  </si>
  <si>
    <t>Rouen, Bibl. mun., 144 (A. 257)</t>
  </si>
  <si>
    <t>Rouen, Bibl. mun., 210 (Y. 175)</t>
  </si>
  <si>
    <t>Rouen, Bibl. mun., 395 (Y. 127)</t>
  </si>
  <si>
    <t>Rouen, Bibl. mun., 544 (A. 315)</t>
  </si>
  <si>
    <t>Nantes, Bibl. mun., 1</t>
  </si>
  <si>
    <t>Bourges, Bibl. mun., 218</t>
  </si>
  <si>
    <t>Rouen, Bibl. mun., 477 (A. 191)</t>
  </si>
  <si>
    <t>Rouen, Bibl. mun., 489 (A. 254)</t>
  </si>
  <si>
    <t>Angers, Bibl. mun., 187 (179)</t>
  </si>
  <si>
    <t>Angers, Bibl. mun., 283 (274)</t>
  </si>
  <si>
    <t>Angers, Bibl. mun., 400 (387)</t>
  </si>
  <si>
    <t>Angers, Bibl. mun., 121 (113)</t>
  </si>
  <si>
    <t>Angers, Bibl. mun., 123 (115)</t>
  </si>
  <si>
    <t>Angers, Bibl. mun., 676 (613)</t>
  </si>
  <si>
    <t>Angers, Bibl. mun., 797 (713)</t>
  </si>
  <si>
    <t>Angers, Bibl. mun., 92 (84)</t>
  </si>
  <si>
    <t>Rouen, Bibl. mun., 32 (A. 21)</t>
  </si>
  <si>
    <t>Angers, Bibl. mun., 371 (358)</t>
  </si>
  <si>
    <t>Angers, Bibl. mun., 381 (368) [ff. 1-92]</t>
  </si>
  <si>
    <t>Angers, Bibl. mun., 381 (368) [ff. 93-115]</t>
  </si>
  <si>
    <t>Angers, Bibl. mun., 7 (4)</t>
  </si>
  <si>
    <t>Oxford, Bodleian Library, Bodley 579 [ff. 38-59]</t>
  </si>
  <si>
    <t>Oxford, Bodleian Library, Bodley 672</t>
  </si>
  <si>
    <t>Oxford, Bodleian Library, Bodley 852 [ff. 1-31]</t>
  </si>
  <si>
    <t>Oxford, Bodleian Library, Auct. D. 2. 4 [ff.iii-xii]</t>
  </si>
  <si>
    <t>Oxford, Bodleian Library, bodl. Add. A . 197</t>
  </si>
  <si>
    <t>Oxford, Bodleian Library, Bodley 917</t>
  </si>
  <si>
    <t>Oxford, Bodleian Library, Jesus College 70</t>
  </si>
  <si>
    <t>Oxford, Bodleian Library, New College 3</t>
  </si>
  <si>
    <t>Oxford, Bodleian Library, New College 4</t>
  </si>
  <si>
    <t>Oxford, Bodleian Library, New College 6</t>
  </si>
  <si>
    <t>Oxford, Bodleian Library, Canon. Bibl. Lat. 56</t>
  </si>
  <si>
    <t>Oxford, Bodleian Library, Canon. Bibl. Lat. 61</t>
  </si>
  <si>
    <t>Oxford, Bodleian Library, bodl. Add. B. 62</t>
  </si>
  <si>
    <t>Oxford, Bodleian Library, bodl. Add. C. 142</t>
  </si>
  <si>
    <t>Oxford, Bodleian Library, Canon. Liturg. 277</t>
  </si>
  <si>
    <t>Oxford, Bodleian Library, Canon. Liturg. 297</t>
  </si>
  <si>
    <t>Oxford, Bodleian Library, Canon. Liturg. 319</t>
  </si>
  <si>
    <t>Oxford, Bodleian Library, Canon. Liturg. 325</t>
  </si>
  <si>
    <t>Oxford, Bodleian Library, Canon. Liturg. 340</t>
  </si>
  <si>
    <t>Oxford, Bodleian Library, Canon. Liturg. 346</t>
  </si>
  <si>
    <t>Oxford, Bodleian Library, Canon. Liturg. 370</t>
  </si>
  <si>
    <t>Oxford, Bodleian Library, bodl. Add. D. 104</t>
  </si>
  <si>
    <t>Oxford, Bodleian Library, bodl. Add. E. 14 ( R )</t>
  </si>
  <si>
    <t>Oxford, Bodleian Library, Canon. Misc. 230</t>
  </si>
  <si>
    <t>Oxford, Bodleian Library, Ashmole 341 [ff. 1-114]</t>
  </si>
  <si>
    <t>Oxford, Bodleian Library, Ashmole 399</t>
  </si>
  <si>
    <t>Oxford, Bodleian Library, Canon. Misc. 560</t>
  </si>
  <si>
    <t>Oxford, Bodleian Library, Canon. Pat. Lat. 148</t>
  </si>
  <si>
    <t>Oxford, Bodleian Library, Digby 2</t>
  </si>
  <si>
    <t>Oxford, Bodleian Library, Digby 40 [ff. 21-51]</t>
  </si>
  <si>
    <t>Oxford, Bodleian Library, Digby 56 [ff. 156-219]</t>
  </si>
  <si>
    <t>Oxford, Bodleian Library, Auct. D. 2. 6 [ff. 2-8]</t>
  </si>
  <si>
    <t>Oxford, Bodleian Library, Digby 81 [ff. 133-140]</t>
  </si>
  <si>
    <t>Oxford, Bodleian Library, Digby 86</t>
  </si>
  <si>
    <t>Oxford, Bodleian Library, D'Orville 45</t>
  </si>
  <si>
    <t>Oxford, Bodleian Library, Auct. D. 4. 6</t>
  </si>
  <si>
    <t>Oxford, Bodleian Library, Douce 94</t>
  </si>
  <si>
    <t>Oxford, Bodleian Library, Douce 132</t>
  </si>
  <si>
    <t>Oxford, Bodleian Library, Auct. D. 4. 13 [ff. 129-218]</t>
  </si>
  <si>
    <t>Oxford, Bodleian Library, Douce 137 [ff. 98-109]</t>
  </si>
  <si>
    <t>Oxford, Bodleian Library, Douce 180</t>
  </si>
  <si>
    <t>Oxford, Bodleian Library, Douce 270</t>
  </si>
  <si>
    <t>Oxford, Bodleian Library, Douce 296</t>
  </si>
  <si>
    <t>Oxford, Bodleian Library, Auct. E. inf. 6</t>
  </si>
  <si>
    <t>Oxford, Bodleian Library, Auct. E. inf. 7</t>
  </si>
  <si>
    <t>Oxford, Bodleian Library, Hatton 26 [ff. 205-213]</t>
  </si>
  <si>
    <t>Oxford, Bodleian Library, Hatton 30</t>
  </si>
  <si>
    <t>Oxford, Bodleian Library, Hatton 113</t>
  </si>
  <si>
    <t>Oxford, Bodleian Library, Hatton 114</t>
  </si>
  <si>
    <t>Oxford, Bodleian Library, Junius 121</t>
  </si>
  <si>
    <t>Oxford, Bodleian Library, Lat. bib. f. 3</t>
  </si>
  <si>
    <t>Oxford, Bodleian Library, Lat. liturg. f. 1</t>
  </si>
  <si>
    <t>Oxford, Bodleian Library, Lat. liturg. f. 26</t>
  </si>
  <si>
    <t>Oxford, Bodleian Library, Savile 21 [ff. 170-81]</t>
  </si>
  <si>
    <t>Oxford, Bodleian Library, Lat. Th. E. 5</t>
  </si>
  <si>
    <t>Oxford, Bodleian Library, Laud Misc. 95 [ff. 408-427]</t>
  </si>
  <si>
    <t>Oxford, Bodleian Library, Laud Misc. 415</t>
  </si>
  <si>
    <t>Oxford, Bodleian Library, Laud Misc. 605</t>
  </si>
  <si>
    <t>Oxford, Bodleian Library, Laud Misc. 633 [ff. 1-94]</t>
  </si>
  <si>
    <t>Oxford, Bodleian Library, Laud Misc. 636 [ff. 1-91]</t>
  </si>
  <si>
    <t>Oxford, Bodleian Library, Laud Misc. 636 [ff. 88v-91?]</t>
  </si>
  <si>
    <t>Oxford, Bodleian Library, Laud Misc. 644</t>
  </si>
  <si>
    <t>Oxford, Bodleian Library, Laud Misc. 646</t>
  </si>
  <si>
    <t>Oxford, Bodleian Library, Auct. T. 1. 23</t>
  </si>
  <si>
    <t>Oxford, Bodleian Library, Laud Misc. 750 [ff. 2-5]</t>
  </si>
  <si>
    <t>Oxford, Bodleian Library, Barlow 6</t>
  </si>
  <si>
    <t>Oxford, Bodleian Library, eMusaeo 112</t>
  </si>
  <si>
    <t>Oxford, Bodleian Library, eMusaeo 185</t>
  </si>
  <si>
    <t>Oxford, Bodleian Library, eMusaeo 249</t>
  </si>
  <si>
    <t>Oxford, Bodleian Library, Rawlinson B. 503 [ff. 1-44]</t>
  </si>
  <si>
    <t>Oxford, Bodleian Library, Bodley 91 [ff. 103-30]</t>
  </si>
  <si>
    <t>Oxford, Bodleian Library, Rawlinson C. 819</t>
  </si>
  <si>
    <t>Oxford, Bodleian Library, Rawlinson C. 939 [ff. 154-165]</t>
  </si>
  <si>
    <t>Oxford, Bodleian Library, Rawlinson Q. f. 8</t>
  </si>
  <si>
    <t>Oxford, Bodleian Library, Lat. Th. B. 4</t>
  </si>
  <si>
    <t>Oxford, Bodleian Library, Savile 22</t>
  </si>
  <si>
    <t>Oxford, Bodleian Library, Archivum Seldenianum B. 16</t>
  </si>
  <si>
    <t>Oxford, Bodleian Library, Tanner 169*</t>
  </si>
  <si>
    <t>Oxford, Bodleian Library, All Souls College 69 [ff. 1-128]</t>
  </si>
  <si>
    <t>Oxford, Bodleian Library, Bodley 232 [ff. 10-17]</t>
  </si>
  <si>
    <t>Oxford, Bodleian Library, Balliol College 119</t>
  </si>
  <si>
    <t>Oxford, Bodleian Library, Bodley 297</t>
  </si>
  <si>
    <t>Oxford, Bodleian Library, Bodley 309</t>
  </si>
  <si>
    <t>Oxford, Bodleian Library, Christ Church fr. 341 [ff. 7-45]</t>
  </si>
  <si>
    <t>Oxford, Bodleian Library, Corpus Christi College 157 [p. 388]</t>
  </si>
  <si>
    <t>Oxford, Bodleian Library, Corpus Christi College 283 [ff. 156-171]</t>
  </si>
  <si>
    <t>Oxford, Bodleian Library, Bodley 345</t>
  </si>
  <si>
    <t>Oxford, Bodleian Library, Exeter College 69 [ff. 1-81]</t>
  </si>
  <si>
    <t>Oxford, Bodleian Library, Jesus College 26</t>
  </si>
  <si>
    <t>Oxford, Bodleian Library, Jesus College 52</t>
  </si>
  <si>
    <t>Oxford, Bodleian Library, Jesus College 53</t>
  </si>
  <si>
    <t>Oxford, Bodleian Library, Jesus College 63</t>
  </si>
  <si>
    <t>Oxford, Bodleian Library, Jesus College 67</t>
  </si>
  <si>
    <t>Oxford, Bodleian Library, Jesus College 68</t>
  </si>
  <si>
    <t>Oxford, Bodleian Library, Keble College 49</t>
  </si>
  <si>
    <t>Oxford, Bodleian Library, Lincoln College Lat. 100</t>
  </si>
  <si>
    <t>Oxford, Bodleian Library, Bodley 399</t>
  </si>
  <si>
    <t>Oxford, Bodleian Library, Bodley 406</t>
  </si>
  <si>
    <t>Oxford, Bodleian Library, Merton College 261 [ff. 72-112]</t>
  </si>
  <si>
    <t>Oxford, Bodleian Library, New College 5</t>
  </si>
  <si>
    <t>Oxford, Bodleian Library, St Edmund Hall Kk. 60</t>
  </si>
  <si>
    <t>Oxford, Bodleian Library, St. John's College 17</t>
  </si>
  <si>
    <t>Oxford, Bodleian Library, St. John's College 49</t>
  </si>
  <si>
    <t>Oxford, Bodleian Library, Wadham College 1 (A. 5. 2)</t>
  </si>
  <si>
    <t>Oxford, Bodleian Library, Bodley 561 [ff. 61-97]</t>
  </si>
  <si>
    <t>Avranches, Bibl. mun., 151</t>
  </si>
  <si>
    <t>Avranches, Bibl. mun., 240</t>
  </si>
  <si>
    <t>Blois, Bibl. mun., 470 (A. 291)</t>
  </si>
  <si>
    <t>Évreux, Bibl. mun., 60 L.</t>
  </si>
  <si>
    <t>Évreux, Bibl. mun., 67 L.</t>
  </si>
  <si>
    <t>Orléans, Bibl. mun., 143 (120)</t>
  </si>
  <si>
    <t>Orléans, Bibl. mun., 299 (252)</t>
  </si>
  <si>
    <t>Rouen, Bibl. mun., 74 (A. 183)</t>
  </si>
  <si>
    <t>Rouen, Bibl. mun., 741 (E. 79) [ff. 1-42]</t>
  </si>
  <si>
    <t>Rouen, Bibl. mun., 75 (A. 184)</t>
  </si>
  <si>
    <t>Rouen, Bibl. mun., 766 (E. 105) [ff. 1-70]</t>
  </si>
  <si>
    <t>Saint-Brieuc, Bibl. mun., 7</t>
  </si>
  <si>
    <t>Tours, Bibl. mun., 127</t>
  </si>
  <si>
    <t>Tours, Bibl. mun., 654</t>
  </si>
  <si>
    <t>London, Lincoln's Inn Hall, 12 [ff. 449-451]</t>
  </si>
  <si>
    <t>London, Lincoln's Inn Hall, 135</t>
  </si>
  <si>
    <t>London, Lincoln's Inn, Misc. 1</t>
  </si>
  <si>
    <t>London, PRO, E 31/1</t>
  </si>
  <si>
    <t>London, Royal College of Physicians, 409</t>
  </si>
  <si>
    <t>London, Society of Antiquaries, 59 [ff. 25-236]</t>
  </si>
  <si>
    <t>London, Society of Antiquaries, 60 [ff. 209-219]</t>
  </si>
  <si>
    <t>London, Society of Antiquaries, 154</t>
  </si>
  <si>
    <t>London, UCL, Germ. 16 [ff. 13-17]</t>
  </si>
  <si>
    <t>London, Congregational Library, I.f.33 [ff. 1-64]</t>
  </si>
  <si>
    <t>London, CLRO, Cust. 1</t>
  </si>
  <si>
    <t>London, V &amp; A, L. 404-1916</t>
  </si>
  <si>
    <t>London, Gray's Inn, 14 [ff. 23-60]</t>
  </si>
  <si>
    <t>London, Guildhall, 1362</t>
  </si>
  <si>
    <t>London, Lambeth Palace, 8</t>
  </si>
  <si>
    <t>London, Lambeth Palace, 51</t>
  </si>
  <si>
    <t>London, Lambeth Palace, 109</t>
  </si>
  <si>
    <t>London, Lambeth Palace, 209</t>
  </si>
  <si>
    <t>London, Lambeth Palace, 236</t>
  </si>
  <si>
    <t>London, Lambeth Palace, 415</t>
  </si>
  <si>
    <t>London, Lambeth Palace, 489</t>
  </si>
  <si>
    <t>London, Lambeth Palace, 499</t>
  </si>
  <si>
    <t>London, College of Arms, Arundel 10 [ff. 39-112]</t>
  </si>
  <si>
    <t>London, College of Arms, Arundel 30 [ff. 97-190]</t>
  </si>
  <si>
    <t>London, College of Arms, Arundel 58</t>
  </si>
  <si>
    <t>London, College of Arms, Arundel 60</t>
  </si>
  <si>
    <t>Vatican, Vatican Apostolic Library, Vat. Lat. 1435</t>
  </si>
  <si>
    <t>Vatican, Vatican Apostolic Library, Vat. Lat. 2083</t>
  </si>
  <si>
    <t>Vatican, Vatican Apostolic Library, Vat. Lat. 151</t>
  </si>
  <si>
    <t>Schotten, ?, Cod. 293 (201)</t>
  </si>
  <si>
    <t>Paris, Sainte-Geneviéve, 566</t>
  </si>
  <si>
    <t>Paris, Arsenal, 2995</t>
  </si>
  <si>
    <t>Paris, Arsenal, 3152</t>
  </si>
  <si>
    <t>Paris, Mazarine, 2015</t>
  </si>
  <si>
    <t>Paris, Mazarine, 3347</t>
  </si>
  <si>
    <t>Paris, Mazarine, 5</t>
  </si>
  <si>
    <t>Paris, Mazarine, 536</t>
  </si>
  <si>
    <t>Paris, Sainte-Genevieve, 1256</t>
  </si>
  <si>
    <t>Paris, Sainte-Geneviéve, 98</t>
  </si>
  <si>
    <t>Chantilly, Mus. Condé, 16 (1148)</t>
  </si>
  <si>
    <t>Chantilly, Mus. Condé, 428 (912)</t>
  </si>
  <si>
    <t>Paris, Mazarine, 526</t>
  </si>
  <si>
    <t>Paris, Bibl. univ., 173</t>
  </si>
  <si>
    <t>Paris, Arsenal, 854</t>
  </si>
  <si>
    <t>Paris, Mazarine, 364</t>
  </si>
  <si>
    <t>Chantilly, Mus. Condé, 649 (1111)</t>
  </si>
  <si>
    <t>Chantilly,-Mus. Condé, 121 (607)</t>
  </si>
  <si>
    <t>Paris, Sainte-Geneviéve, 2689</t>
  </si>
  <si>
    <t>Paris, Arsenal, 805</t>
  </si>
  <si>
    <t>Paris, Arsenal, 1169</t>
  </si>
  <si>
    <t>Chantilly, Mus. Condé, 476 (644)</t>
  </si>
  <si>
    <t>Paris, Arsenal, 3139</t>
  </si>
  <si>
    <t>Paris, Arsenal, 3340</t>
  </si>
  <si>
    <t>Paris, Arsenal, 352</t>
  </si>
  <si>
    <t>Paris, Arsenal, 370</t>
  </si>
  <si>
    <t>Paris, Arsenal, 534</t>
  </si>
  <si>
    <t>Paris, Arsenal, 734</t>
  </si>
  <si>
    <t>Paris, Arsenal, 887</t>
  </si>
  <si>
    <t>Paris, Mazarine, 2013 [ff. 1-231]</t>
  </si>
  <si>
    <t>Paris, Mazarine, 844</t>
  </si>
  <si>
    <t>Oxford, Bodleian Library, Canon. Liturg. 354</t>
  </si>
  <si>
    <t>Paris, Mazarine, 851</t>
  </si>
  <si>
    <t>Paris, Mazarine, 870</t>
  </si>
  <si>
    <t>Paris, Sainte-Geneviéve, 1403</t>
  </si>
  <si>
    <t>Paris, Sainte-Geneviéve, 2200</t>
  </si>
  <si>
    <t>Paris, Sainte-Geneviéve, 2899</t>
  </si>
  <si>
    <t>Strasbourg, Grand Séminaire, 37</t>
  </si>
  <si>
    <t>Montpellier, Fac. méd., 303 [ff. 2v-4]</t>
  </si>
  <si>
    <t>Montpellier, Fac. méd., 303 [ff. 5-173]</t>
  </si>
  <si>
    <t>Montpellier, Fac. méd., 10 [ff. 1-353]</t>
  </si>
  <si>
    <t>Montpellier, Fac. méd., 373</t>
  </si>
  <si>
    <t>Montpellier, Fac. méd., 395</t>
  </si>
  <si>
    <t>Florence, BML, Acq. e doni 149</t>
  </si>
  <si>
    <t>Cesena, BCM, Piana 3.210</t>
  </si>
  <si>
    <t>Vicenza, Bibl. cap., U. VIII. 1</t>
  </si>
  <si>
    <t>Vicenza, Bibl. cap., U. VIII. 2</t>
  </si>
  <si>
    <t>Vicenza, Bibl. cap., U. VIII. 4</t>
  </si>
  <si>
    <t>Vicenza, Bibl. cap., U. VIII. 3</t>
  </si>
  <si>
    <t>Padova, Bibl. Ant., 550</t>
  </si>
  <si>
    <t>Padova, Bibl. Ant., 51</t>
  </si>
  <si>
    <t>Udine, B.C., ms. Jo. 142</t>
  </si>
  <si>
    <t>Vatican, Vatican Apostolic Library, Borgh. 127</t>
  </si>
  <si>
    <t>Vatican, Vatican Apostolic Library, Borgh. Lat. 435 [ff. 294-365]</t>
  </si>
  <si>
    <t>Vatican, Vatican Apostolic Library, Ott. Lat. 5</t>
  </si>
  <si>
    <t>Vatican, Vatican Apostolic Library, Ott. Lat. 57</t>
  </si>
  <si>
    <t>Vatican, Vatican Apostolic Library, Ott. Lat. 532 [ff. 7-470]</t>
  </si>
  <si>
    <t>Vatican, Vatican Apostolic Library, Arch. S. Pietro A. 26</t>
  </si>
  <si>
    <t>Vatican, Vatican Apostolic Library, Ott. Lat. 608</t>
  </si>
  <si>
    <t>Vatican, Vatican Apostolic Library, Ott. Lat. 1430 [ff. 95-119v]</t>
  </si>
  <si>
    <t>Vatican, Vatican Apostolic Library, Ott. Lat. 1850 [ff. 7b-64v]</t>
  </si>
  <si>
    <t>Vatican, Vatican Apostolic Library, Ott. Lat. 2082</t>
  </si>
  <si>
    <t>Vatican, Vatican Apostolic Library, Barb. Lat. 587 [ff. 304-308]</t>
  </si>
  <si>
    <t>Vatican, Vatican Apostolic Library, Arch. S. Pietro A. 181</t>
  </si>
  <si>
    <t>Avranches, Bibl. mun., 214 [pp. 1-198, 1-108]</t>
  </si>
  <si>
    <t>Angers, Bibl. mun., 799 (715) [ff. 1-100, 120-171]</t>
  </si>
  <si>
    <t>shelf_short</t>
  </si>
  <si>
    <t xml:space="preserve">Paris, Mazarine, 2013 </t>
  </si>
  <si>
    <t xml:space="preserve">Montpellier, Fac. méd., 303 </t>
  </si>
  <si>
    <t xml:space="preserve">Montpellier, Fac. méd., 10 </t>
  </si>
  <si>
    <t xml:space="preserve">Vatican, Vatican Apostolic Library, Borgh. Lat. 435 </t>
  </si>
  <si>
    <t xml:space="preserve">Vatican, Vatican Apostolic Library, Ott. Lat. 532 </t>
  </si>
  <si>
    <t xml:space="preserve">Vatican, Vatican Apostolic Library, Ott. Lat. 1430 </t>
  </si>
  <si>
    <t xml:space="preserve">Vatican, Vatican Apostolic Library, Ott. Lat. 1850 </t>
  </si>
  <si>
    <t xml:space="preserve">Vatican, Vatican Apostolic Library, Barb. Lat. 587 </t>
  </si>
  <si>
    <t xml:space="preserve">London, British Library, Add. 15722 </t>
  </si>
  <si>
    <t xml:space="preserve">London, British Library, Add. 16952 </t>
  </si>
  <si>
    <t xml:space="preserve">London, British Library, Add. 37068 </t>
  </si>
  <si>
    <t xml:space="preserve">London, British Library, Add. 40000 </t>
  </si>
  <si>
    <t xml:space="preserve">London, British Library, Arundel 60 </t>
  </si>
  <si>
    <t xml:space="preserve">London, British Library, Add. 11294 </t>
  </si>
  <si>
    <t xml:space="preserve">London, British Library, Arundel 470 </t>
  </si>
  <si>
    <t xml:space="preserve">London, British Library, Cotton Caligula A.XII </t>
  </si>
  <si>
    <t xml:space="preserve">London, British Library, Cotton Caligula A.XV </t>
  </si>
  <si>
    <t xml:space="preserve">London, British Library, Cotton Claudius A.III </t>
  </si>
  <si>
    <t xml:space="preserve">London, British Library, Cotton Claudius C.IX </t>
  </si>
  <si>
    <t xml:space="preserve">London, British Library, Cotton Claudius D.VI </t>
  </si>
  <si>
    <t xml:space="preserve">London, British Library, Cotton Claudius E.III </t>
  </si>
  <si>
    <t xml:space="preserve">London, British Library, Cotton Cleopatra A.VII </t>
  </si>
  <si>
    <t xml:space="preserve">London, British Library, Cotton Cleopatra A.XII </t>
  </si>
  <si>
    <t xml:space="preserve">London, British Library, Cotton Cleopatra B.XIII </t>
  </si>
  <si>
    <t xml:space="preserve">London, British Library, Cotton Cleopatra D.IX </t>
  </si>
  <si>
    <t xml:space="preserve">London, British Library, Cotton Cleopatra E.I </t>
  </si>
  <si>
    <t xml:space="preserve">London, British Library, Cotton Faustina A.VIII </t>
  </si>
  <si>
    <t xml:space="preserve">London, British Library, Cotton Faustina B.VII </t>
  </si>
  <si>
    <t xml:space="preserve">London, British Library, Cotton Galba E.III </t>
  </si>
  <si>
    <t xml:space="preserve">London, British Library, Cotton Galba E.X </t>
  </si>
  <si>
    <t xml:space="preserve">London, British Library, Cotton Julius A.I </t>
  </si>
  <si>
    <t xml:space="preserve">London, British Library, Cotton Julius A.VII </t>
  </si>
  <si>
    <t xml:space="preserve">London, British Library, Cotton Nero A.I </t>
  </si>
  <si>
    <t xml:space="preserve">London, British Library, Cotton Nero C.V </t>
  </si>
  <si>
    <t xml:space="preserve">London, British Library, Cotton Nero C.VII </t>
  </si>
  <si>
    <t xml:space="preserve">London, British Library, Cotton Nero D.I </t>
  </si>
  <si>
    <t xml:space="preserve">London, British Library, Cotton Nero D.II </t>
  </si>
  <si>
    <t xml:space="preserve">London, British Library, Cotton Nero D.V </t>
  </si>
  <si>
    <t xml:space="preserve">London, British Library, Cotton Nero E.VIII </t>
  </si>
  <si>
    <t xml:space="preserve">London, British Library, Cotton Tiberius A.III </t>
  </si>
  <si>
    <t xml:space="preserve">London, British Library, Cotton Tiberius A.VI </t>
  </si>
  <si>
    <t xml:space="preserve">London, British Library, Cotton Tiberius A.XIII </t>
  </si>
  <si>
    <t xml:space="preserve">London, British Library, Cotton Tiberius B.I </t>
  </si>
  <si>
    <t xml:space="preserve">London, British Library, Cotton Tiberius B.II </t>
  </si>
  <si>
    <t xml:space="preserve">London, British Library, Cotton Tiberius B.IV </t>
  </si>
  <si>
    <t xml:space="preserve">London, British Library, Cotton Tiberius B.V </t>
  </si>
  <si>
    <t xml:space="preserve">London, British Library, Cotton Tiberius C.I </t>
  </si>
  <si>
    <t xml:space="preserve">London, British Library, Cotton Tiberius E.IV </t>
  </si>
  <si>
    <t xml:space="preserve">London, British Library, Cotton Vespasian A.VIII </t>
  </si>
  <si>
    <t xml:space="preserve">London, British Library, Cotton Vespasian A.IX </t>
  </si>
  <si>
    <t xml:space="preserve">London, British Library, Cotton Vespasian A.XIV </t>
  </si>
  <si>
    <t xml:space="preserve">London, British Library, Cotton Vespasian E.V </t>
  </si>
  <si>
    <t xml:space="preserve">London, British Library, Cotton Vitellius A.VIII </t>
  </si>
  <si>
    <t xml:space="preserve">London, British Library, Cotton Vitellius A.XVII </t>
  </si>
  <si>
    <t xml:space="preserve">London, British Library, Cotton Vitellius A.XX </t>
  </si>
  <si>
    <t xml:space="preserve">London, British Library, Cotton Vitellius C.XII </t>
  </si>
  <si>
    <t xml:space="preserve">London, British Library, Egerton 2615 </t>
  </si>
  <si>
    <t xml:space="preserve">London, British Library, Harley 55 </t>
  </si>
  <si>
    <t xml:space="preserve">London, British Library, Harley 447 </t>
  </si>
  <si>
    <t xml:space="preserve">London, British Library, Harley 531 </t>
  </si>
  <si>
    <t xml:space="preserve">London, British Library, Harley 863 </t>
  </si>
  <si>
    <t xml:space="preserve">London, British Library, Harley 978 </t>
  </si>
  <si>
    <t xml:space="preserve">London, British Library, Harley 3038 </t>
  </si>
  <si>
    <t xml:space="preserve">London, British Library, Harley 3271 </t>
  </si>
  <si>
    <t xml:space="preserve">London, British Library, Harley 4487 </t>
  </si>
  <si>
    <t xml:space="preserve">London, British Library, Royal 5 A.XI </t>
  </si>
  <si>
    <t xml:space="preserve">London, British Library, Royal 5 B.XII </t>
  </si>
  <si>
    <t xml:space="preserve">London, British Library, Stowe 944 </t>
  </si>
  <si>
    <t xml:space="preserve">Cambridge, Corpus Christi College, 173 </t>
  </si>
  <si>
    <t xml:space="preserve">Cambridge, Corpus Christi College, 201 </t>
  </si>
  <si>
    <t xml:space="preserve">Cambridge, Corpus Christi College, 422 </t>
  </si>
  <si>
    <t xml:space="preserve">Cambridge, Corpus Christi College, 465 </t>
  </si>
  <si>
    <t xml:space="preserve">Cambridge, Gonville &amp; Caius College, 427/427 </t>
  </si>
  <si>
    <t xml:space="preserve">Cambridge, Gonville &amp; Caius College, 494/263 </t>
  </si>
  <si>
    <t xml:space="preserve">Cambridge, St John's College, Muniments C. 7. 1 </t>
  </si>
  <si>
    <t xml:space="preserve">Cambridge, Trinity College, R. 3. 29 (609) </t>
  </si>
  <si>
    <t xml:space="preserve">Cambridge, Trinity College, R. 7. 28 (770) </t>
  </si>
  <si>
    <t xml:space="preserve">Cambridge, Trinity College, R. 15. 32 (945) </t>
  </si>
  <si>
    <t xml:space="preserve">Cambridge, Trinity College, 0. 2. 1. (1105) </t>
  </si>
  <si>
    <t xml:space="preserve">Cambridge, Trinity College, 0. 5. 20 (1301) </t>
  </si>
  <si>
    <t xml:space="preserve">Cambrai, Bibl. mun., 1152 </t>
  </si>
  <si>
    <t xml:space="preserve">Cambrai, Bibl. mun., 1222 </t>
  </si>
  <si>
    <t xml:space="preserve">Cambrai, Bibl. mun., 170 </t>
  </si>
  <si>
    <t xml:space="preserve">Cambrai, Bibl. mun., 219 </t>
  </si>
  <si>
    <t xml:space="preserve">Cambrai, Bibl. mun., 229 </t>
  </si>
  <si>
    <t xml:space="preserve">Cambrai, Bibl. mun., 46 </t>
  </si>
  <si>
    <t xml:space="preserve">Cambrai, Bibl. mun., 56 </t>
  </si>
  <si>
    <t xml:space="preserve">Cambrai, Bibl. mun., 809 </t>
  </si>
  <si>
    <t xml:space="preserve">Cambrai, Bibl. mun., 825 </t>
  </si>
  <si>
    <t xml:space="preserve">Cambrai, Bibl. mun., 93 </t>
  </si>
  <si>
    <t xml:space="preserve">Troyes, Bibl. mun., 1157 </t>
  </si>
  <si>
    <t xml:space="preserve">Troyes, Bibl. mun., 1162 </t>
  </si>
  <si>
    <t xml:space="preserve">Verdun, Bibl. mun., 3 </t>
  </si>
  <si>
    <t xml:space="preserve">Verdun, Bibl. mun., 2 </t>
  </si>
  <si>
    <t xml:space="preserve">Metz, Bibl. mun., 1154 </t>
  </si>
  <si>
    <t xml:space="preserve">Reims, Bibl. mun., 451 </t>
  </si>
  <si>
    <t xml:space="preserve">Châlons-sur-Marne, Bibl. mun., 63 </t>
  </si>
  <si>
    <t xml:space="preserve">Charleville, Bibl. mun., 12 </t>
  </si>
  <si>
    <t xml:space="preserve">Châlons-sur-Marne, Bibl. mun., 48 </t>
  </si>
  <si>
    <t xml:space="preserve">Colmar, Bibl. mun., 57 </t>
  </si>
  <si>
    <t xml:space="preserve">Metz, Bibl. mun., 651 </t>
  </si>
  <si>
    <t xml:space="preserve">Troyes, Bibl. mun., 1176 </t>
  </si>
  <si>
    <t xml:space="preserve">Troyes, Bibl. mun., 244 </t>
  </si>
  <si>
    <t xml:space="preserve">Auxerre, Bibl. mun., 212 </t>
  </si>
  <si>
    <t xml:space="preserve">Avignon, Bibl. mun., 2833 </t>
  </si>
  <si>
    <t xml:space="preserve">Auxerre, Bibl. mun., 161 </t>
  </si>
  <si>
    <t xml:space="preserve">Dijon, Bibl. mun., 253 </t>
  </si>
  <si>
    <t xml:space="preserve">Toulouse, Bibl. mun., 157 </t>
  </si>
  <si>
    <t xml:space="preserve">Tours, Bibl. mun., 193 </t>
  </si>
  <si>
    <t xml:space="preserve">Avranches, Bibl. mun., 115 </t>
  </si>
  <si>
    <t xml:space="preserve">Avranches, Bibl. mun., 160 </t>
  </si>
  <si>
    <t xml:space="preserve">Avranches, Bibl. mun., 97 </t>
  </si>
  <si>
    <t xml:space="preserve">Angers, Bibl. mun., 837 (753) </t>
  </si>
  <si>
    <t xml:space="preserve">Angers, Bibl. mun., 312 (303) </t>
  </si>
  <si>
    <t xml:space="preserve">Avranches, Bibl. mun., 236 </t>
  </si>
  <si>
    <t xml:space="preserve">Le Mans, Bibl. mun., 109 </t>
  </si>
  <si>
    <t xml:space="preserve">Orleans, Bibl. mun., 323 </t>
  </si>
  <si>
    <t xml:space="preserve">Rouen, Bibl. mun., 1174 (Y. 14) </t>
  </si>
  <si>
    <t xml:space="preserve">Rouen, Bibl. mun., 31 (A. 24) </t>
  </si>
  <si>
    <t xml:space="preserve">Orléans, Bibl. mun., 277 (233) </t>
  </si>
  <si>
    <t xml:space="preserve">Orléans, Bibl. mun., 322 (273) </t>
  </si>
  <si>
    <t xml:space="preserve">Avranches, Bibl. mun., 159 </t>
  </si>
  <si>
    <t xml:space="preserve">Avranches, Bibl. mun., 210 </t>
  </si>
  <si>
    <t xml:space="preserve">Avranches, Bibl. mun., 211 </t>
  </si>
  <si>
    <t xml:space="preserve">Avranches, Bibl. mun., 229 </t>
  </si>
  <si>
    <t xml:space="preserve">Le Mans, Bibl. mun., 224 </t>
  </si>
  <si>
    <t xml:space="preserve">Angers, Bibl. mun., 381 (368) </t>
  </si>
  <si>
    <t xml:space="preserve">Rouen, Bibl. mun., 741 (E. 79) </t>
  </si>
  <si>
    <t xml:space="preserve">Rouen, Bibl. mun., 766 (E. 105) </t>
  </si>
  <si>
    <t xml:space="preserve">London, Lincoln's Inn Hall, 12 </t>
  </si>
  <si>
    <t xml:space="preserve">London, Society of Antiquaries, 59 </t>
  </si>
  <si>
    <t xml:space="preserve">London, Society of Antiquaries, 60 </t>
  </si>
  <si>
    <t xml:space="preserve">London, UCL, Germ. 16 </t>
  </si>
  <si>
    <t xml:space="preserve">London, Congregational Library, I.f.33 </t>
  </si>
  <si>
    <t xml:space="preserve">London, College of Arms, Arundel 10 </t>
  </si>
  <si>
    <t xml:space="preserve">London, Gray's Inn, 14 </t>
  </si>
  <si>
    <t xml:space="preserve">London, College of Arms, Arundel 30 </t>
  </si>
  <si>
    <t xml:space="preserve">Oxford, Bodleian Library, Bodley 579 </t>
  </si>
  <si>
    <t xml:space="preserve">Oxford, Bodleian Library, Bodley 852 </t>
  </si>
  <si>
    <t xml:space="preserve">Oxford, Bodleian Library, Auct. D. 2. 4 </t>
  </si>
  <si>
    <t xml:space="preserve">Oxford, Bodleian Library, Ashmole 341 </t>
  </si>
  <si>
    <t xml:space="preserve">Oxford, Bodleian Library, Digby 40 </t>
  </si>
  <si>
    <t xml:space="preserve">Oxford, Bodleian Library, Digby 56 </t>
  </si>
  <si>
    <t xml:space="preserve">Oxford, Bodleian Library, Auct. D. 2. 6 </t>
  </si>
  <si>
    <t xml:space="preserve">Oxford, Bodleian Library, Digby 81 </t>
  </si>
  <si>
    <t xml:space="preserve">Oxford, Bodleian Library, Auct. D. 4. 13 </t>
  </si>
  <si>
    <t xml:space="preserve">Oxford, Bodleian Library, Douce 137 </t>
  </si>
  <si>
    <t xml:space="preserve">Oxford, Bodleian Library, Hatton 26 </t>
  </si>
  <si>
    <t xml:space="preserve">Oxford, Bodleian Library, Savile 21 </t>
  </si>
  <si>
    <t xml:space="preserve">Oxford, Bodleian Library, Laud Misc. 95 </t>
  </si>
  <si>
    <t xml:space="preserve">Oxford, Bodleian Library, Laud Misc. 633 </t>
  </si>
  <si>
    <t xml:space="preserve">Oxford, Bodleian Library, Laud Misc. 636 </t>
  </si>
  <si>
    <t xml:space="preserve">Oxford, Bodleian Library, Laud Misc. 750 </t>
  </si>
  <si>
    <t xml:space="preserve">Oxford, Bodleian Library, Rawlinson B. 503 </t>
  </si>
  <si>
    <t xml:space="preserve">Oxford, Bodleian Library, Bodley 91 </t>
  </si>
  <si>
    <t xml:space="preserve">Oxford, Bodleian Library, Rawlinson C. 939 </t>
  </si>
  <si>
    <t xml:space="preserve">Oxford, Bodleian Library, All Souls College 69 </t>
  </si>
  <si>
    <t xml:space="preserve">Oxford, Bodleian Library, Bodley 232 </t>
  </si>
  <si>
    <t xml:space="preserve">Oxford, Bodleian Library, Christ Church fr. 341 </t>
  </si>
  <si>
    <t xml:space="preserve">Oxford, Bodleian Library, Corpus Christi College 157 </t>
  </si>
  <si>
    <t xml:space="preserve">Oxford, Bodleian Library, Corpus Christi College 283 </t>
  </si>
  <si>
    <t xml:space="preserve">Oxford, Bodleian Library, Exeter College 69 </t>
  </si>
  <si>
    <t xml:space="preserve">Oxford, Bodleian Library, Merton College 261 </t>
  </si>
  <si>
    <t xml:space="preserve">Oxford, Bodleian Library, Bodley 561 </t>
  </si>
  <si>
    <t xml:space="preserve">Admont, Benediktinerstift, Cod. 475 </t>
  </si>
  <si>
    <t xml:space="preserve">Bruxelles, B. R., 1079-84 </t>
  </si>
  <si>
    <t xml:space="preserve">Bruxelles, B. R., II. 1031 </t>
  </si>
  <si>
    <t xml:space="preserve">Bruxelles, B. R., 5083-91 </t>
  </si>
  <si>
    <t xml:space="preserve">Bruxelles, B. R., II. 2297 </t>
  </si>
  <si>
    <t xml:space="preserve">Bruxelles, B. R., 10893-94 </t>
  </si>
  <si>
    <t xml:space="preserve">Bruxelles, B. R., II. 934 </t>
  </si>
  <si>
    <t xml:space="preserve">Bruxelles, B. R., 21190 </t>
  </si>
  <si>
    <t xml:space="preserve">Bruxelles, B. R., 10168-72 </t>
  </si>
  <si>
    <t xml:space="preserve">Bruges, B. V., 269 </t>
  </si>
  <si>
    <t xml:space="preserve">London, Arundel, 155 </t>
  </si>
  <si>
    <t xml:space="preserve">Cambridge, Fitzwilliam Museum, McClean 24 </t>
  </si>
  <si>
    <t xml:space="preserve">Cambridge, Fitzwilliam Museum, McClean 165 </t>
  </si>
  <si>
    <t xml:space="preserve">Cambridge, UL, Ii. 3. 3 </t>
  </si>
  <si>
    <t xml:space="preserve">Cambridge, UL, Ii. 3. 33 </t>
  </si>
  <si>
    <t xml:space="preserve">Cambridge, UL, Ll. 2. 9 </t>
  </si>
  <si>
    <t xml:space="preserve">Cambridge, UL, Mm. 4. 43 </t>
  </si>
  <si>
    <t xml:space="preserve">München, Universitätsbibliothek, Cim. 73 </t>
  </si>
  <si>
    <t xml:space="preserve">München, Universitätsbibliothek, 2 Cod. Ms. 33 (I) </t>
  </si>
  <si>
    <t xml:space="preserve">München, Universitätsbibliothek, Cim. 19 (2 Cod. Ms. 28) </t>
  </si>
  <si>
    <t xml:space="preserve">München, Bayerische Staatsbibliothek, Cgm 16 II </t>
  </si>
  <si>
    <t xml:space="preserve">Paris, BnF, Lat. 1240 </t>
  </si>
  <si>
    <t xml:space="preserve">Paris, BnF, Lat. 1969 </t>
  </si>
  <si>
    <t xml:space="preserve">Paris, BnF, Lat. 1793 </t>
  </si>
  <si>
    <t xml:space="preserve">Paris, BnF, Lat. 6755 </t>
  </si>
  <si>
    <t xml:space="preserve">Paris, BnF, Lat. 1663 </t>
  </si>
  <si>
    <t xml:space="preserve">Paris, BnF, Lat. 1918 </t>
  </si>
  <si>
    <t xml:space="preserve">Paris, BnF, Lat. 5592 </t>
  </si>
  <si>
    <t xml:space="preserve">Paris, BnF, Lat. 2474 </t>
  </si>
  <si>
    <t xml:space="preserve">Paris, BnF, Lat. 6963 </t>
  </si>
  <si>
    <t xml:space="preserve">Paris, BnF, Lat. 2770 </t>
  </si>
  <si>
    <t xml:space="preserve">Paris, BnF, Lat. 606 </t>
  </si>
  <si>
    <t xml:space="preserve">Paris, BnF, Lat. 5253 </t>
  </si>
  <si>
    <t xml:space="preserve">Paris, BnF, Lat. 2885 </t>
  </si>
  <si>
    <t xml:space="preserve">Paris, BnF, Lat. 3517 </t>
  </si>
  <si>
    <t xml:space="preserve">Paris, BnF, Lat. 4427 </t>
  </si>
  <si>
    <t xml:space="preserve">Paris, BnF, Lat. 478 </t>
  </si>
  <si>
    <t xml:space="preserve">Paris, BnF, Lat. 7545 </t>
  </si>
  <si>
    <t xml:space="preserve">Paris, BnF, Lat. 994 </t>
  </si>
  <si>
    <t xml:space="preserve">Paris, BnF, Lat. 9376 </t>
  </si>
  <si>
    <t xml:space="preserve">Paris, BnF, Lat. 10940 </t>
  </si>
  <si>
    <t xml:space="preserve">Paris, BnF, Lat. 15131 </t>
  </si>
  <si>
    <t xml:space="preserve">Paris, BnF, Lat. 12711 </t>
  </si>
  <si>
    <t xml:space="preserve">Paris, BnF, Lat. 12943 </t>
  </si>
  <si>
    <t xml:space="preserve">Paris, BnF, Lat. 15005 </t>
  </si>
  <si>
    <t xml:space="preserve">Paris, BnF, Lat. 16297 </t>
  </si>
  <si>
    <t xml:space="preserve">Paris, BnF, Lat. 9534 </t>
  </si>
  <si>
    <t xml:space="preserve">Paris, BnF, Lat. 17742 </t>
  </si>
  <si>
    <t xml:space="preserve">Paris, BnF, Lat. 15170 </t>
  </si>
  <si>
    <t xml:space="preserve">Paris, BnF, Lat. 9754 </t>
  </si>
  <si>
    <t xml:space="preserve">Paris, BnF, Lat. 14348 </t>
  </si>
  <si>
    <t xml:space="preserve">Paris, BnF, Lat. 14947 </t>
  </si>
  <si>
    <t xml:space="preserve">Paris, BnF, Lat. 15363 </t>
  </si>
  <si>
    <t xml:space="preserve">Paris, BnF, Lat. 16112 </t>
  </si>
  <si>
    <t xml:space="preserve">Paris, BnF, Lat. 16615 </t>
  </si>
  <si>
    <t xml:space="preserve">Paris, BnF, Lat. 12834 </t>
  </si>
  <si>
    <t xml:space="preserve">Paris, BnF, Lat. 15972 </t>
  </si>
  <si>
    <t xml:space="preserve">Paris, BnF, Lat. 8314 </t>
  </si>
  <si>
    <t xml:space="preserve">Paris, BnF, Lat. 12886 </t>
  </si>
  <si>
    <t xml:space="preserve">Paris, BnF, Lat. 13220 </t>
  </si>
  <si>
    <t xml:space="preserve">Paris, BnF, Lat. 10477 </t>
  </si>
  <si>
    <t xml:space="preserve">Paris, BnF, Lat. 11949 </t>
  </si>
  <si>
    <t xml:space="preserve">Paris, BnF, Lat. 13908 </t>
  </si>
  <si>
    <t xml:space="preserve">Paris, BnF, Lat. 14853 </t>
  </si>
  <si>
    <t xml:space="preserve">Paris, BnF, Lat. 16678 </t>
  </si>
  <si>
    <t xml:space="preserve">Paris, BnF, Lat. 10105 </t>
  </si>
  <si>
    <t xml:space="preserve">Paris, BnF, Lat. 15035 </t>
  </si>
  <si>
    <t xml:space="preserve">Paris, BnF, Lat. 15143 </t>
  </si>
  <si>
    <t xml:space="preserve">Paris, BnF, Lat. 15419 </t>
  </si>
  <si>
    <t xml:space="preserve">Paris, BnF, Lat. 15986 </t>
  </si>
  <si>
    <t xml:space="preserve">Paris, BnF, Lat. 16144 </t>
  </si>
  <si>
    <t xml:space="preserve">Paris, BnF, Lat. 8246/1 </t>
  </si>
  <si>
    <t xml:space="preserve">Paris, BnF, Lat. 8447 </t>
  </si>
  <si>
    <t xml:space="preserve">Paris, BnF, NAL 1741 </t>
  </si>
  <si>
    <t xml:space="preserve">Paris, BnF, NAL 214 </t>
  </si>
  <si>
    <t xml:space="preserve">Paris, BnF, NAL 583 </t>
  </si>
  <si>
    <t xml:space="preserve">Paris, BnF, NAL 217 </t>
  </si>
  <si>
    <t xml:space="preserve">Paris, BnF, Lat. 13779 </t>
  </si>
  <si>
    <t xml:space="preserve">Paris, BnF, NAL 429 </t>
  </si>
  <si>
    <t xml:space="preserve">Paris, BnF, NAL 1447 </t>
  </si>
  <si>
    <t xml:space="preserve">Paris, BnF, NAL 1496 </t>
  </si>
  <si>
    <t xml:space="preserve">Paris, BnF, Lat. 7561 </t>
  </si>
  <si>
    <t xml:space="preserve">Paris, BnF, NAL 1145 </t>
  </si>
  <si>
    <t xml:space="preserve">Paris, BnF, Lat. 2702 </t>
  </si>
  <si>
    <t xml:space="preserve">Paris, BnF, NAL 2170 </t>
  </si>
  <si>
    <t xml:space="preserve">Paris, BnF, NAL 764 </t>
  </si>
  <si>
    <t xml:space="preserve">Angers, Bibl. mun., 799 (715) </t>
  </si>
  <si>
    <t xml:space="preserve">Avranches, Bibl. mun., 214 </t>
  </si>
  <si>
    <t xml:space="preserve">Florence, Bibl. Ricardinia, 228 IV </t>
  </si>
  <si>
    <t xml:space="preserve">Florence, Bibl. Ricardinia, 228 V </t>
  </si>
  <si>
    <t xml:space="preserve">Florence, Bibl. Ricardinia, 228 VI </t>
  </si>
  <si>
    <t xml:space="preserve">Florence, Bibl. Ricardinia, 829 (L. I. 5) </t>
  </si>
  <si>
    <t xml:space="preserve">Paris, BnF, NAL 2171 </t>
  </si>
  <si>
    <t xml:space="preserve">Paris, BnF, NAL 855 </t>
  </si>
  <si>
    <t xml:space="preserve">Paris, BnF, NAL 1441 </t>
  </si>
  <si>
    <t xml:space="preserve">Paris, BnF, NAL 1870 </t>
  </si>
  <si>
    <t xml:space="preserve">Loan, BM, 38bis </t>
  </si>
  <si>
    <t xml:space="preserve">Loan, BM, 270bis </t>
  </si>
  <si>
    <t xml:space="preserve">Loan, BM, 109 </t>
  </si>
  <si>
    <t xml:space="preserve">Loan, BM, 205 </t>
  </si>
  <si>
    <t xml:space="preserve">Loan, BM, 348 </t>
  </si>
  <si>
    <t xml:space="preserve">Loan, BM, 410 </t>
  </si>
  <si>
    <t xml:space="preserve">Loan, BM, 71 </t>
  </si>
  <si>
    <t xml:space="preserve">Soisson, BM, 132 </t>
  </si>
  <si>
    <t xml:space="preserve">Soisson, BM, 9 </t>
  </si>
  <si>
    <t xml:space="preserve">Leiden, UBU, VLF 70 </t>
  </si>
  <si>
    <t xml:space="preserve">Leiden, UBU, VLF 96 </t>
  </si>
  <si>
    <t xml:space="preserve">Leiden, UBU, VLQ 12 </t>
  </si>
  <si>
    <t xml:space="preserve">Leiden, UBU, VLQ 70 </t>
  </si>
  <si>
    <t xml:space="preserve">Groningen, UB, ms. 116 </t>
  </si>
  <si>
    <t xml:space="preserve">Tilburg, TFT, ms. Haaren 12 </t>
  </si>
  <si>
    <t xml:space="preserve">The Hague, KB, 70 E 3 </t>
  </si>
  <si>
    <t xml:space="preserve">The Hague, KB, 70 H 66 </t>
  </si>
  <si>
    <t xml:space="preserve">The Hague, KB, 73 J 47 </t>
  </si>
  <si>
    <t xml:space="preserve">Einsiedeln, Stiftsbibliothek, 360/177 </t>
  </si>
  <si>
    <t xml:space="preserve">Engelberg, Stiftsbibliothek, 4 </t>
  </si>
  <si>
    <t xml:space="preserve">Engelberg, Stiftsbibliothek, 9 </t>
  </si>
  <si>
    <t xml:space="preserve">Engelberg, Stiftsbibliothek, 12 </t>
  </si>
  <si>
    <t xml:space="preserve">Bern, Burgerbibliothek, 216 </t>
  </si>
  <si>
    <t xml:space="preserve">Bern, Burgerbibliothek, 236 </t>
  </si>
  <si>
    <t xml:space="preserve">Udine, A.C., ms. 21 </t>
  </si>
  <si>
    <t xml:space="preserve">Cividale, M.N., ms. CXXXVI </t>
  </si>
  <si>
    <t xml:space="preserve">München, Bayerische Staatsbibliothek, Clm 14523 </t>
  </si>
  <si>
    <t xml:space="preserve">Wien, Haus-, Hof- und Staatsarchiv, Cod. B 107 (Böhm 341) </t>
  </si>
  <si>
    <t xml:space="preserve">Wien, Haus-, Hof- und Staatsarchiv, Cod. R 42 (Böhm 339) </t>
  </si>
  <si>
    <t xml:space="preserve">Bruges, B. V., 373, part 1 </t>
  </si>
  <si>
    <t xml:space="preserve">Paris, BnF, Lat. 3786 </t>
  </si>
  <si>
    <t xml:space="preserve">Paris, BnF, Lat. 3237 </t>
  </si>
  <si>
    <t xml:space="preserve">Paris, BnF, Lat. 10062 </t>
  </si>
  <si>
    <t xml:space="preserve">Paris, BnF, Lat. 12833 </t>
  </si>
  <si>
    <t xml:space="preserve">Paris, BnF, Lat. 17767 </t>
  </si>
  <si>
    <t xml:space="preserve">Paris, BnF, Lat. 10938 </t>
  </si>
  <si>
    <t xml:space="preserve">Paris, BnF, NAL 349 </t>
  </si>
  <si>
    <t xml:space="preserve">Paris, BnF, NAL 348 </t>
  </si>
  <si>
    <t xml:space="preserve">Paris, BnF, NAL 1455 </t>
  </si>
  <si>
    <t xml:space="preserve">Soisson, BM, 125 </t>
  </si>
  <si>
    <t xml:space="preserve">Leiden, UBU, VLQ 13 </t>
  </si>
  <si>
    <t xml:space="preserve">Leiden, UBU, VLO 15, part XII </t>
  </si>
  <si>
    <t xml:space="preserve">Engelberg, Stiftsbibliothek, 102 </t>
  </si>
  <si>
    <t xml:space="preserve">Bern, Burgerbibliothek, 512 </t>
  </si>
  <si>
    <t xml:space="preserve">Zürich, Zentralbibliothek, C 8b </t>
  </si>
  <si>
    <t xml:space="preserve">Paris, BnF, Lat. 3549 </t>
  </si>
  <si>
    <t>Unknown, codices restituti, Cod. 2</t>
  </si>
  <si>
    <t xml:space="preserve">London, British Library, Cotton Galba A.XVIII </t>
  </si>
  <si>
    <t xml:space="preserve">Cambridge, Corpus Christi College, 146 </t>
  </si>
  <si>
    <t xml:space="preserve">Cambridge, Corpus Christi College, 190B </t>
  </si>
  <si>
    <t xml:space="preserve">Cambridge, Corpus Christi College, 270 </t>
  </si>
  <si>
    <t xml:space="preserve">Cambridge, Corpus Christi College, 421 </t>
  </si>
  <si>
    <t xml:space="preserve">Reims, Bibl. mun., 15 </t>
  </si>
  <si>
    <t xml:space="preserve">Montpellier, Fac. méd., 142 </t>
  </si>
  <si>
    <t xml:space="preserve">London, Lambeth Palace, 224 </t>
  </si>
  <si>
    <t xml:space="preserve">Cambrai, Bibl. mun., 1039 </t>
  </si>
  <si>
    <t xml:space="preserve">Alençon, Bibl. mun., 14 </t>
  </si>
  <si>
    <t xml:space="preserve">London, PRO, C150/1 </t>
  </si>
  <si>
    <t xml:space="preserve">London, PRO, E164/9 </t>
  </si>
  <si>
    <t>spec_iiif</t>
  </si>
  <si>
    <t>century</t>
  </si>
  <si>
    <t>c. 1275-1306</t>
  </si>
  <si>
    <t>long_str</t>
  </si>
  <si>
    <t>lat_str</t>
  </si>
  <si>
    <t>46.822</t>
  </si>
  <si>
    <t>51.06</t>
  </si>
  <si>
    <t>51.752</t>
  </si>
  <si>
    <t>52.192</t>
  </si>
  <si>
    <t>50.718</t>
  </si>
  <si>
    <t>51.281</t>
  </si>
  <si>
    <t>nan</t>
  </si>
  <si>
    <t>44.926</t>
  </si>
  <si>
    <t>51.587</t>
  </si>
  <si>
    <t>49.06</t>
  </si>
  <si>
    <t>51.5074</t>
  </si>
  <si>
    <t>48.8566</t>
  </si>
  <si>
    <t>51.433</t>
  </si>
  <si>
    <t>48.198</t>
  </si>
  <si>
    <t>48.936</t>
  </si>
  <si>
    <t>41.9028</t>
  </si>
  <si>
    <t>47.902</t>
  </si>
  <si>
    <t>41.493</t>
  </si>
  <si>
    <t>50.133</t>
  </si>
  <si>
    <t>47.216</t>
  </si>
  <si>
    <t>43.49</t>
  </si>
  <si>
    <t>46.95</t>
  </si>
  <si>
    <t>48.866</t>
  </si>
  <si>
    <t>45.545</t>
  </si>
  <si>
    <t>44.494</t>
  </si>
  <si>
    <t>42.42</t>
  </si>
  <si>
    <t>45.318</t>
  </si>
  <si>
    <t>42.292</t>
  </si>
  <si>
    <t>44.2167</t>
  </si>
  <si>
    <t>44.596</t>
  </si>
  <si>
    <t>50.4</t>
  </si>
  <si>
    <t>45.4408</t>
  </si>
  <si>
    <t>47.244</t>
  </si>
  <si>
    <t>43.834</t>
  </si>
  <si>
    <t>50.116</t>
  </si>
  <si>
    <t>51.053</t>
  </si>
  <si>
    <t>50.633</t>
  </si>
  <si>
    <t>48.087</t>
  </si>
  <si>
    <t>46.434</t>
  </si>
  <si>
    <t>50.371</t>
  </si>
  <si>
    <t>38.1139</t>
  </si>
  <si>
    <t>50.403</t>
  </si>
  <si>
    <t>47.677</t>
  </si>
  <si>
    <t>40.8518</t>
  </si>
  <si>
    <t>54.775</t>
  </si>
  <si>
    <t>51.98</t>
  </si>
  <si>
    <t>52.776</t>
  </si>
  <si>
    <t>50.65</t>
  </si>
  <si>
    <t>52.53</t>
  </si>
  <si>
    <t>54.322</t>
  </si>
  <si>
    <t>50.949</t>
  </si>
  <si>
    <t>41.933</t>
  </si>
  <si>
    <t>40.2167</t>
  </si>
  <si>
    <t>31.7683</t>
  </si>
  <si>
    <t>48.016</t>
  </si>
  <si>
    <t>51.998</t>
  </si>
  <si>
    <t>51.129</t>
  </si>
  <si>
    <t>52.683</t>
  </si>
  <si>
    <t>51.501</t>
  </si>
  <si>
    <t>53.225</t>
  </si>
  <si>
    <t>52.248</t>
  </si>
  <si>
    <t>54.118</t>
  </si>
  <si>
    <t>50.92</t>
  </si>
  <si>
    <t>52.818</t>
  </si>
  <si>
    <t>51.67</t>
  </si>
  <si>
    <t>52.397</t>
  </si>
  <si>
    <t>52.571</t>
  </si>
  <si>
    <t>51.941</t>
  </si>
  <si>
    <t>51.454</t>
  </si>
  <si>
    <t>50.836</t>
  </si>
  <si>
    <t>51.209</t>
  </si>
  <si>
    <t>42.354</t>
  </si>
  <si>
    <t>50.454</t>
  </si>
  <si>
    <t>49.43</t>
  </si>
  <si>
    <t>51.942</t>
  </si>
  <si>
    <t>43.4</t>
  </si>
  <si>
    <t>42.466</t>
  </si>
  <si>
    <t>51.0</t>
  </si>
  <si>
    <t>45.464</t>
  </si>
  <si>
    <t>53.959</t>
  </si>
  <si>
    <t>51.2</t>
  </si>
  <si>
    <t>54.3503</t>
  </si>
  <si>
    <t>49.982</t>
  </si>
  <si>
    <t>50.3</t>
  </si>
  <si>
    <t>52.631</t>
  </si>
  <si>
    <t>50.883</t>
  </si>
  <si>
    <t>47.771</t>
  </si>
  <si>
    <t>52.4545</t>
  </si>
  <si>
    <t>45.052</t>
  </si>
  <si>
    <t>51.328</t>
  </si>
  <si>
    <t>51.068</t>
  </si>
  <si>
    <t>51.712</t>
  </si>
  <si>
    <t>50.414</t>
  </si>
  <si>
    <t>51.386</t>
  </si>
  <si>
    <t>50.25</t>
  </si>
  <si>
    <t>50.775</t>
  </si>
  <si>
    <t>52.228</t>
  </si>
  <si>
    <t>48.208</t>
  </si>
  <si>
    <t>52.415</t>
  </si>
  <si>
    <t>49.443</t>
  </si>
  <si>
    <t>53.23</t>
  </si>
  <si>
    <t>52.63</t>
  </si>
  <si>
    <t>50.652</t>
  </si>
  <si>
    <t>52.2053</t>
  </si>
  <si>
    <t>47.71</t>
  </si>
  <si>
    <t>49.183</t>
  </si>
  <si>
    <t>52.671</t>
  </si>
  <si>
    <t>50.175</t>
  </si>
  <si>
    <t>43.454</t>
  </si>
  <si>
    <t>45.8</t>
  </si>
  <si>
    <t>49.119</t>
  </si>
  <si>
    <t>47.983</t>
  </si>
  <si>
    <t>47.485</t>
  </si>
  <si>
    <t>48.417</t>
  </si>
  <si>
    <t>48.79</t>
  </si>
  <si>
    <t>49.258</t>
  </si>
  <si>
    <t>49.45</t>
  </si>
  <si>
    <t>47.996</t>
  </si>
  <si>
    <t>48.957</t>
  </si>
  <si>
    <t>49.779</t>
  </si>
  <si>
    <t>43.604</t>
  </si>
  <si>
    <t>45.35</t>
  </si>
  <si>
    <t>46.5</t>
  </si>
  <si>
    <t>43.9493</t>
  </si>
  <si>
    <t>43.836</t>
  </si>
  <si>
    <t>45.777</t>
  </si>
  <si>
    <t>47.798</t>
  </si>
  <si>
    <t>50.291</t>
  </si>
  <si>
    <t>42.4833</t>
  </si>
  <si>
    <t>47.394</t>
  </si>
  <si>
    <t>47.907</t>
  </si>
  <si>
    <t>48.636</t>
  </si>
  <si>
    <t>49.426</t>
  </si>
  <si>
    <t>47.548</t>
  </si>
  <si>
    <t>49.023</t>
  </si>
  <si>
    <t>47.4784</t>
  </si>
  <si>
    <t>50.716</t>
  </si>
  <si>
    <t>47.839</t>
  </si>
  <si>
    <t>49.482</t>
  </si>
  <si>
    <t>47.3</t>
  </si>
  <si>
    <t>45.455</t>
  </si>
  <si>
    <t>48.364</t>
  </si>
  <si>
    <t>48.707</t>
  </si>
  <si>
    <t>47.13</t>
  </si>
  <si>
    <t>47.636</t>
  </si>
  <si>
    <t>49.756</t>
  </si>
  <si>
    <t>51.468</t>
  </si>
  <si>
    <t>53.191</t>
  </si>
  <si>
    <t>53.297</t>
  </si>
  <si>
    <t>53.0</t>
  </si>
  <si>
    <t>51.145</t>
  </si>
  <si>
    <t>51.748</t>
  </si>
  <si>
    <t>44.0</t>
  </si>
  <si>
    <t>48.297</t>
  </si>
  <si>
    <t>45.133</t>
  </si>
  <si>
    <t>44.119</t>
  </si>
  <si>
    <t>49.7</t>
  </si>
  <si>
    <t>48.666</t>
  </si>
  <si>
    <t>45.966</t>
  </si>
  <si>
    <t>46.07</t>
  </si>
  <si>
    <t>45.7</t>
  </si>
  <si>
    <t>45.1667</t>
  </si>
  <si>
    <t>44.105</t>
  </si>
  <si>
    <t>49.648</t>
  </si>
  <si>
    <t>50.618</t>
  </si>
  <si>
    <t>50.0</t>
  </si>
  <si>
    <t>51.633</t>
  </si>
  <si>
    <t>49.7333</t>
  </si>
  <si>
    <t>51.75</t>
  </si>
  <si>
    <t>49.28</t>
  </si>
  <si>
    <t>52.52</t>
  </si>
  <si>
    <t>51.762</t>
  </si>
  <si>
    <t>49.015</t>
  </si>
  <si>
    <t>46.0569</t>
  </si>
  <si>
    <t>47.25</t>
  </si>
  <si>
    <t>42.119</t>
  </si>
  <si>
    <t>48.263</t>
  </si>
  <si>
    <t>47.833</t>
  </si>
  <si>
    <t>43.961</t>
  </si>
  <si>
    <t>48.036</t>
  </si>
  <si>
    <t>48.097</t>
  </si>
  <si>
    <t>48.073</t>
  </si>
  <si>
    <t>48.116</t>
  </si>
  <si>
    <t>45.0</t>
  </si>
  <si>
    <t>46.8</t>
  </si>
  <si>
    <t>43.611</t>
  </si>
  <si>
    <t>36.923</t>
  </si>
  <si>
    <t>47.233</t>
  </si>
  <si>
    <t>47.166</t>
  </si>
  <si>
    <t>47.333</t>
  </si>
  <si>
    <t>47.516</t>
  </si>
  <si>
    <t>47.579</t>
  </si>
  <si>
    <t>44.447</t>
  </si>
  <si>
    <t>48.943</t>
  </si>
  <si>
    <t>50.3861</t>
  </si>
  <si>
    <t>52.118</t>
  </si>
  <si>
    <t>45.314</t>
  </si>
  <si>
    <t>48.054</t>
  </si>
  <si>
    <t>47.788</t>
  </si>
  <si>
    <t>49.043</t>
  </si>
  <si>
    <t>41.15</t>
  </si>
  <si>
    <t>48.845</t>
  </si>
  <si>
    <t>48.404</t>
  </si>
  <si>
    <t>49.791</t>
  </si>
  <si>
    <t>44.883</t>
  </si>
  <si>
    <t>48.788</t>
  </si>
  <si>
    <t>45.833</t>
  </si>
  <si>
    <t>46.65</t>
  </si>
  <si>
    <t>49.184</t>
  </si>
  <si>
    <t>42.458</t>
  </si>
  <si>
    <t>50.607</t>
  </si>
  <si>
    <t>50.483</t>
  </si>
  <si>
    <t>50.404</t>
  </si>
  <si>
    <t>49.483</t>
  </si>
  <si>
    <t>41.462</t>
  </si>
  <si>
    <t>42.3183</t>
  </si>
  <si>
    <t>49.159</t>
  </si>
  <si>
    <t>49.35</t>
  </si>
  <si>
    <t>53.785</t>
  </si>
  <si>
    <t>44.315</t>
  </si>
  <si>
    <t>50.2</t>
  </si>
  <si>
    <t>46.989</t>
  </si>
  <si>
    <t>48.7</t>
  </si>
  <si>
    <t>49.811</t>
  </si>
  <si>
    <t>49.937</t>
  </si>
  <si>
    <t>49.417</t>
  </si>
  <si>
    <t>48.446</t>
  </si>
  <si>
    <t>49.381</t>
  </si>
  <si>
    <t>48.244</t>
  </si>
  <si>
    <t>46.426</t>
  </si>
  <si>
    <t>48.559</t>
  </si>
  <si>
    <t>49.056</t>
  </si>
  <si>
    <t>40.955</t>
  </si>
  <si>
    <t>49.983</t>
  </si>
  <si>
    <t>50.186</t>
  </si>
  <si>
    <t>47.322</t>
  </si>
  <si>
    <t>47.6425</t>
  </si>
  <si>
    <t>49.542</t>
  </si>
  <si>
    <t>47.237</t>
  </si>
  <si>
    <t>45.3997</t>
  </si>
  <si>
    <t>45.899</t>
  </si>
  <si>
    <t>49.6</t>
  </si>
  <si>
    <t>49.9</t>
  </si>
  <si>
    <t>46.622</t>
  </si>
  <si>
    <t>49.8</t>
  </si>
  <si>
    <t>43.669</t>
  </si>
  <si>
    <t>38.1157</t>
  </si>
  <si>
    <t>48.1303</t>
  </si>
  <si>
    <t>49.65</t>
  </si>
  <si>
    <t>49.625</t>
  </si>
  <si>
    <t>46.016</t>
  </si>
  <si>
    <t>42.4528</t>
  </si>
  <si>
    <t>44.847</t>
  </si>
  <si>
    <t>50.368</t>
  </si>
  <si>
    <t>49.277</t>
  </si>
  <si>
    <t>43.935</t>
  </si>
  <si>
    <t>43.722</t>
  </si>
  <si>
    <t>45.406</t>
  </si>
  <si>
    <t>46.497</t>
  </si>
  <si>
    <t>44.287</t>
  </si>
  <si>
    <t>49.366</t>
  </si>
  <si>
    <t>49.466</t>
  </si>
  <si>
    <t>50.126</t>
  </si>
  <si>
    <t>49.649</t>
  </si>
  <si>
    <t>48.539</t>
  </si>
  <si>
    <t>49.564</t>
  </si>
  <si>
    <t>50.717</t>
  </si>
  <si>
    <t>49.2325</t>
  </si>
  <si>
    <t>49.616</t>
  </si>
  <si>
    <t>49.629</t>
  </si>
  <si>
    <t>47.908</t>
  </si>
  <si>
    <t>48.195</t>
  </si>
  <si>
    <t>47.423</t>
  </si>
  <si>
    <t>53.216</t>
  </si>
  <si>
    <t>49.0</t>
  </si>
  <si>
    <t>49.992</t>
  </si>
  <si>
    <t>41.9</t>
  </si>
  <si>
    <t>48.161</t>
  </si>
  <si>
    <t>47.831</t>
  </si>
  <si>
    <t>47.688</t>
  </si>
  <si>
    <t>47.418</t>
  </si>
  <si>
    <t>47.696</t>
  </si>
  <si>
    <t>46.128</t>
  </si>
  <si>
    <t>45.768</t>
  </si>
  <si>
    <t>48.616</t>
  </si>
  <si>
    <t>48.496</t>
  </si>
  <si>
    <t>42.402</t>
  </si>
  <si>
    <t>48.5</t>
  </si>
  <si>
    <t>48.847</t>
  </si>
  <si>
    <t>48.94</t>
  </si>
  <si>
    <t>48.631</t>
  </si>
  <si>
    <t>49.898</t>
  </si>
  <si>
    <t>51.0547</t>
  </si>
  <si>
    <t>48.583</t>
  </si>
  <si>
    <t>47.94</t>
  </si>
  <si>
    <t>46.456</t>
  </si>
  <si>
    <t>51.2093</t>
  </si>
  <si>
    <t>8.41</t>
  </si>
  <si>
    <t>-1.313</t>
  </si>
  <si>
    <t>-0.335</t>
  </si>
  <si>
    <t>-2.221</t>
  </si>
  <si>
    <t>-3.533</t>
  </si>
  <si>
    <t>1.081</t>
  </si>
  <si>
    <t>2.44</t>
  </si>
  <si>
    <t>-2.039</t>
  </si>
  <si>
    <t>-0.216</t>
  </si>
  <si>
    <t>2.3522</t>
  </si>
  <si>
    <t>7.0</t>
  </si>
  <si>
    <t>3.283</t>
  </si>
  <si>
    <t>2.357</t>
  </si>
  <si>
    <t>12.4964</t>
  </si>
  <si>
    <t>1.909</t>
  </si>
  <si>
    <t>13.822</t>
  </si>
  <si>
    <t>10.926</t>
  </si>
  <si>
    <t>6.88</t>
  </si>
  <si>
    <t>5.283</t>
  </si>
  <si>
    <t>12.166</t>
  </si>
  <si>
    <t>4.295</t>
  </si>
  <si>
    <t>9.5</t>
  </si>
  <si>
    <t>11.548</t>
  </si>
  <si>
    <t>11.341</t>
  </si>
  <si>
    <t>12.1077</t>
  </si>
  <si>
    <t>8.423</t>
  </si>
  <si>
    <t>12.767</t>
  </si>
  <si>
    <t>10.6167</t>
  </si>
  <si>
    <t>11.056</t>
  </si>
  <si>
    <t>-3.8</t>
  </si>
  <si>
    <t>12.3155</t>
  </si>
  <si>
    <t>5.086</t>
  </si>
  <si>
    <t>4.357</t>
  </si>
  <si>
    <t>11.016</t>
  </si>
  <si>
    <t>3.72</t>
  </si>
  <si>
    <t>5.567</t>
  </si>
  <si>
    <t>10.283</t>
  </si>
  <si>
    <t>4.654</t>
  </si>
  <si>
    <t>3.08</t>
  </si>
  <si>
    <t>-4.0111</t>
  </si>
  <si>
    <t>5.883</t>
  </si>
  <si>
    <t>9.175</t>
  </si>
  <si>
    <t>14.2681</t>
  </si>
  <si>
    <t>-1.577</t>
  </si>
  <si>
    <t>-0.6</t>
  </si>
  <si>
    <t>-0.361</t>
  </si>
  <si>
    <t>4.8</t>
  </si>
  <si>
    <t>-0.15</t>
  </si>
  <si>
    <t>-1.262</t>
  </si>
  <si>
    <t>-2.519</t>
  </si>
  <si>
    <t>2.254</t>
  </si>
  <si>
    <t>-8.1833</t>
  </si>
  <si>
    <t>35.2137</t>
  </si>
  <si>
    <t>-1.316</t>
  </si>
  <si>
    <t>4.3</t>
  </si>
  <si>
    <t>-2.144</t>
  </si>
  <si>
    <t>1.321</t>
  </si>
  <si>
    <t>-1.826</t>
  </si>
  <si>
    <t>-0.092</t>
  </si>
  <si>
    <t>0.712</t>
  </si>
  <si>
    <t>-4.6</t>
  </si>
  <si>
    <t>0.485</t>
  </si>
  <si>
    <t>0.859</t>
  </si>
  <si>
    <t>-1.2833</t>
  </si>
  <si>
    <t>0.262</t>
  </si>
  <si>
    <t>-0.24</t>
  </si>
  <si>
    <t>-1.916</t>
  </si>
  <si>
    <t>-0.973</t>
  </si>
  <si>
    <t>-0.779</t>
  </si>
  <si>
    <t>-2.117</t>
  </si>
  <si>
    <t>-3.809</t>
  </si>
  <si>
    <t>3.952</t>
  </si>
  <si>
    <t>2.086</t>
  </si>
  <si>
    <t>0.644</t>
  </si>
  <si>
    <t>11.2167</t>
  </si>
  <si>
    <t>11.766</t>
  </si>
  <si>
    <t>-3.0</t>
  </si>
  <si>
    <t>9.19</t>
  </si>
  <si>
    <t>-1.082</t>
  </si>
  <si>
    <t>-0.65</t>
  </si>
  <si>
    <t>-6.6528</t>
  </si>
  <si>
    <t>9.794</t>
  </si>
  <si>
    <t>7.5</t>
  </si>
  <si>
    <t>-2.728</t>
  </si>
  <si>
    <t>5.35</t>
  </si>
  <si>
    <t>9.15</t>
  </si>
  <si>
    <t>-0.4556</t>
  </si>
  <si>
    <t>9.704</t>
  </si>
  <si>
    <t>9.552</t>
  </si>
  <si>
    <t>-1.793</t>
  </si>
  <si>
    <t>-1.968</t>
  </si>
  <si>
    <t>2.776</t>
  </si>
  <si>
    <t>0.498</t>
  </si>
  <si>
    <t>4.166</t>
  </si>
  <si>
    <t>-2.47</t>
  </si>
  <si>
    <t>-0.267</t>
  </si>
  <si>
    <t>-4.483</t>
  </si>
  <si>
    <t>-4.064</t>
  </si>
  <si>
    <t>1.099</t>
  </si>
  <si>
    <t>-0.54</t>
  </si>
  <si>
    <t>1.297</t>
  </si>
  <si>
    <t>-1.326</t>
  </si>
  <si>
    <t>-1.257</t>
  </si>
  <si>
    <t>3.633</t>
  </si>
  <si>
    <t>0.708</t>
  </si>
  <si>
    <t>9.833</t>
  </si>
  <si>
    <t>3.234</t>
  </si>
  <si>
    <t>12.234</t>
  </si>
  <si>
    <t>4.81</t>
  </si>
  <si>
    <t>6.175</t>
  </si>
  <si>
    <t>4.18</t>
  </si>
  <si>
    <t>3.742</t>
  </si>
  <si>
    <t>7.935</t>
  </si>
  <si>
    <t>5.407</t>
  </si>
  <si>
    <t>4.031</t>
  </si>
  <si>
    <t>4.7</t>
  </si>
  <si>
    <t>4.354</t>
  </si>
  <si>
    <t>4.362</t>
  </si>
  <si>
    <t>4.635</t>
  </si>
  <si>
    <t>1.444</t>
  </si>
  <si>
    <t>5.85</t>
  </si>
  <si>
    <t>4.8055</t>
  </si>
  <si>
    <t>4.36</t>
  </si>
  <si>
    <t>3.086</t>
  </si>
  <si>
    <t>3.565</t>
  </si>
  <si>
    <t>2.777</t>
  </si>
  <si>
    <t>2.6333</t>
  </si>
  <si>
    <t>0.684</t>
  </si>
  <si>
    <t>2.465</t>
  </si>
  <si>
    <t>0.9</t>
  </si>
  <si>
    <t>-1.511</t>
  </si>
  <si>
    <t>0.841</t>
  </si>
  <si>
    <t>1.151</t>
  </si>
  <si>
    <t>-2.027</t>
  </si>
  <si>
    <t>1.007</t>
  </si>
  <si>
    <t>0.944</t>
  </si>
  <si>
    <t>1.335</t>
  </si>
  <si>
    <t>8.62</t>
  </si>
  <si>
    <t>0.872</t>
  </si>
  <si>
    <t>7.523</t>
  </si>
  <si>
    <t>-1.433</t>
  </si>
  <si>
    <t>4.389</t>
  </si>
  <si>
    <t>0.386</t>
  </si>
  <si>
    <t>0.103</t>
  </si>
  <si>
    <t>-2.892</t>
  </si>
  <si>
    <t>-2.723</t>
  </si>
  <si>
    <t>-1.016</t>
  </si>
  <si>
    <t>-2.738</t>
  </si>
  <si>
    <t>-1.27</t>
  </si>
  <si>
    <t>-0.5</t>
  </si>
  <si>
    <t>4.083</t>
  </si>
  <si>
    <t>10.024</t>
  </si>
  <si>
    <t>15.232</t>
  </si>
  <si>
    <t>9.533</t>
  </si>
  <si>
    <t>8.633</t>
  </si>
  <si>
    <t>9.74</t>
  </si>
  <si>
    <t>13.235</t>
  </si>
  <si>
    <t>12.45</t>
  </si>
  <si>
    <t>9.8833</t>
  </si>
  <si>
    <t>1.05</t>
  </si>
  <si>
    <t>3.016</t>
  </si>
  <si>
    <t>-2.057</t>
  </si>
  <si>
    <t>-0.184</t>
  </si>
  <si>
    <t>-4.5</t>
  </si>
  <si>
    <t>8.616</t>
  </si>
  <si>
    <t>8.1667</t>
  </si>
  <si>
    <t>10.066</t>
  </si>
  <si>
    <t>-0.7</t>
  </si>
  <si>
    <t>-8.06</t>
  </si>
  <si>
    <t>-1.364</t>
  </si>
  <si>
    <t>12.097</t>
  </si>
  <si>
    <t>14.5051</t>
  </si>
  <si>
    <t>15.616</t>
  </si>
  <si>
    <t>12.216</t>
  </si>
  <si>
    <t>14.316</t>
  </si>
  <si>
    <t>13.416</t>
  </si>
  <si>
    <t>5.916</t>
  </si>
  <si>
    <t>13.964</t>
  </si>
  <si>
    <t>14.199</t>
  </si>
  <si>
    <t>16.216</t>
  </si>
  <si>
    <t>14.333</t>
  </si>
  <si>
    <t>10.0</t>
  </si>
  <si>
    <t>15.4</t>
  </si>
  <si>
    <t>3.877</t>
  </si>
  <si>
    <t>14.016</t>
  </si>
  <si>
    <t>14.09</t>
  </si>
  <si>
    <t>13.2</t>
  </si>
  <si>
    <t>13.7</t>
  </si>
  <si>
    <t>14.456</t>
  </si>
  <si>
    <t>1.436</t>
  </si>
  <si>
    <t>7.749</t>
  </si>
  <si>
    <t>4.1437</t>
  </si>
  <si>
    <t>-1.053</t>
  </si>
  <si>
    <t>9.503</t>
  </si>
  <si>
    <t>7.6</t>
  </si>
  <si>
    <t>9.781</t>
  </si>
  <si>
    <t>7.962</t>
  </si>
  <si>
    <t>-8.6167</t>
  </si>
  <si>
    <t>11.901</t>
  </si>
  <si>
    <t>14.75</t>
  </si>
  <si>
    <t>11.746</t>
  </si>
  <si>
    <t>9.935</t>
  </si>
  <si>
    <t>1.216</t>
  </si>
  <si>
    <t>2.495</t>
  </si>
  <si>
    <t>1.261</t>
  </si>
  <si>
    <t>-1.5833</t>
  </si>
  <si>
    <t>0.259</t>
  </si>
  <si>
    <t>-2.517</t>
  </si>
  <si>
    <t>3.389</t>
  </si>
  <si>
    <t>3.833</t>
  </si>
  <si>
    <t>3.128</t>
  </si>
  <si>
    <t>3.333</t>
  </si>
  <si>
    <t>15.545</t>
  </si>
  <si>
    <t>13.8793</t>
  </si>
  <si>
    <t>-1.35</t>
  </si>
  <si>
    <t>12.243</t>
  </si>
  <si>
    <t>-1.075</t>
  </si>
  <si>
    <t>0.283</t>
  </si>
  <si>
    <t>6.5</t>
  </si>
  <si>
    <t>3.161</t>
  </si>
  <si>
    <t>6.01</t>
  </si>
  <si>
    <t>6.479</t>
  </si>
  <si>
    <t>2.54</t>
  </si>
  <si>
    <t>2.826</t>
  </si>
  <si>
    <t>1.489</t>
  </si>
  <si>
    <t>3.296</t>
  </si>
  <si>
    <t>6.676</t>
  </si>
  <si>
    <t>3.303</t>
  </si>
  <si>
    <t>2.1</t>
  </si>
  <si>
    <t>17.296</t>
  </si>
  <si>
    <t>2.35</t>
  </si>
  <si>
    <t>3.777</t>
  </si>
  <si>
    <t>1.133</t>
  </si>
  <si>
    <t>5.045</t>
  </si>
  <si>
    <t>3.6597</t>
  </si>
  <si>
    <t>0.404</t>
  </si>
  <si>
    <t>6.024</t>
  </si>
  <si>
    <t>6.3083</t>
  </si>
  <si>
    <t>1.233</t>
  </si>
  <si>
    <t>4.483</t>
  </si>
  <si>
    <t>2.7</t>
  </si>
  <si>
    <t>4.766</t>
  </si>
  <si>
    <t>4.021</t>
  </si>
  <si>
    <t>13.3615</t>
  </si>
  <si>
    <t>-1.9437</t>
  </si>
  <si>
    <t>1.5667</t>
  </si>
  <si>
    <t>4.383</t>
  </si>
  <si>
    <t>5.166</t>
  </si>
  <si>
    <t>-4.4647</t>
  </si>
  <si>
    <t>0.832</t>
  </si>
  <si>
    <t>3.592</t>
  </si>
  <si>
    <t>-0.702</t>
  </si>
  <si>
    <t>10.917</t>
  </si>
  <si>
    <t>10.401</t>
  </si>
  <si>
    <t>11.876</t>
  </si>
  <si>
    <t>11.35</t>
  </si>
  <si>
    <t>11.884</t>
  </si>
  <si>
    <t>11.6</t>
  </si>
  <si>
    <t>4.15</t>
  </si>
  <si>
    <t>2.533</t>
  </si>
  <si>
    <t>2.655</t>
  </si>
  <si>
    <t>2.183</t>
  </si>
  <si>
    <t>3.624</t>
  </si>
  <si>
    <t>4.9</t>
  </si>
  <si>
    <t>0.7217</t>
  </si>
  <si>
    <t>8.357</t>
  </si>
  <si>
    <t>2.47</t>
  </si>
  <si>
    <t>3.28</t>
  </si>
  <si>
    <t>9.379</t>
  </si>
  <si>
    <t>6.594</t>
  </si>
  <si>
    <t>5.0</t>
  </si>
  <si>
    <t>8.247</t>
  </si>
  <si>
    <t>5.566</t>
  </si>
  <si>
    <t>3.866</t>
  </si>
  <si>
    <t>1.5</t>
  </si>
  <si>
    <t>8.618</t>
  </si>
  <si>
    <t>6.333</t>
  </si>
  <si>
    <t>7.86</t>
  </si>
  <si>
    <t>9.268</t>
  </si>
  <si>
    <t>8.345</t>
  </si>
  <si>
    <t>13.576</t>
  </si>
  <si>
    <t>13.401</t>
  </si>
  <si>
    <t>12.883</t>
  </si>
  <si>
    <t>11.433</t>
  </si>
  <si>
    <t>12.86</t>
  </si>
  <si>
    <t>13.3</t>
  </si>
  <si>
    <t>11.983</t>
  </si>
  <si>
    <t>19.145</t>
  </si>
  <si>
    <t>10.486</t>
  </si>
  <si>
    <t>7.436</t>
  </si>
  <si>
    <t>8.85</t>
  </si>
  <si>
    <t>10.879</t>
  </si>
  <si>
    <t>10.891</t>
  </si>
  <si>
    <t>7.1328</t>
  </si>
  <si>
    <t>12.867</t>
  </si>
  <si>
    <t>6.688</t>
  </si>
  <si>
    <t>4.057</t>
  </si>
  <si>
    <t>3.2247</t>
  </si>
  <si>
    <t>dataset</t>
  </si>
  <si>
    <t>Loc</t>
  </si>
  <si>
    <t>Total</t>
  </si>
  <si>
    <t>IIIF</t>
  </si>
  <si>
    <t>mean_year</t>
  </si>
  <si>
    <t>cmd_country</t>
  </si>
  <si>
    <t>BL</t>
  </si>
  <si>
    <t>Fr</t>
  </si>
  <si>
    <t>Lo</t>
  </si>
  <si>
    <t>Vat</t>
  </si>
  <si>
    <t>Ox</t>
  </si>
  <si>
    <t>De</t>
  </si>
  <si>
    <t>NL</t>
  </si>
  <si>
    <t>US</t>
  </si>
  <si>
    <t>Fr2</t>
  </si>
  <si>
    <t>x</t>
  </si>
  <si>
    <t>https://dms-data.stanford.edu/data/manifests/Parker/zs345bj2650/manifest.json</t>
  </si>
  <si>
    <t>https://dms-data.stanford.edu/data/manifests/Parker/wy783rb3141/manifest.json</t>
  </si>
  <si>
    <t>https://dms-data.stanford.edu/data/manifests/Parker/pz542dy6146/manifest.json</t>
  </si>
  <si>
    <t>https://mlgb.bodleian.ox.ac.uk/catalog/book_3908</t>
  </si>
  <si>
    <t>https://data.biblissima.fr/w/Item:Q203254</t>
  </si>
  <si>
    <t>https://portail.biblissima.fr/en/ark:/43093/mdata5eb81b8eaa6154c5cb37bd4f0dba7b6da2abca9c</t>
  </si>
  <si>
    <t>https://digital.blb-karlsruhe.de/i3f/v20/4437152/manifest</t>
  </si>
  <si>
    <t>https://mss-cat.trin.cam.ac.uk/Manuscript/O.2.1/manifest.json</t>
  </si>
  <si>
    <t>https://mss-cat.trin.cam.ac.uk/Manuscript/O.5.20/manifest.json</t>
  </si>
  <si>
    <t>https://mss-cat.trin.cam.ac.uk/Manuscript/O.7.13/manifest.json</t>
  </si>
  <si>
    <t>https://mss-cat.trin.cam.ac.uk/Manuscript/B.15.10/manifest.json</t>
  </si>
  <si>
    <t>https://mss-cat.trin.cam.ac.uk/Manuscript/B.16.17/manifest.json</t>
  </si>
  <si>
    <t>https://mss-cat.trin.cam.ac.uk/Manuscript/B.16.44/manifest.json</t>
  </si>
  <si>
    <t>https://mss-cat.trin.cam.ac.uk/Manuscript/B.3.11/manifest.json</t>
  </si>
  <si>
    <t>https://mss-cat.trin.cam.ac.uk/Manuscript/B.3.12/manifest.json</t>
  </si>
  <si>
    <t>https://mss-cat.trin.cam.ac.uk/Manuscript/B.3.30/manifest.json</t>
  </si>
  <si>
    <t>https://mss-cat.trin.cam.ac.uk/Manuscript/B.4.30/manifest.json</t>
  </si>
  <si>
    <t>https://mss-cat.trin.cam.ac.uk/Manuscript/B.5.28/manifest.json</t>
  </si>
  <si>
    <t>https://mss-cat.trin.cam.ac.uk/Manuscript/B.5.4/manifest.json</t>
  </si>
  <si>
    <t>https://mss-cat.trin.cam.ac.uk/Manuscript/B.5.5/manifest.json</t>
  </si>
  <si>
    <t>https://mss-cat.trin.cam.ac.uk/Manuscript/B.5.6/manifest.json</t>
  </si>
  <si>
    <t>https://mss-cat.trin.cam.ac.uk/Manuscript/B.5.7/manifest.json</t>
  </si>
  <si>
    <t>https://mss-cat.trin.cam.ac.uk/Manuscript/R.15.32/manifest.json</t>
  </si>
  <si>
    <t>https://mss-cat.trin.cam.ac.uk/Manuscript/R.17.1/manifest.json</t>
  </si>
  <si>
    <t>https://mss-cat.trin.cam.ac.uk/Manuscript/R.3.29/manifest.json</t>
  </si>
  <si>
    <t>https://mss-cat.trin.cam.ac.uk/Manuscript/R.7.28/manifest.json</t>
  </si>
  <si>
    <t>https://cudl.lib.cam.ac.uk/iiif/MS-II-00002-00004</t>
  </si>
  <si>
    <t>https://dhb.thulb.uni-jena.de/api/iiif/presentation/v2/ufb_derivate_00014678/manifest</t>
  </si>
  <si>
    <t>https://dhb.thulb.uni-jena.de/api/iiif/presentation/v2/ufb_derivate_00014672/manifest</t>
  </si>
  <si>
    <t>https://gallica.bnf.fr/iiif/ark:/12148/btv1b106706641/manifest.json</t>
  </si>
  <si>
    <t>https://gallica.bnf.fr/iiif/ark:/12148/btv1b106705492/manifest.json</t>
  </si>
  <si>
    <t>https://gallica.bnf.fr/iiif/ark:/12148/btv1b10663398n/manifest.json</t>
  </si>
  <si>
    <t>https://api.irht.cnrs.fr/ark:/63955/fm384sjwvt9d/manifest.json</t>
  </si>
  <si>
    <t>London, British Library, Arundel, 155 [ff. 2-135, 171-193]</t>
  </si>
  <si>
    <t>https://bl.digirati.io/iiif/ark:/81055/vdc_100056003913.0x000001</t>
  </si>
  <si>
    <t>https://bl.digirati.io/iiif/ark:/81055/vdc_100059052444.0x000001</t>
  </si>
  <si>
    <t>https://bl.digirati.io/iiif/ark:/81055/vdc_100058595676.0x000001</t>
  </si>
  <si>
    <t>https://bl.digirati.io/iiif/ark:/81055/vdc_100058079607.0x000001</t>
  </si>
  <si>
    <t>https://bl.digirati.io/iiif/ark:/81055/vdc_100055988155.0x000001</t>
  </si>
  <si>
    <t>https://bl.digirati.io/iiif/ark:/81055/vdc_100056661590.0x000001</t>
  </si>
  <si>
    <t>https://bl.digirati.io/iiif/ark:/81055/vdc_100056001508.0x000001</t>
  </si>
  <si>
    <t>https://bl.digirati.io/iiif/ark:/81055/vdc_100056002241.0x000001</t>
  </si>
  <si>
    <t>https://bl.digirati.io/iiif/ark:/81055/vdc_100056009767.0x000001</t>
  </si>
  <si>
    <t>https://bl.digirati.io/iiif/ark:/81055/vdc_100058106204.0x000001</t>
  </si>
  <si>
    <t>https://bl.digirati.io/iiif/ark:/81055/vdc_100060427426.0x000001</t>
  </si>
  <si>
    <t>https://bl.digirati.io/iiif/ark:/81055/vdc_100063637897.0x000001</t>
  </si>
  <si>
    <t>https://bl.digirati.io/iiif/ark:/81055/vdc_100060429744.0x000001</t>
  </si>
  <si>
    <t>https://bl.digirati.io/iiif/ark:/81055/man_10000003.0x000001</t>
  </si>
  <si>
    <t>https://bl.digirati.io/iiif/ark:/81055/vdc_100104917774.0x000001</t>
  </si>
  <si>
    <t>https://bl.digirati.io/iiif/ark:/81055/vdc_100056660591.0x000001</t>
  </si>
  <si>
    <t>https://bl.digirati.io/iiif/ark:/81055/vdc_100060436894.0x000001</t>
  </si>
  <si>
    <t>https://bl.digirati.io/iiif/ark:/81055/vdc_100058089566.0x000001</t>
  </si>
  <si>
    <t>https://bl.digirati.io/iiif/ark:/81055/vdc_100060437329.0x000001</t>
  </si>
  <si>
    <t>https://bl.digirati.io/iiif/ark:/81055/vdc_100058097479.0x000001</t>
  </si>
  <si>
    <t>https://bl.digirati.io/iiif/ark:/81055/vdc_100059911875.0x000001</t>
  </si>
  <si>
    <t>https://bl.digirati.io/iiif/ark:/81055/vdc_100060441469.0x000001</t>
  </si>
  <si>
    <t>https://images.lambethpalacelibrary.org.uk/luna/servlet/iiif/m/LPLIBLPL~17~17~190814~144432/manifest</t>
  </si>
  <si>
    <t>https://images.lambethpalacelibrary.org.uk/luna/servlet/iiif/m/LPLIBLPL~17~17~179896~127517/manifest</t>
  </si>
  <si>
    <t>https://images.lambethpalacelibrary.org.uk/luna/servlet/iiif/m/LPLIBLPL~17~17~180959~133614/manifest</t>
  </si>
  <si>
    <t>https://discover.ub.uni-muenchen.de/digitalisate/BV044414631/BV044414631.json</t>
  </si>
  <si>
    <t>https://gallica.bnf.fr/iiif/ark:/12148/btv1b100158551/manifest.json</t>
  </si>
  <si>
    <t>https://api.irht.cnrs.fr/ark:/63955/f1z8zrr0r9cv/manifest.json</t>
  </si>
  <si>
    <t>https://api.irht.cnrs.fr/ark:/63955/fzz28wzhjw9w/manifest.json</t>
  </si>
  <si>
    <t>https://api.irht.cnrs.fr/ark:/63955/f04sjho1z0yu/manifest.json</t>
  </si>
  <si>
    <t>https://api.irht.cnrs.fr/ark:/63955/fbbhzwbxmf1c/manifest.json</t>
  </si>
  <si>
    <t>https://api.irht.cnrs.fr/ark:/63955/feq2wcqtmly7/manifest.json</t>
  </si>
  <si>
    <t>https://api.irht.cnrs.fr/ark:/63955/f1q6djorh1rx/manifest.json</t>
  </si>
  <si>
    <t>https://api.irht.cnrs.fr/ark:/63955/f3xd5dyh1n2a/manifest.json</t>
  </si>
  <si>
    <t>https://api.irht.cnrs.fr/ark:/63955/fcvhgpkueqqq/manifest.json</t>
  </si>
  <si>
    <t>https://api.irht.cnrs.fr/ark:/63955/ft6bsk7jbn2k/manifest.json</t>
  </si>
  <si>
    <t>https://api.irht.cnrs.fr/ark:/63955/ffouj6msvpgk/manifest.json</t>
  </si>
  <si>
    <t>https://api.irht.cnrs.fr/ark:/63955/fcrmab5kwoks/manifest.json</t>
  </si>
  <si>
    <t>https://api.irht.cnrs.fr/ark:/63955/fohd9mlq7k1b/manifest.json</t>
  </si>
  <si>
    <t>index</t>
  </si>
  <si>
    <t>date</t>
  </si>
  <si>
    <t>biting_d</t>
  </si>
  <si>
    <t>biting_o</t>
  </si>
  <si>
    <t>biting_p</t>
  </si>
  <si>
    <t>biting_bb_pp</t>
  </si>
  <si>
    <t>origins</t>
  </si>
  <si>
    <t>angularity</t>
  </si>
  <si>
    <t>minims</t>
  </si>
  <si>
    <t>biting_b</t>
  </si>
  <si>
    <t>cmd_pl_tittse</t>
  </si>
  <si>
    <t>Ox II 34</t>
  </si>
  <si>
    <t>BL II 57</t>
  </si>
  <si>
    <t>Ox II 46</t>
  </si>
  <si>
    <t>BL II 72</t>
  </si>
  <si>
    <t>BL II 73</t>
  </si>
  <si>
    <t>Ox II 66</t>
  </si>
  <si>
    <t>Ox II 55</t>
  </si>
  <si>
    <t>BL II 81</t>
  </si>
  <si>
    <t>BL II 88</t>
  </si>
  <si>
    <t>Ox II 67</t>
  </si>
  <si>
    <t>BL II 89</t>
  </si>
  <si>
    <t>Ox II 75</t>
  </si>
  <si>
    <t>Ox II 76</t>
  </si>
  <si>
    <t>Ox II 80</t>
  </si>
  <si>
    <t>BL II 107</t>
  </si>
  <si>
    <t>Ox II 88</t>
  </si>
  <si>
    <t>Fr 1 II X</t>
  </si>
  <si>
    <t>Fr 7 II XXXVI</t>
  </si>
  <si>
    <t>Fr 1 II VIII</t>
  </si>
  <si>
    <t>Fr 7 II XL</t>
  </si>
  <si>
    <t>A VII add. 39-40</t>
  </si>
  <si>
    <t>BL II 121a-d</t>
  </si>
  <si>
    <t>De I abb. 2</t>
  </si>
  <si>
    <t>De III/1 abb. 15</t>
  </si>
  <si>
    <t>De III/1 abb. 16</t>
  </si>
  <si>
    <t>Fr IV/1</t>
  </si>
  <si>
    <t>Fr IV/1 II LXVII</t>
  </si>
  <si>
    <t>Sw II abb. 18-23</t>
  </si>
  <si>
    <r>
      <t xml:space="preserve">1143 </t>
    </r>
    <r>
      <rPr>
        <i/>
        <sz val="12"/>
        <color theme="1"/>
        <rFont val="Baskerville"/>
        <family val="1"/>
      </rPr>
      <t>c</t>
    </r>
    <r>
      <rPr>
        <sz val="12"/>
        <color theme="1"/>
        <rFont val="Baskerville"/>
        <family val="1"/>
      </rPr>
      <t>.</t>
    </r>
  </si>
  <si>
    <r>
      <t xml:space="preserve">1197, </t>
    </r>
    <r>
      <rPr>
        <sz val="8"/>
        <color theme="1"/>
        <rFont val="Baskerville"/>
        <family val="1"/>
      </rPr>
      <t>c.</t>
    </r>
  </si>
  <si>
    <r>
      <t xml:space="preserve">1162, </t>
    </r>
    <r>
      <rPr>
        <sz val="8"/>
        <color theme="1"/>
        <rFont val="Baskerville"/>
        <family val="1"/>
      </rPr>
      <t>c.</t>
    </r>
  </si>
  <si>
    <t>https://sharedcanvas.be/IIIF/manifests/B_OB_MS469</t>
  </si>
  <si>
    <t>https://api.onb.ac.at/iiif/presentation/v3/manifest/10004BD3</t>
  </si>
  <si>
    <t>https://search.onb.ac.at/primo-explore/fulldisplay?docid=ONB_alma21302396800003338&amp;context=L&amp;adaptor=Local%20Search%20Engine&amp;vid=ONB&amp;lang=de_DE&amp;search_scope=ONB_gesamtbestand&amp;tab=default_tab&amp;query=addsrcrid,exact,AC13951705</t>
  </si>
  <si>
    <t>https://api.onb.ac.at/iiif/presentation/v3/manifest/131FD984</t>
  </si>
  <si>
    <t>https://api.onb.ac.at/iiif/presentation/v3/manifest/13220636</t>
  </si>
  <si>
    <t xml:space="preserve"> 1267-1269 </t>
  </si>
  <si>
    <t>Wien, Österreichische Nationalbibliothek (ÖNB), Cod. 352 [ff. 49v-52v]</t>
  </si>
  <si>
    <t>Wien, Österreichische Nationalbibliothek (ÖNB), Cod. 352 [ff. 63r-64v]</t>
  </si>
  <si>
    <t xml:space="preserve"> 1295-1298 </t>
  </si>
  <si>
    <t>https://api.onb.ac.at/iiif/presentation/v3/manifest/100183EA</t>
  </si>
  <si>
    <t>https://opac.kbr.be/LIBRARY/doc/SYRACUSE/10747124</t>
  </si>
  <si>
    <t>https://bl.digirati.io/iiif/ark:/81055/vdc_100062812800.0x000001</t>
  </si>
  <si>
    <t>https://bl.digirati.io/iiif/ark:/81055/vdc_100062813572.0x000001</t>
  </si>
  <si>
    <t>https://bl.digirati.io/iiif/ark:/81055/vdc_100056056499.0x000001</t>
  </si>
  <si>
    <t>https://dms-data.stanford.edu/data/manifests/Parker/qj220gv8417/manifest.json</t>
  </si>
  <si>
    <t>https://dms-data.stanford.edu/data/manifests/Parker/qv695jy8078/manifest.json</t>
  </si>
  <si>
    <t>Cambridge, Corpus Christi College, 313 vol. II [ff. 35-108v]</t>
  </si>
  <si>
    <t>https://dms-data.stanford.edu/data/manifests/Parker/kj101dc0788/manifest.json</t>
  </si>
  <si>
    <t>https://api.irht.cnrs.fr/ark:/63955/f9sdwe68u937/manifest.json</t>
  </si>
  <si>
    <t>https://gallica.bnf.fr/iiif/ark:/12148/btv1b10515439v/manifest.json</t>
  </si>
  <si>
    <t>https://gallica.bnf.fr/iiif/ark:/12148/btv1b84790120/manifest.json</t>
  </si>
  <si>
    <t>https://api.irht.cnrs.fr/ark:/63955/fe3jojnpnewh/manifest.json</t>
  </si>
  <si>
    <t>https://iiif.archive.org/iiif/MS2200/manifest.json</t>
  </si>
  <si>
    <t>https://gallica.bnf.fr/iiif/ark:/12148/btv1b8452652v/manifest.json</t>
  </si>
  <si>
    <t>https://gallica.bnf.fr/iiif/ark:/12148/btv1b52516219x/manifest.json</t>
  </si>
  <si>
    <t>https://gallica.bnf.fr/iiif/ark:/12148/btv1b52516905c/manifest.json</t>
  </si>
  <si>
    <t>https://gallica.bnf.fr/iiif/ark:/12148/btv1b9067744q/manifest.json</t>
  </si>
  <si>
    <t>https://gallica.bnf.fr/iiif/ark:/12148/btv1b525025038/manifest.json</t>
  </si>
  <si>
    <t>https://gallica.bnf.fr/iiif/ark:/12148/btv1b52516899h/manifest.json</t>
  </si>
  <si>
    <t>https://gallica.bnf.fr/iiif/ark:/12148/btv1b525168211/manifest.json</t>
  </si>
  <si>
    <t>https://gallica.bnf.fr/iiif/ark:/12148/btv1b52516807w/manifest.json</t>
  </si>
  <si>
    <t>https://gallica.bnf.fr/iiif/ark:/12148/btv1b52516904x/manifest.json</t>
  </si>
  <si>
    <t>https://gallica.bnf.fr/iiif/ark:/12148/btv1b8457361b/manifest.json</t>
  </si>
  <si>
    <t>https://gallica.bnf.fr/iiif/ark:/12148/btv1b10510345c/manifest.json</t>
  </si>
  <si>
    <t>https://api.irht.cnrs.fr/ark:/63955/f5r88bydbnst/manifest.json</t>
  </si>
  <si>
    <t>https://api.irht.cnrs.fr/ark:/63955/fmunt4mauxv1/manifest.json</t>
  </si>
  <si>
    <t>https://api.irht.cnrs.fr/ark:/63955/f1o1i8jjvmw2/manifest.json</t>
  </si>
  <si>
    <t>https://gallica.bnf.fr/iiif/ark:/12148/btv1b105600556/manifest.json</t>
  </si>
  <si>
    <t>https://gallica.bnf.fr/iiif/ark:/12148/btv1b105600628/manifest.json</t>
  </si>
  <si>
    <t>https://gallica.bnf.fr/iiif/ark:/12148/btv1b10560176v/manifest.json</t>
  </si>
  <si>
    <t>https://api.irht.cnrs.fr/ark:/63955/fevdr8e3cfbe/manifest.json</t>
  </si>
  <si>
    <t>https://gallica.bnf.fr/iiif/ark:/12148/btv1b105600539/manifest.json</t>
  </si>
  <si>
    <t>https://api.irht.cnrs.fr/ark:/63955/f8rwha1zmyd2/manifest.json</t>
  </si>
  <si>
    <t>https://gallica.bnf.fr/iiif/ark:/12148/btv1b105600573/manifest.json</t>
  </si>
  <si>
    <t>https://api.irht.cnrs.fr/ark:/63955/fvmax4n332sj/manifest.json</t>
  </si>
  <si>
    <t>https://gallica.bnf.fr/iiif/ark:/12148/btv1b105600590/manifest.json</t>
  </si>
  <si>
    <t>https://gallica.bnf.fr/iiif/ark:/12148/btv1b10560060c/manifest.json</t>
  </si>
  <si>
    <t>https://gallica.bnf.fr/iiif/ark:/12148/btv1b10560061t/manifest.json</t>
  </si>
  <si>
    <t>https://api.irht.cnrs.fr/ark:/63955/fd7qukelq0yg/manifest.json</t>
  </si>
  <si>
    <t>https://api.irht.cnrs.fr/ark:/63955/fsr8ukytoj7h/manifest.json</t>
  </si>
  <si>
    <t>https://api.irht.cnrs.fr/ark:/63955/fxk698iu09d0/manifest.json</t>
  </si>
  <si>
    <t>https://api.irht.cnrs.fr/ark:/63955/fbwrzrtqlu2s/manifest.json</t>
  </si>
  <si>
    <t>https://api.irht.cnrs.fr/ark:/63955/fu0y4odrqi57/manifest.json</t>
  </si>
  <si>
    <t>https://api.irht.cnrs.fr/ark:/63955/fxdgmv9p3ic2/manifest.json</t>
  </si>
  <si>
    <t>https://emmsm.unicaen.fr/manifests/Avranches_BM_151.json</t>
  </si>
  <si>
    <t>https://api.irht.cnrs.fr/ark:/63955/fecrnm91pwdj/manifest.json</t>
  </si>
  <si>
    <t>https://api.irht.cnrs.fr/ark:/63955/fkwslb135wsx/manifest.json</t>
  </si>
  <si>
    <t>https://api.irht.cnrs.fr/ark:/63955/f9ikm34tvvwk/manifest.json</t>
  </si>
  <si>
    <t>https://api.irht.cnrs.fr/ark:/63955/fy7z6hzb6xvk/manifest.json</t>
  </si>
  <si>
    <t>Florence, BNC, Palatino, 157</t>
  </si>
  <si>
    <t>https://gallica.bnf.fr/iiif/ark:/12148/btv1b8427232f/manifest.json</t>
  </si>
  <si>
    <t>Laon, BM, 109 [ff. 5-6]</t>
  </si>
  <si>
    <t>Laon, BM, 13</t>
  </si>
  <si>
    <t>Laon, BM, 166bis</t>
  </si>
  <si>
    <t>Laon, BM, 193</t>
  </si>
  <si>
    <t>Laon, BM, 202</t>
  </si>
  <si>
    <t>Laon, BM, 205 [ff. 1-49]</t>
  </si>
  <si>
    <t>Laon, BM, 219</t>
  </si>
  <si>
    <t>Laon, BM, 221</t>
  </si>
  <si>
    <t>Laon, BM, 227</t>
  </si>
  <si>
    <t>Laon, BM, 228</t>
  </si>
  <si>
    <t>Laon, BM, 229</t>
  </si>
  <si>
    <t>Laon, BM, 232</t>
  </si>
  <si>
    <t>Laon, BM, 246</t>
  </si>
  <si>
    <t>Laon, BM, 280bis</t>
  </si>
  <si>
    <t>Laon, BM, 332</t>
  </si>
  <si>
    <t>Laon, BM, 341</t>
  </si>
  <si>
    <t>Laon, BM, 348 [ff.2-89]</t>
  </si>
  <si>
    <t>Laon, BM, 410 [ff. 27-46]</t>
  </si>
  <si>
    <t>Laon, BM, 425</t>
  </si>
  <si>
    <t>Laon, BM, 532</t>
  </si>
  <si>
    <t>Laon, BM, 71 [ff. 89v-92]</t>
  </si>
  <si>
    <t>https://bibliotheque-numerique.ville-laon.fr/iiif/1462/manifest</t>
  </si>
  <si>
    <t>https://api.irht.cnrs.fr/ark:/63955/fntdorbuy3hp/manifest.json</t>
  </si>
  <si>
    <t>https://api.irht.cnrs.fr/ark:/63955/ffpfjhsci9j8/manifest.json</t>
  </si>
  <si>
    <t>https://iiif.bodleian.ox.ac.uk/iiif/manifest/d8f4f265-b851-48a8-b324-4fc871f68657.json</t>
  </si>
  <si>
    <t>Uppsula, University Library, C 134</t>
  </si>
  <si>
    <t>https://www.e-codices.unifr.ch/metadata/iiif/fmb-cb-0074/manifest.json</t>
  </si>
  <si>
    <t>https://www.e-codices.unifr.ch/metadata/iiif/fmb-cb-0161/manifest.json</t>
  </si>
  <si>
    <t>https://www.e-codices.unifr.ch/metadata/iiif/sbe-0166/manifest.json</t>
  </si>
  <si>
    <t>https://www.e-codices.unifr.ch/metadata/iiif/sbe-0240/manifest.json</t>
  </si>
  <si>
    <t>https://www.e-codices.unifr.ch/metadata/iiif/sbe-0360/manifest.json</t>
  </si>
  <si>
    <t>https://www.e-codices.unifr.ch/metadata/iiif/sbe-0629/manifest.json</t>
  </si>
  <si>
    <t>https://www.e-codices.unifr.ch/metadata/iiif/bke-0003/manifest.json</t>
  </si>
  <si>
    <t>https://www.e-codices.unifr.ch/metadata/iiif/bke-0004/manifest.json</t>
  </si>
  <si>
    <t>https://www.e-codices.unifr.ch/metadata/iiif/bke-0005/manifest.json</t>
  </si>
  <si>
    <t>https://www.e-codices.unifr.ch/metadata/iiif/bke-0012/manifest.json</t>
  </si>
  <si>
    <t>https://www.e-codices.unifr.ch/metadata/iiif/bke-0013/manifest.json</t>
  </si>
  <si>
    <t>https://www.e-codices.unifr.ch/metadata/iiif/bke-0014/manifest.json</t>
  </si>
  <si>
    <t>https://www.e-codices.unifr.ch/metadata/iiif/bke-0015/manifest.json</t>
  </si>
  <si>
    <t>https://www.e-codices.unifr.ch/metadata/iiif/bke-0016/manifest.json</t>
  </si>
  <si>
    <t>https://www.e-codices.unifr.ch/metadata/iiif/bke-0018/manifest.json</t>
  </si>
  <si>
    <t>https://www.e-codices.unifr.ch/metadata/iiif/bke-0019/manifest.json</t>
  </si>
  <si>
    <t>https://www.e-codices.unifr.ch/metadata/iiif/bke-0020/manifest.json</t>
  </si>
  <si>
    <t>https://www.e-codices.unifr.ch/metadata/iiif/bke-0021/manifest.json</t>
  </si>
  <si>
    <t>https://www.e-codices.unifr.ch/metadata/iiif/bke-0022/manifest.json</t>
  </si>
  <si>
    <t>https://www.e-codices.unifr.ch/metadata/iiif/bke-0023/manifest.json</t>
  </si>
  <si>
    <t>https://www.e-codices.unifr.ch/metadata/iiif/bke-0032/manifest.json</t>
  </si>
  <si>
    <t>https://www.e-codices.unifr.ch/metadata/iiif/bke-0037/manifest.json</t>
  </si>
  <si>
    <t>https://www.e-codices.unifr.ch/metadata/iiif/bke-0046/manifest.json</t>
  </si>
  <si>
    <t>https://www.e-codices.unifr.ch/metadata/iiif/bke-0047/manifest.json</t>
  </si>
  <si>
    <t>https://www.e-codices.unifr.ch/metadata/iiif/bke-0048/manifest.json</t>
  </si>
  <si>
    <t>https://www.e-codices.unifr.ch/metadata/iiif/bke-0049/manifest.json</t>
  </si>
  <si>
    <t>https://www.e-codices.unifr.ch/metadata/iiif/bke-0064/manifest.json</t>
  </si>
  <si>
    <t>https://www.e-codices.unifr.ch/metadata/iiif/bke-0065/manifest.json</t>
  </si>
  <si>
    <t>https://www.e-codices.unifr.ch/metadata/iiif/bke-0067/manifest.json</t>
  </si>
  <si>
    <t>https://www.e-codices.unifr.ch/metadata/iiif/bke-0068/manifest.json</t>
  </si>
  <si>
    <t>https://www.e-codices.unifr.ch/metadata/iiif/bke-0072/manifest.json</t>
  </si>
  <si>
    <t>https://www.e-codices.unifr.ch/metadata/iiif/bke-0076/manifest.json</t>
  </si>
  <si>
    <t>https://www.e-codices.unifr.ch/metadata/iiif/bke-0087/manifest.json</t>
  </si>
  <si>
    <t>https://www.e-codices.unifr.ch/metadata/iiif/bke-0088/manifest.json</t>
  </si>
  <si>
    <t>https://www.e-codices.unifr.ch/metadata/iiif/bke-0102/manifest.json</t>
  </si>
  <si>
    <t>https://www.e-codices.unifr.ch/metadata/iiif/bke-0117/manifest.json</t>
  </si>
  <si>
    <t>https://www.e-codices.unifr.ch/metadata/iiif/bke-0139/manifest.json</t>
  </si>
  <si>
    <t>https://www.e-codices.unifr.ch/metadata/iiif/bke-1005/manifest.json</t>
  </si>
  <si>
    <t>https://www.e-codices.unifr.ch/metadata/iiif/bke-1007/manifest.json</t>
  </si>
  <si>
    <t>https://www.e-codices.unifr.ch/metadata/iiif/bke-1008/manifest.json</t>
  </si>
  <si>
    <t>https://www.e-codices.unifr.ch/metadata/iiif/bke-1009/manifest.json</t>
  </si>
  <si>
    <t>https://www.e-codices.unifr.ch/metadata/iiif/bbb-0120-2/manifest.json</t>
  </si>
  <si>
    <t>https://api.digitale-sammlungen.de/iiif/presentation/v2/bsb00140671/manifest</t>
  </si>
  <si>
    <t>https://digital.ulb.hhu.de/i3f/v20/9052387/manifest</t>
  </si>
  <si>
    <t>https://api.digitale-sammlungen.de/iiif/presentation/v2/bsb00068178/manifest</t>
  </si>
  <si>
    <t>https://api.digitale-sammlungen.de/iiif/presentation/v2/bsb00140775/manifest</t>
  </si>
  <si>
    <t>https://api.digitale-sammlungen.de/iiif/presentation/v2/bsb00144760/manifest</t>
  </si>
  <si>
    <t>https://api.digitale-sammlungen.de/iiif/presentation/v2/bsb00104093/manifest</t>
  </si>
  <si>
    <t>https://api.digitale-sammlungen.de/iiif/presentation/v2/bsb00059458/manifest</t>
  </si>
  <si>
    <t>https://api.digitale-sammlungen.de/iiif/presentation/v2/bsb00002112/manifest</t>
  </si>
  <si>
    <t>https://api.digitale-sammlungen.de/iiif/presentation/v2/bsb00107137/manifest</t>
  </si>
  <si>
    <t>https://digital.blb-karlsruhe.de/i3f/v20/4453442/manifest</t>
  </si>
  <si>
    <t>https://api.digitale-sammlungen.de/iiif/presentation/v2/bsb00140678/manifest</t>
  </si>
  <si>
    <t>https://api.digitale-sammlungen.de/iiif/presentation/v2/bsb00107145/manifest</t>
  </si>
  <si>
    <t>https://collections.thulb.uni-jena.de/api/iiif/presentation/v2/HisBest_derivate_00013187/manifest</t>
  </si>
  <si>
    <t>https://digital.ulb.hhu.de/i3f/v20/6402715/manifest</t>
  </si>
  <si>
    <t>metadata_scan</t>
  </si>
  <si>
    <t>y</t>
  </si>
  <si>
    <t>https://sharedcanvas.be/IIIF/manifests/B_OB_MS373</t>
  </si>
  <si>
    <t>https://bl.digirati.io/iiif/ark:/81055/vdc_100059052932.0x000001</t>
  </si>
  <si>
    <t>https://bl.digirati.io/iiif/ark:/81055/vdc_100055975235.0x000001</t>
  </si>
  <si>
    <t>https://bl.digirati.io/iiif/ark:/81055/vdc_100055998963.0x000001</t>
  </si>
  <si>
    <t>https://bl.digirati.io/iiif/ark:/81055/vdc_100056002010.0x000001</t>
  </si>
  <si>
    <t>https://bl.digirati.io/iiif/ark:/81055/vdc_100062815372.0x000001</t>
  </si>
  <si>
    <t>https://bl.digirati.io/iiif/ark:/81055/vdc_100064924709.0x000001</t>
  </si>
  <si>
    <t>https://bl.digirati.io/iiif/ark:/81055/vdc_100057891094.0x000001</t>
  </si>
  <si>
    <t>https://bl.digirati.io/iiif/ark:/81055/vdc_100059905241.0x000001</t>
  </si>
  <si>
    <t>https://bl.digirati.io/iiif/ark:/81055/vdc_100066370052.0x000001</t>
  </si>
  <si>
    <t>https://bl.digirati.io/iiif/ark:/81055/vdc_100056054471.0x000001</t>
  </si>
  <si>
    <t>https://bl.digirati.io/iiif/ark:/81055/vdc_100055130429.0x000001</t>
  </si>
  <si>
    <t>https://bl.digirati.io/iiif/ark:/81055/vdc_100056027194.0x000001</t>
  </si>
  <si>
    <t>https://bl.digirati.io/iiif/ark:/81055/vdc_100064372960.0x000001</t>
  </si>
  <si>
    <t>https://bl.digirati.io/iiif/ark:/81055/vdc_100064369323.0x000001</t>
  </si>
  <si>
    <t>https://bl.digirati.io/iiif/ark:/81055/vdc_100056029675.0x000001</t>
  </si>
  <si>
    <t>https://bl.digirati.io/iiif/ark:/81055/vdc_100062420429.0x000001</t>
  </si>
  <si>
    <t>https://bl.digirati.io/iiif/ark:/81055/vdc_100056032437.0x000001</t>
  </si>
  <si>
    <t>https://bl.digirati.io/iiif/ark:/81055/vdc_100059910513.0x000001</t>
  </si>
  <si>
    <t>https://bl.digirati.io/iiif/ark:/81055/vdc_100062816232.0x000001</t>
  </si>
  <si>
    <t>https://bl.digirati.io/iiif/ark:/81055/vdc_100059472453.0x000001</t>
  </si>
  <si>
    <t>https://bl.digirati.io/iiif/ark:/81055/vdc_100056066712.0x000001</t>
  </si>
  <si>
    <t>https://dms-data.stanford.edu/data/manifests/Parker/vb856kp8798/manifest.json</t>
  </si>
  <si>
    <t>https://dms-data.stanford.edu/data/manifests/Parker/rb378fk5493/manifest.json</t>
  </si>
  <si>
    <t>https://dms-data.stanford.edu/data/manifests/Parker/rf352tc5448/manifest.json</t>
  </si>
  <si>
    <t>https://dms-data.stanford.edu/data/manifests/Parker/fs743fm9703/manifest.json</t>
  </si>
  <si>
    <t>https://dms-data.stanford.edu/data/manifests/Parker/wp146tq7625/manifest.json</t>
  </si>
  <si>
    <t>https://dms-data.stanford.edu/data/manifests/Parker/rs890dd0432/manifest.json</t>
  </si>
  <si>
    <t>https://dms-data.stanford.edu/data/manifests/Parker/ff646yg8822/manifest.json</t>
  </si>
  <si>
    <t>https://dms-data.stanford.edu/data/manifests/Parker/yk433sj8017/manifest.json</t>
  </si>
  <si>
    <t>https://dms-data.stanford.edu/data/manifests/Parker/sk095st1718/manifest.json</t>
  </si>
  <si>
    <t>https://dms-data.stanford.edu/data/manifests/Parker/cr485km1781/manifest.json</t>
  </si>
  <si>
    <t>https://dms-data.stanford.edu/data/manifests/Parker/vk535sj2249/manifest.json</t>
  </si>
  <si>
    <t>https://dms-data.stanford.edu/data/manifests/Parker/gs070yh9296/manifest.json</t>
  </si>
  <si>
    <t>https://dms-data.stanford.edu/data/manifests/Parker/xn117yn5845/manifest.json</t>
  </si>
  <si>
    <t>https://dms-data.stanford.edu/data/manifests/Parker/rg420yp8320/manifest.json</t>
  </si>
  <si>
    <t>https://dms-data.stanford.edu/data/manifests/Parker/th313vp6557/manifest.json</t>
  </si>
  <si>
    <t>https://dms-data.stanford.edu/data/manifests/Parker/nt685jr6866/manifest.json</t>
  </si>
  <si>
    <t>https://dms-data.stanford.edu/data/manifests/Parker/nr257ff7994/manifest.json</t>
  </si>
  <si>
    <t>https://dms-data.stanford.edu/data/manifests/Parker/fr610kh2998/manifest.json</t>
  </si>
  <si>
    <t>https://dms-data.stanford.edu/data/manifests/Parker/ws512bd6784/manifest.json</t>
  </si>
  <si>
    <t>https://dms-data.stanford.edu/data/manifests/Parker/nz518wt4652/manifest.json</t>
  </si>
  <si>
    <t>https://dms-data.stanford.edu/data/manifests/Parker/hj164fb1760/manifest.json</t>
  </si>
  <si>
    <t>https://dms-data.stanford.edu/data/manifests/Parker/gn055tc5638/manifest.json</t>
  </si>
  <si>
    <t>https://cudl.lib.cam.ac.uk/iiif/MS-EE-00003-00059</t>
  </si>
  <si>
    <t>https://cudl.lib.cam.ac.uk/iiif/MS-TRINITYHALL-00002</t>
  </si>
  <si>
    <t>https://cudl.lib.cam.ac.uk/iiif/MS-HH-00001-00010</t>
  </si>
  <si>
    <t>https://gallica.bnf.fr/iiif/ark:/12148/btv1b52000516z/manifest.json</t>
  </si>
  <si>
    <t>https://api.irht.cnrs.fr/ark:/63955/ferun2i8m2et/manifest.json</t>
  </si>
  <si>
    <t>https://api.irht.cnrs.fr/ark:/63955/frpivpu4nr83/manifest.json</t>
  </si>
  <si>
    <t>https://api.irht.cnrs.fr/ark:/63955/fv1f17wg5yxj/manifest.json</t>
  </si>
  <si>
    <t>https://api.irht.cnrs.fr/ark:/63955/fr7htjzuimtk/manifest.json</t>
  </si>
  <si>
    <t>https://gallica.bnf.fr/iiif/ark:/12148/btv1b52514441n/manifest.json</t>
  </si>
  <si>
    <t>https://gallica.bnf.fr/iiif/ark:/12148/btv1b525087535/manifest.json</t>
  </si>
  <si>
    <t>https://gallica.bnf.fr/iiif/ark:/12148/btv1b6000528g/manifest.json</t>
  </si>
  <si>
    <t>https://gallica.bnf.fr/iiif/ark:/12148/btv1b84323046/manifest.json</t>
  </si>
  <si>
    <t>https://gallica.bnf.fr/iiif/ark:/12148/btv1b8432314k/manifest.json</t>
  </si>
  <si>
    <t>https://gallica.bnf.fr/iiif/ark:/12148/btv1b6001165p/manifest.json</t>
  </si>
  <si>
    <t>https://gallica.bnf.fr/iiif/ark:/12148/btv1b85409616/manifest.json</t>
  </si>
  <si>
    <t>https://gallica.bnf.fr/iiif/ark:/12148/btv1b52511536t/manifest.json</t>
  </si>
  <si>
    <t>https://gallica.bnf.fr/iiif/ark:/12148/btv1b525099449/manifest.json</t>
  </si>
  <si>
    <t>https://gallica.bnf.fr/iiif/ark:/12148/btv1b8452668q/manifest.json</t>
  </si>
  <si>
    <t>https://gallica.bnf.fr/iiif/ark:/12148/btv1b104642391/manifest.json</t>
  </si>
  <si>
    <t>https://gallica.bnf.fr/iiif/ark:/12148/btv1b8432452m/manifest.json</t>
  </si>
  <si>
    <t>https://gallica.bnf.fr/iiif/ark:/12148/btv1b105432489/manifest.json</t>
  </si>
  <si>
    <t>https://gallica.bnf.fr/iiif/ark:/12148/btv1b105461769/manifest.json</t>
  </si>
  <si>
    <t>https://gallica.bnf.fr/iiif/ark:/12148/btv1b8426275w/manifest.json</t>
  </si>
  <si>
    <t>https://gallica.bnf.fr/iiif/ark:/12148/btv1b52505617w/manifest.json</t>
  </si>
  <si>
    <t>https://gallica.bnf.fr/iiif/ark:/12148/btv1b531882495/manifest.json</t>
  </si>
  <si>
    <t>https://gallica.bnf.fr/iiif/ark:/12148/btv1b8490154f/manifest.json</t>
  </si>
  <si>
    <t>https://gallica.bnf.fr/iiif/ark:/12148/btv1b10546763t/manifest.json</t>
  </si>
  <si>
    <t>https://gallica.bnf.fr/iiif/ark:/12148/btv1b52505441p/manifest.json</t>
  </si>
  <si>
    <t>https://gallica.bnf.fr/iiif/ark:/12148/btv1b84229915/manifest.json</t>
  </si>
  <si>
    <t>https://gallica.bnf.fr/iiif/ark:/12148/btv1b105434376/manifest.json</t>
  </si>
  <si>
    <t>https://gallica.bnf.fr/iiif/ark:/12148/btv1b525048552/manifest.json</t>
  </si>
  <si>
    <t>https://gallica.bnf.fr/iiif/ark:/12148/btv1b8447877n/manifest.json</t>
  </si>
  <si>
    <t>https://gallica.bnf.fr/iiif/ark:/12148/btv1b52503514g/manifest.json</t>
  </si>
  <si>
    <t>https://gallica.bnf.fr/iiif/ark:/12148/btv1b8530222d/manifest.json</t>
  </si>
  <si>
    <t>https://gallica.bnf.fr/iiif/ark:/12148/btv1b10465809d/manifest.json</t>
  </si>
  <si>
    <t>https://gallica.bnf.fr/iiif/ark:/12148/btv1b8541003z/manifest.json</t>
  </si>
  <si>
    <t>https://gallica.bnf.fr/iiif/ark:/12148/btv1b52514380g/manifest.json</t>
  </si>
  <si>
    <t>https://gallica.bnf.fr/iiif/ark:/12148/btv1b8553000m/manifest.json</t>
  </si>
  <si>
    <t>https://gallica.bnf.fr/iiif/ark:/12148/btv1b105090434/manifest.json</t>
  </si>
  <si>
    <t>https://gallica.bnf.fr/iiif/ark:/12148/btv1b9066993k/manifest.json</t>
  </si>
  <si>
    <t>https://gallica.bnf.fr/iiif/ark:/12148/btv1b10506542j/manifest.json</t>
  </si>
  <si>
    <t>https://gallica.bnf.fr/iiif/ark:/12148/btv1b8455925x/manifest.json</t>
  </si>
  <si>
    <t>https://gallica.bnf.fr/iiif/ark:/12148/btv1b525094719/manifest.json</t>
  </si>
  <si>
    <t>https://gallica.bnf.fr/iiif/ark:/12148/btv1b525168859/manifest.json</t>
  </si>
  <si>
    <t>https://gallica.bnf.fr/iiif/ark:/12148/btv1b84704204/manifest.json</t>
  </si>
  <si>
    <t>https://gallica.bnf.fr/iiif/ark:/12148/btv1b8571078h/manifest.json</t>
  </si>
  <si>
    <t>https://gallica.bnf.fr/iiif/ark:/12148/btv1b85511329/manifest.json</t>
  </si>
  <si>
    <t>https://gallica.bnf.fr/iiif/ark:/12148/btv1b105421976/manifest.json</t>
  </si>
  <si>
    <t>https://gallica.bnf.fr/iiif/ark:/12148/btv1b8422992k/manifest.json</t>
  </si>
  <si>
    <t>https://gallica.bnf.fr/iiif/ark:/12148/btv1b10542293s/manifest.json</t>
  </si>
  <si>
    <t>https://gallica.bnf.fr/iiif/ark:/12148/btv1b8562410b/manifest.json</t>
  </si>
  <si>
    <t>https://gallica.bnf.fr/iiif/ark:/12148/btv1b8539717m/manifest.json</t>
  </si>
  <si>
    <t>https://gallica.bnf.fr/iiif/ark:/12148/btv1b8427456j/manifest.json</t>
  </si>
  <si>
    <t>https://gallica.bnf.fr/iiif/ark:/12148/btv1b8514431r/manifest.json</t>
  </si>
  <si>
    <t>https://gallica.bnf.fr/iiif/ark:/12148/btv1b8541004c/manifest.json</t>
  </si>
  <si>
    <t>https://gallica.bnf.fr/iiif/ark:/12148/btv1b8510025d/manifest.json</t>
  </si>
  <si>
    <t>https://gallica.bnf.fr/iiif/ark:/12148/btv1b8530213f/manifest.json</t>
  </si>
  <si>
    <t>https://gallica.bnf.fr/iiif/ark:/12148/btv1b8432463d/manifest.json</t>
  </si>
  <si>
    <t>https://gallica.bnf.fr/iiif/ark:/12148/btv1b10543247v/manifest.json</t>
  </si>
  <si>
    <t>https://gallica.bnf.fr/iiif/ark:/12148/btv1b10546364r/manifest.json</t>
  </si>
  <si>
    <t>https://gallica.bnf.fr/iiif/ark:/12148/btv1b8594596n/manifest.json</t>
  </si>
  <si>
    <t>https://gallica.bnf.fr/iiif/ark:/12148/btv1b105243541/manifest.json</t>
  </si>
  <si>
    <t>https://gallica.bnf.fr/iiif/ark:/12148/btv1b8585603c/manifest.json</t>
  </si>
  <si>
    <t>https://gallica.bnf.fr/iiif/ark:/12148/btv1b105507867/manifest.json</t>
  </si>
  <si>
    <t>https://gallica.bnf.fr/iiif/ark:/12148/btv1b10550787p/manifest.json</t>
  </si>
  <si>
    <t>https://gallica.bnf.fr/iiif/ark:/12148/btv1b10546362v/manifest.json</t>
  </si>
  <si>
    <t>https://gallica.bnf.fr/iiif/ark:/12148/btv1b105461697/manifest.json</t>
  </si>
  <si>
    <t>https://gallica.bnf.fr/iiif/ark:/12148/btv1b105513148/manifest.json</t>
  </si>
  <si>
    <t>https://gallica.bnf.fr/iiif/ark:/12148/btv1b10546492g/manifest.json</t>
  </si>
  <si>
    <t>https://gallica.bnf.fr/iiif/ark:/12148/btv1b10543443t/manifest.json</t>
  </si>
  <si>
    <t>https://gallica.bnf.fr/iiif/ark:/12148/btv1b105434482/manifest.json</t>
  </si>
  <si>
    <t>https://gallica.bnf.fr/iiif/ark:/12148/btv1b9067854f/manifest.json</t>
  </si>
  <si>
    <t>https://gallica.bnf.fr/iiif/ark:/12148/btv1b85710847/manifest.json</t>
  </si>
  <si>
    <t>https://gallica.bnf.fr/iiif/ark:/12148/btv1b84274480/manifest.json</t>
  </si>
  <si>
    <t>https://gallica.bnf.fr/iiif/ark:/12148/btv1b84526679/manifest.json</t>
  </si>
  <si>
    <t>https://gallica.bnf.fr/iiif/ark:/12148/btv1b52502783b/manifest.json</t>
  </si>
  <si>
    <t>https://api.irht.cnrs.fr/ark:/63955/f1yr9xd7z1yj/manifest.json</t>
  </si>
  <si>
    <t>https://api.irht.cnrs.fr/ark:/63955/fgpa8af233ux/manifest.json</t>
  </si>
  <si>
    <t>https://api.irht.cnrs.fr/ark:/63955/fkhipo6si4gb/manifest.json</t>
  </si>
  <si>
    <t>https://api.irht.cnrs.fr/ark:/63955/fr8r9un6yy35/manifest.json</t>
  </si>
  <si>
    <t>https://api.irht.cnrs.fr/ark:/63955/fhy9vsty3a6o/manifest.json</t>
  </si>
  <si>
    <t>https://api.irht.cnrs.fr/ark:/63955/f7m7eg4rp3di/manifest.json</t>
  </si>
  <si>
    <t>https://api.irht.cnrs.fr/ark:/63955/fm4fbhdulhyl/manifest.json</t>
  </si>
  <si>
    <t>https://api.irht.cnrs.fr/ark:/63955/fguwgdv6yg96/manifest.json</t>
  </si>
  <si>
    <t>https://api.irht.cnrs.fr/ark:/63955/f2vkjxh5kjx6/manifest.json</t>
  </si>
  <si>
    <t>https://api.irht.cnrs.fr/ark:/63955/fvmrkmuabu88/manifest.json</t>
  </si>
  <si>
    <t>https://api.irht.cnrs.fr/ark:/63955/fn4rvku7wuzx/manifest.json</t>
  </si>
  <si>
    <t>https://api.irht.cnrs.fr/ark:/63955/fdx3i4f2razq/manifest.json</t>
  </si>
  <si>
    <t>https://api.irht.cnrs.fr/ark:/63955/flzbjkyjhy42/manifest.json</t>
  </si>
  <si>
    <t>https://gallica.bnf.fr/iiif/ark:/12148/btv1b10104028q/manifest.json</t>
  </si>
  <si>
    <t>https://api.irht.cnrs.fr/ark:/63955/ffhv2ggc4qt0/manifest.json</t>
  </si>
  <si>
    <t>https://api.irht.cnrs.fr/ark:/63955/f4n0loqwqjo0/manifest.json</t>
  </si>
  <si>
    <t>https://api.irht.cnrs.fr/ark:/63955/flcmkw6p0t1g/manifest.json</t>
  </si>
  <si>
    <t>https://emmsm.unicaen.fr/manifests/Avranches_BM_160.json</t>
  </si>
  <si>
    <t>https://emmsm.unicaen.fr/manifests/Avranches_BM_95.json</t>
  </si>
  <si>
    <t>https://emmsm.unicaen.fr/manifests/Avranches_BM_97.json</t>
  </si>
  <si>
    <t>https://emmsm.unicaen.fr/manifests/Avranches_BM_214.json</t>
  </si>
  <si>
    <t>https://api.irht.cnrs.fr/ark:/63955/fv37lag7cju7/manifest.json</t>
  </si>
  <si>
    <t>https://api.irht.cnrs.fr/ark:/63955/fn401kkv3lan/manifest.json</t>
  </si>
  <si>
    <t>https://api.irht.cnrs.fr/ark:/63955/fpwyjazmwpmj/manifest.json</t>
  </si>
  <si>
    <t>https://api.irht.cnrs.fr/ark:/63955/faw3f89etfke/manifest.json</t>
  </si>
  <si>
    <t>https://api.irht.cnrs.fr/ark:/63955/f42v554gggvu/manifest.json</t>
  </si>
  <si>
    <t>https://api.irht.cnrs.fr/ark:/63955/f2ndyr1ukxij/manifest.json</t>
  </si>
  <si>
    <t>https://emmsm.unicaen.fr/manifests/Avranches_BM_211.json</t>
  </si>
  <si>
    <t>https://emmsm.unicaen.fr/manifests/Avranches_BM_98.json</t>
  </si>
  <si>
    <t>https://api.irht.cnrs.fr/ark:/63955/fjpgvqgz8if6/manifest.json</t>
  </si>
  <si>
    <t>https://api.irht.cnrs.fr/ark:/63955/f9aimml8q83p/manifest.json</t>
  </si>
  <si>
    <t>https://api.irht.cnrs.fr/ark:/63955/fny5a9p306gj/manifest.json</t>
  </si>
  <si>
    <t>https://emmsm.unicaen.fr/manifests/Avranches_BM_159.json</t>
  </si>
  <si>
    <t>https://emmsm.unicaen.fr/manifests/Avranches_BM_210.json</t>
  </si>
  <si>
    <t>https://api.irht.cnrs.fr/ark:/63955/f3p13gmylhqm/manifest.json</t>
  </si>
  <si>
    <t>https://api.irht.cnrs.fr/ark:/63955/f7uleouvmkmp/manifest.json</t>
  </si>
  <si>
    <t>https://gallica.bnf.fr/iiif/ark:/12148/btv1b10102011g/manifest.json</t>
  </si>
  <si>
    <t>https://api.irht.cnrs.fr/ark:/63955/faizgpavzb3v/manifest.json</t>
  </si>
  <si>
    <t>https://api.irht.cnrs.fr/ark:/63955/f5054xdokubp/manifest.json</t>
  </si>
  <si>
    <t>https://cdm21059.contentdm.oclc.org/iiif/plutei:723725/manifest.json</t>
  </si>
  <si>
    <t>https://dbc.rug.nl/iiif/info/manuscripts/3209/manifest.json</t>
  </si>
  <si>
    <t>https://iiif.bodleian.ox.ac.uk/iiif/manifest/2d6dfc9f-2ab9-46bf-9b32-e52f0e6eabb3.json</t>
  </si>
  <si>
    <t>https://iiif.bodleian.ox.ac.uk/iiif/manifest/6272311c-058d-417a-8e21-05e463b4f1f9.json</t>
  </si>
  <si>
    <t>https://iiif.bodleian.ox.ac.uk/iiif/manifest/66a78997-ab65-4059-a9d3-d08a0bba067c.json</t>
  </si>
  <si>
    <t>https://www.e-codices.unifr.ch/metadata/iiif/bke-0043/manifest.json</t>
  </si>
  <si>
    <t>https://www.e-codices.unifr.ch/metadata/iiif/sbs-min0029/manifest.json</t>
  </si>
  <si>
    <t>https://www.e-codices.unifr.ch/metadata/iiif/sbs-min0004/manifest.json</t>
  </si>
  <si>
    <t>https://www.e-codices.unifr.ch/metadata/iiif/sbs-min0104/manifest.json</t>
  </si>
  <si>
    <t>https://api.irht.cnrs.fr/ark:/63955/fcav8by4igwt/manifest.json</t>
  </si>
  <si>
    <t>https://api.onb.ac.at/iiif/presentation/v3/manifest/1320921A</t>
  </si>
  <si>
    <t>https://api.onb.ac.at/iiif/presentation/v3/manifest/1000C8ED</t>
  </si>
  <si>
    <t>https://api.onb.ac.at/iiif/presentation/v3/manifest/1000BAC5</t>
  </si>
  <si>
    <t>https://api.onb.ac.at/iiif/presentation/v3/manifest/1001F7A0</t>
  </si>
  <si>
    <t>https://api.onb.ac.at/iiif/presentation/v3/manifest/1322C13E</t>
  </si>
  <si>
    <t>https://api.onb.ac.at/iiif/presentation/v3/manifest/131CC8BA</t>
  </si>
  <si>
    <t>https://api.onb.ac.at/iiif/presentation/v3/manifest/10048A2E</t>
  </si>
  <si>
    <t>https://manuscripta.at/diglit/iiif/AT1000-36/manifest.json</t>
  </si>
  <si>
    <t>https://manuscripta.at/diglit/iiif/AT1000-52/manifest.json</t>
  </si>
  <si>
    <t>https://unipub.uni-graz.at/i3f/v20/3645057/manifest</t>
  </si>
  <si>
    <t>https://manuscripta.at/diglit/iiif/AT1000-184/manifest.json</t>
  </si>
  <si>
    <t>https://manuscripta.at/diglit/iiif/AT1000-434/manifest.json</t>
  </si>
  <si>
    <t>https://manuscripta.at/diglit/iiif/AT1000-475/manifest.json</t>
  </si>
  <si>
    <t>https://manuscripta.at/diglit/iiif/AT1000-686a/manifest.json</t>
  </si>
  <si>
    <t>https://bl.digirati.io/iiif/ark:/81055/vdc_100177221822.0x000001</t>
  </si>
  <si>
    <t>https://discover.ub.uni-muenchen.de/digitalisate/BV044370763/BV044370763.json</t>
  </si>
  <si>
    <t>https://api.digitale-sammlungen.de/iiif/presentation/v2/bsb00094581/manifest</t>
  </si>
  <si>
    <t>https://www.franconica.online/o/iiif/2/78320/manifest</t>
  </si>
  <si>
    <t>https://bibnum.institutdefrance.fr/iiif/2565/manifest</t>
  </si>
  <si>
    <t>https://api.irht.cnrs.fr/ark:/63955/fofe7a9l4mkv/manifest.json</t>
  </si>
  <si>
    <t>https://gallica.bnf.fr/iiif/ark:/12148/btv1b8455926b/manifest.json</t>
  </si>
  <si>
    <t>https://gallica.bnf.fr/iiif/ark:/12148/btv1b84526553/manifest.json</t>
  </si>
  <si>
    <t>https://gallica.bnf.fr/iiif/ark:/12148/btv1b84522030/manifest.json</t>
  </si>
  <si>
    <t>https://gallica.bnf.fr/iiif/ark:/12148/btv1b8451474f/manifest.json</t>
  </si>
  <si>
    <t>https://api.irht.cnrs.fr/ark:/63955/ffmx2ga85d6c/manifest.json</t>
  </si>
  <si>
    <t>https://api.irht.cnrs.fr/ark:/63955/fqoj01vkbx3z/manifest.json</t>
  </si>
  <si>
    <t>https://api.irht.cnrs.fr/ark:/63955/ftihj5snpt11/manifest.json</t>
  </si>
  <si>
    <t>https://cdm21059.contentdm.oclc.org/iiif/info/plutei/503330/manifest.json</t>
  </si>
  <si>
    <t>https://iiif.bodleian.ox.ac.uk/iiif/manifest/74a06a90-d32d-4862-8cc7-4773de1aff7e.json</t>
  </si>
  <si>
    <t>https://iiif.bodleian.ox.ac.uk/iiif/manifest/09699679-2f18-4ada-9469-24500733ed12.json</t>
  </si>
  <si>
    <t>https://iiif.bodleian.ox.ac.uk/iiif/manifest/2015f7d2-14db-464b-9292-202f047ab085.json</t>
  </si>
  <si>
    <t>https://iiif.bodleian.ox.ac.uk/iiif/manifest/97b5f725-af6d-4934-ad75-575eb081838f.json</t>
  </si>
  <si>
    <t>https://iiif.bodleian.ox.ac.uk/iiif/manifest/510c54fa-6836-4b83-ba03-1a32157639c9.json</t>
  </si>
  <si>
    <t>https://iiif.bodleian.ox.ac.uk/iiif/manifest/88020db6-3258-4ec9-9b18-1f5b35b63149.json</t>
  </si>
  <si>
    <t>https://gallica.bnf.fr/iiif/ark:/12148/btv1b52516227f/manifest.json</t>
  </si>
  <si>
    <t>https://iiif.bodleian.ox.ac.uk/iiif/manifest/28d16887-31cc-4f89-9562-59e26a1dbfda.json</t>
  </si>
  <si>
    <t>https://iiif.bodleian.ox.ac.uk/iiif/manifest/d5550da2-fa4f-46bd-89f6-10c465a5e70c.json</t>
  </si>
  <si>
    <t>https://iiif.bodleian.ox.ac.uk/iiif/manifest/2ae5da0f-56ac-4db7-b93e-4adf5aa302c8.json</t>
  </si>
  <si>
    <t>https://www.e-codices.unifr.ch/metadata/iiif/sbs-min0020/manifest.json</t>
  </si>
  <si>
    <t>https://www.e-codices.unifr.ch/metadata/iiif/sbs-min0024/manifest.json</t>
  </si>
  <si>
    <t>https://www.e-codices.unifr.ch/metadata/iiif/sbs-min0025/manifest.json</t>
  </si>
  <si>
    <t>https://www.e-codices.unifr.ch/metadata/iiif/sbs-min0027/manifest.json</t>
  </si>
  <si>
    <t>https://www.e-codices.unifr.ch/metadata/iiif/sbs-min0028/manifest.json</t>
  </si>
  <si>
    <t>https://www.e-codices.unifr.ch/metadata/iiif/sbs-min0031/manifest.json</t>
  </si>
  <si>
    <t>https://www.e-codices.unifr.ch/metadata/iiif/sbs-min0032/manifest.json</t>
  </si>
  <si>
    <t>https://www.e-codices.unifr.ch/metadata/iiif/sbs-min0035/manifest.json</t>
  </si>
  <si>
    <t>https://www.e-codices.unifr.ch/metadata/iiif/sbs-min0036/manifest.json</t>
  </si>
  <si>
    <t>https://www.e-codices.unifr.ch/metadata/iiif/sbs-min0039/manifest.json</t>
  </si>
  <si>
    <t>https://www.e-codices.unifr.ch/metadata/iiif/sbs-min0040/manifest.json</t>
  </si>
  <si>
    <t>https://www.e-codices.unifr.ch/metadata/iiif/sbs-min0044/manifest.json</t>
  </si>
  <si>
    <t>https://www.e-codices.unifr.ch/metadata/iiif/sbs-min0046/manifest.json</t>
  </si>
  <si>
    <t>https://www.e-codices.unifr.ch/metadata/iiif/sbs-min0107/manifest.json</t>
  </si>
  <si>
    <t>https://www.e-codices.unifr.ch/metadata/iiif/sbs-min0018/manifest.json</t>
  </si>
  <si>
    <t>https://www.e-codices.unifr.ch/metadata/iiif/sbs-min0002/manifest.json</t>
  </si>
  <si>
    <t>https://www.e-codices.unifr.ch/metadata/iiif/sbs-min0003/manifest.json</t>
  </si>
  <si>
    <t>https://www.e-codices.unifr.ch/metadata/iiif/sbs-min0050/manifest.json</t>
  </si>
  <si>
    <t>https://www.e-codices.unifr.ch/metadata/iiif/sbs-min0051/manifest.json</t>
  </si>
  <si>
    <t>https://www.e-codices.unifr.ch/metadata/iiif/sbs-min0052/manifest.json</t>
  </si>
  <si>
    <t>https://www.e-codices.unifr.ch/metadata/iiif/sbs-min0053/manifest.json</t>
  </si>
  <si>
    <t>https://www.e-codices.unifr.ch/metadata/iiif/sbs-min0054/manifest.json</t>
  </si>
  <si>
    <t>https://www.e-codices.unifr.ch/metadata/iiif/sbs-min0055/manifest.json</t>
  </si>
  <si>
    <t>https://www.e-codices.unifr.ch/metadata/iiif/sl-0002/manifest.json</t>
  </si>
  <si>
    <t>https://www.e-codices.unifr.ch/metadata/iiif/zbz-Ms-Car-C0126/manifest.json</t>
  </si>
  <si>
    <t>https://iiif.bodleian.ox.ac.uk/iiif/manifest/720c4581-26b9-4f8d-8253-3e85b204f389.json</t>
  </si>
  <si>
    <t>Ox I 278</t>
  </si>
  <si>
    <t>De VI</t>
  </si>
  <si>
    <t>De VI Abb. 4</t>
  </si>
  <si>
    <t>De VI Abb. 5</t>
  </si>
  <si>
    <t>De VI Abb. 6-7</t>
  </si>
  <si>
    <t>De VI Abb. 8-9</t>
  </si>
  <si>
    <t>De VI Abb. 10</t>
  </si>
  <si>
    <t>https://www.e-codices.unifr.ch/metadata/iiif/dss-U0001/manifest.json</t>
  </si>
  <si>
    <t>Sw III abb. 12</t>
  </si>
  <si>
    <t>Laon, BM, 232 [ff. 82-144, 153-220]</t>
  </si>
  <si>
    <t>Fr 3 185</t>
  </si>
  <si>
    <t>Fr 3 243</t>
  </si>
  <si>
    <t>Fr 3 301</t>
  </si>
  <si>
    <t>Fr 3 405</t>
  </si>
  <si>
    <t>Fr 3 415</t>
  </si>
  <si>
    <t>Fr 3 423</t>
  </si>
  <si>
    <t>Fr 3 475</t>
  </si>
  <si>
    <t>Fr 3 551</t>
  </si>
  <si>
    <t>Fr 3 575</t>
  </si>
  <si>
    <t>Fr 3 589</t>
  </si>
  <si>
    <t>Fr 3 87</t>
  </si>
  <si>
    <t>Fr 3 89</t>
  </si>
  <si>
    <t>Fr 3 105</t>
  </si>
  <si>
    <t>Fr 3 113</t>
  </si>
  <si>
    <t>Fr 3 117</t>
  </si>
  <si>
    <t>Fr 3 125</t>
  </si>
  <si>
    <t>Fr 3 143</t>
  </si>
  <si>
    <t>Fr 3 179</t>
  </si>
  <si>
    <t>Fr 3 211</t>
  </si>
  <si>
    <t>Fr 3 241</t>
  </si>
  <si>
    <t>Fr 3 255</t>
  </si>
  <si>
    <t>Fr 3 271</t>
  </si>
  <si>
    <t>Fr 3 275</t>
  </si>
  <si>
    <t>Fr 3 285</t>
  </si>
  <si>
    <t>Fr 3 305</t>
  </si>
  <si>
    <t>Fr 3 345</t>
  </si>
  <si>
    <t>Fr 3 403</t>
  </si>
  <si>
    <t>Fr 3 427</t>
  </si>
  <si>
    <t>Fr 3 493</t>
  </si>
  <si>
    <t>Fr 3 513</t>
  </si>
  <si>
    <t>Fr 3 151</t>
  </si>
  <si>
    <t>Fr 3 521</t>
  </si>
  <si>
    <t>Fr 3 569</t>
  </si>
  <si>
    <t>Fr 3 583</t>
  </si>
  <si>
    <t>Fr 3 591</t>
  </si>
  <si>
    <t>Fr 3 595</t>
  </si>
  <si>
    <t>Paris, BnF, Lat. 2855</t>
  </si>
  <si>
    <t>Paris, BnF, Lat. 6503</t>
  </si>
  <si>
    <t>Fr 3 11</t>
  </si>
  <si>
    <t>Fr 3 57</t>
  </si>
  <si>
    <t>Fr 3 93</t>
  </si>
  <si>
    <t>Fr 3 103</t>
  </si>
  <si>
    <t>Fr 3 119</t>
  </si>
  <si>
    <t>Fr 3 137</t>
  </si>
  <si>
    <t>Fr 3 658</t>
  </si>
  <si>
    <t>Fr 3 627</t>
  </si>
  <si>
    <t>Fr 4 41</t>
  </si>
  <si>
    <t>Fr 4 43</t>
  </si>
  <si>
    <t>Fr 4 137</t>
  </si>
  <si>
    <t>Fr 4 143</t>
  </si>
  <si>
    <t>Fr 4 165</t>
  </si>
  <si>
    <t>Fr 4 167</t>
  </si>
  <si>
    <t>Fr 4 169</t>
  </si>
  <si>
    <t>Fr 4 171</t>
  </si>
  <si>
    <t>Fr 4 173</t>
  </si>
  <si>
    <t>Fr 4 177</t>
  </si>
  <si>
    <t>Fr 4 181</t>
  </si>
  <si>
    <t>Fr 4 205</t>
  </si>
  <si>
    <t>Fr 4 227</t>
  </si>
  <si>
    <t>Fr 4 235</t>
  </si>
  <si>
    <t>Fr 4 245</t>
  </si>
  <si>
    <t>Fr 1 3</t>
  </si>
  <si>
    <t>Fr 1 11</t>
  </si>
  <si>
    <t>Fr 1 29</t>
  </si>
  <si>
    <t>Fr 1 47</t>
  </si>
  <si>
    <t>Fr 1 117</t>
  </si>
  <si>
    <t>Fr 1 133</t>
  </si>
  <si>
    <t>Fr 1 233</t>
  </si>
  <si>
    <t>Fr 1 261</t>
  </si>
  <si>
    <t>Fr 1 335</t>
  </si>
  <si>
    <t>Fr 1 343</t>
  </si>
  <si>
    <t>Fr 1 347</t>
  </si>
  <si>
    <t>Fr 1 357</t>
  </si>
  <si>
    <t>Fr 1 429</t>
  </si>
  <si>
    <t>Fr 2 61</t>
  </si>
  <si>
    <t>Fr 2 99</t>
  </si>
  <si>
    <t>Fr 2 133</t>
  </si>
  <si>
    <t>Fr 2 241</t>
  </si>
  <si>
    <t>Fr 2 349</t>
  </si>
  <si>
    <t>Fr 2 39</t>
  </si>
  <si>
    <t>Fr 2 57</t>
  </si>
  <si>
    <t>Fr 2 77</t>
  </si>
  <si>
    <t>Fr 2 159</t>
  </si>
  <si>
    <t>Fr 2 257</t>
  </si>
  <si>
    <t>Fr 2 265</t>
  </si>
  <si>
    <t>Fr 2 271</t>
  </si>
  <si>
    <t>Fr 2 273</t>
  </si>
  <si>
    <t>Fr 2 373</t>
  </si>
  <si>
    <t>Fr 2 379</t>
  </si>
  <si>
    <t>Fr 2 381</t>
  </si>
  <si>
    <t>Fr 2 389</t>
  </si>
  <si>
    <t>Fr 2 417</t>
  </si>
  <si>
    <t>Fr 2 43</t>
  </si>
  <si>
    <t>LSS 142</t>
  </si>
  <si>
    <t>LSS 193</t>
  </si>
  <si>
    <t>LSS 200</t>
  </si>
  <si>
    <t>LSS 201</t>
  </si>
  <si>
    <t>LSS 206</t>
  </si>
  <si>
    <t>LSS 208</t>
  </si>
  <si>
    <t>LSS 208-9</t>
  </si>
  <si>
    <t>LSS 213-4</t>
  </si>
  <si>
    <t>msID</t>
  </si>
  <si>
    <t>Fr 3 636</t>
  </si>
  <si>
    <t>Fr 4 39</t>
  </si>
  <si>
    <t>Fr 5 626</t>
  </si>
  <si>
    <t>Fr 5 175</t>
  </si>
  <si>
    <t>Fr 5 191</t>
  </si>
  <si>
    <t>Fr 5 445</t>
  </si>
  <si>
    <t>S.Pantaleone?</t>
  </si>
  <si>
    <t>Fr 4 352</t>
  </si>
  <si>
    <t>Fr 6 203</t>
  </si>
  <si>
    <t>Fr 6 59</t>
  </si>
  <si>
    <t>Fr 6 61</t>
  </si>
  <si>
    <t>Fr 6 63</t>
  </si>
  <si>
    <t>Fr 6 157</t>
  </si>
  <si>
    <t>Fr 6 337</t>
  </si>
  <si>
    <t>Fr 6 373</t>
  </si>
  <si>
    <t>Fr 6 387</t>
  </si>
  <si>
    <t>Fr 6 389</t>
  </si>
  <si>
    <t>Fr 6 391</t>
  </si>
  <si>
    <t>Fr 6 393</t>
  </si>
  <si>
    <t>Fr 6 395</t>
  </si>
  <si>
    <t>Fr 6 397</t>
  </si>
  <si>
    <t>Fr 6 381</t>
  </si>
  <si>
    <t>Fr 6 433</t>
  </si>
  <si>
    <t>Grenoble, Bibl. mun., 18 (3)</t>
  </si>
  <si>
    <t>Fr 6 468</t>
  </si>
  <si>
    <t>Fr 6 497</t>
  </si>
  <si>
    <t>Fr 6 500</t>
  </si>
  <si>
    <t>Fr 6 149</t>
  </si>
  <si>
    <t>Fr 6 305</t>
  </si>
  <si>
    <t>Fr 6 415</t>
  </si>
  <si>
    <t>Fr 7 71</t>
  </si>
  <si>
    <t>Fr 7 65</t>
  </si>
  <si>
    <t>Avranches, Bibl. mun., 97 [ff. A-B, 1-256]</t>
  </si>
  <si>
    <t>Fr 7 67</t>
  </si>
  <si>
    <t>Fr 7 327</t>
  </si>
  <si>
    <t>Fr 7 391</t>
  </si>
  <si>
    <t>Fr 7 401</t>
  </si>
  <si>
    <t>Fr 7 7</t>
  </si>
  <si>
    <t>Fr 7 21</t>
  </si>
  <si>
    <t>Fr 7 29</t>
  </si>
  <si>
    <t>Fr 7 35</t>
  </si>
  <si>
    <t>Fr 7 45</t>
  </si>
  <si>
    <t>Fr 7 75</t>
  </si>
  <si>
    <t>Fr 7 73</t>
  </si>
  <si>
    <t>Fr 7 77</t>
  </si>
  <si>
    <t>Fr 7 79</t>
  </si>
  <si>
    <t>Fr 7 83</t>
  </si>
  <si>
    <t>Fr 7 103</t>
  </si>
  <si>
    <t>Fr 7 123</t>
  </si>
  <si>
    <t>Fr 7 137</t>
  </si>
  <si>
    <t>Fr 7 179</t>
  </si>
  <si>
    <t>Fr 7 167</t>
  </si>
  <si>
    <t>Fr 7 189</t>
  </si>
  <si>
    <t>Fr 7 237</t>
  </si>
  <si>
    <t>Fr 7 329</t>
  </si>
  <si>
    <t>Fr 7 335</t>
  </si>
  <si>
    <t>Fr 7 337</t>
  </si>
  <si>
    <t>Fr 7 347</t>
  </si>
  <si>
    <t>Fr 7 343</t>
  </si>
  <si>
    <t>Fr 7 373</t>
  </si>
  <si>
    <t>Fr 7 375</t>
  </si>
  <si>
    <t>Fr 7 403</t>
  </si>
  <si>
    <t>Fr 7 433</t>
  </si>
  <si>
    <t>Fr 7 449</t>
  </si>
  <si>
    <t>Fr 7 451</t>
  </si>
  <si>
    <t>Fr 7 498</t>
  </si>
  <si>
    <t>Fr 7 532</t>
  </si>
  <si>
    <t>Fr 7 533</t>
  </si>
  <si>
    <t>Fr 7 541</t>
  </si>
  <si>
    <t>Fr 7 535</t>
  </si>
  <si>
    <t>Paris, BnF, Lat. 15971 [ff. 3-232]</t>
  </si>
  <si>
    <t>Lo II 17ab</t>
  </si>
  <si>
    <t>cmd_text_id</t>
  </si>
  <si>
    <t>Soisson, BM, 9 [ff. 16-104]</t>
  </si>
  <si>
    <t>1173-1205</t>
  </si>
  <si>
    <t>Laon, Saint-Martin?</t>
  </si>
  <si>
    <t>Wien, Österreichische Nationalbibliothek (ÖNB), Cod. 375 [ff. 50-53v]</t>
  </si>
  <si>
    <t>Wien, Österreichische Nationalbibliothek (ÖNB), Cod. 375 [ff. 54-58]</t>
  </si>
  <si>
    <t>Wien, Österreichische Nationalbibliothek (ÖNB), Cod. 604 [ff. 46]</t>
  </si>
  <si>
    <t>Wien, Österreichische Nationalbibliothek (ÖNB), Cod. 604 [ff. 49v]</t>
  </si>
  <si>
    <t>Admont, Benediktinerstift, Cod. 475 [ff. 102-103]</t>
  </si>
  <si>
    <t xml:space="preserve">Bruges, B. V., 373 part 1 </t>
  </si>
  <si>
    <t>Bruxelles, B. R., II. 3634 pt. 1-2</t>
  </si>
  <si>
    <t>NL 1 I 260</t>
  </si>
  <si>
    <t>Chantilly, Mus. Condé, 16 (1143)</t>
  </si>
  <si>
    <t xml:space="preserve">Laon, BM, 109 </t>
  </si>
  <si>
    <t xml:space="preserve">Laon, BM, 205 </t>
  </si>
  <si>
    <t xml:space="preserve">Laon, BM, 348 </t>
  </si>
  <si>
    <t xml:space="preserve">Laon, BM, 410 </t>
  </si>
  <si>
    <t xml:space="preserve">Laon, BM, 71 </t>
  </si>
  <si>
    <t>Laon, BM, 17</t>
  </si>
  <si>
    <t>Laon, BM, 206</t>
  </si>
  <si>
    <t>Laon, BM, 213</t>
  </si>
  <si>
    <t>Laon, BM, 230</t>
  </si>
  <si>
    <t>Laon, BM, 242</t>
  </si>
  <si>
    <t>Laon, BM, 243</t>
  </si>
  <si>
    <t>Laon, BM, 247</t>
  </si>
  <si>
    <t>Laon, BM, 270bis [ff. 52-96]</t>
  </si>
  <si>
    <t xml:space="preserve">Laon, BM, 270bis </t>
  </si>
  <si>
    <t>Laon, BM, 280</t>
  </si>
  <si>
    <t>Laon, BM, 333</t>
  </si>
  <si>
    <t>Laon, BM, 362</t>
  </si>
  <si>
    <t>Laon, BM, 38bis [pp. 1-24]</t>
  </si>
  <si>
    <t xml:space="preserve">Laon, BM, 38bis </t>
  </si>
  <si>
    <t>Laon, BM, 400</t>
  </si>
  <si>
    <t>Laon, BM, 404</t>
  </si>
  <si>
    <t>Laon, BM, 544</t>
  </si>
  <si>
    <t>Eng_dig</t>
  </si>
  <si>
    <t>Eng</t>
  </si>
  <si>
    <t>BL II 81a-c</t>
  </si>
  <si>
    <t>1214/1215</t>
  </si>
  <si>
    <t>date_mean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</si>
</sst>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Calibri"/>
      <family val="2"/>
    </font>
    <font>
      <sz val="12"/>
      <color theme="1"/>
      <name val="Aptos"/>
    </font>
    <font>
      <u/>
      <sz val="12"/>
      <color theme="1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8"/>
      <color theme="1"/>
      <name val="Baskerville"/>
      <family val="1"/>
    </font>
    <font>
      <sz val="8"/>
      <color theme="1"/>
      <name val="Baskerville"/>
      <family val="1"/>
    </font>
    <font>
      <i/>
      <sz val="8"/>
      <color theme="1"/>
      <name val="Baskerville"/>
      <family val="1"/>
    </font>
    <font>
      <b/>
      <sz val="12"/>
      <name val="Aptos"/>
    </font>
    <font>
      <sz val="8"/>
      <color theme="1"/>
      <name val="GlyphLessFont"/>
    </font>
    <font>
      <i/>
      <sz val="12"/>
      <color theme="1"/>
      <name val="Baskerville"/>
      <family val="1"/>
    </font>
    <font>
      <sz val="12"/>
      <color theme="1"/>
      <name val="Baskerville"/>
      <family val="1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5" fillId="0" borderId="0" xfId="0" applyFont="1" applyAlignment="1">
      <alignment vertical="center"/>
    </xf>
    <xf numFmtId="0" fontId="6" fillId="0" borderId="0" xfId="1"/>
    <xf numFmtId="0" fontId="7" fillId="0" borderId="0" xfId="0" applyFont="1"/>
    <xf numFmtId="16" fontId="0" fillId="0" borderId="0" xfId="0" applyNumberFormat="1"/>
    <xf numFmtId="0" fontId="8" fillId="0" borderId="2" xfId="0" applyFont="1" applyBorder="1" applyAlignment="1">
      <alignment horizontal="justify" vertical="center" wrapText="1"/>
    </xf>
    <xf numFmtId="0" fontId="8" fillId="0" borderId="3" xfId="0" applyFont="1" applyBorder="1" applyAlignment="1">
      <alignment horizontal="justify" vertical="center" wrapText="1"/>
    </xf>
    <xf numFmtId="0" fontId="0" fillId="0" borderId="0" xfId="0" quotePrefix="1"/>
    <xf numFmtId="0" fontId="5" fillId="0" borderId="0" xfId="0" applyFont="1"/>
    <xf numFmtId="0" fontId="11" fillId="0" borderId="1" xfId="0" applyFont="1" applyBorder="1" applyAlignment="1">
      <alignment horizontal="center" vertical="top"/>
    </xf>
    <xf numFmtId="17" fontId="0" fillId="0" borderId="0" xfId="0" applyNumberFormat="1"/>
    <xf numFmtId="3" fontId="0" fillId="0" borderId="0" xfId="0" applyNumberFormat="1"/>
    <xf numFmtId="49" fontId="4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15" fillId="0" borderId="0" xfId="0" applyFont="1"/>
    <xf numFmtId="0" fontId="4" fillId="0" borderId="4" xfId="0" applyFont="1" applyBorder="1" applyAlignment="1">
      <alignment horizontal="center" vertical="top"/>
    </xf>
    <xf numFmtId="0" fontId="0" fillId="2" borderId="0" xfId="0" applyFill="1"/>
    <xf numFmtId="0" fontId="6" fillId="2" borderId="0" xfId="1" applyFill="1"/>
    <xf numFmtId="49" fontId="0" fillId="2" borderId="0" xfId="0" applyNumberFormat="1" applyFill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elistittse/Documents/Scriptie_CMD/data/CMD_data/kwakkel_england_subset.xlsx" TargetMode="External"/><Relationship Id="rId1" Type="http://schemas.openxmlformats.org/officeDocument/2006/relationships/externalLinkPath" Target="kwakkel_england_sub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ss"/>
      <sheetName val="old_kwakkel"/>
      <sheetName val="person_edges"/>
      <sheetName val="person_nodes"/>
    </sheetNames>
    <sheetDataSet>
      <sheetData sheetId="0">
        <row r="1">
          <cell r="AA1" t="str">
            <v>cmd_text</v>
          </cell>
        </row>
        <row r="2">
          <cell r="AA2" t="str">
            <v>BL I 103</v>
          </cell>
        </row>
        <row r="3">
          <cell r="AA3" t="str">
            <v>BL I 370</v>
          </cell>
        </row>
        <row r="4">
          <cell r="AA4" t="str">
            <v>BL I 400</v>
          </cell>
        </row>
        <row r="5">
          <cell r="AA5" t="str">
            <v>BL I 401</v>
          </cell>
        </row>
        <row r="6">
          <cell r="AA6" t="str">
            <v>BL I 415</v>
          </cell>
        </row>
        <row r="7">
          <cell r="AA7" t="str">
            <v>BL I 417</v>
          </cell>
        </row>
        <row r="8">
          <cell r="AA8" t="str">
            <v>BL I 436</v>
          </cell>
        </row>
        <row r="9">
          <cell r="AA9" t="str">
            <v>BL I 519</v>
          </cell>
        </row>
        <row r="10">
          <cell r="AA10" t="str">
            <v>BL I 521</v>
          </cell>
        </row>
        <row r="11">
          <cell r="AA11" t="str">
            <v>BL I 528</v>
          </cell>
        </row>
        <row r="12">
          <cell r="AA12" t="str">
            <v>BL I 529</v>
          </cell>
        </row>
        <row r="13">
          <cell r="AA13" t="str">
            <v>BL I 530</v>
          </cell>
        </row>
        <row r="14">
          <cell r="AA14" t="str">
            <v>BL I 540</v>
          </cell>
        </row>
        <row r="15">
          <cell r="AA15" t="str">
            <v>BL I 541</v>
          </cell>
        </row>
        <row r="16">
          <cell r="AA16" t="str">
            <v>BL I 543</v>
          </cell>
        </row>
        <row r="17">
          <cell r="AA17" t="str">
            <v>BL I 551</v>
          </cell>
        </row>
        <row r="18">
          <cell r="AA18" t="str">
            <v>BL I 554</v>
          </cell>
        </row>
        <row r="19">
          <cell r="AA19" t="str">
            <v>BL I 559</v>
          </cell>
        </row>
        <row r="20">
          <cell r="AA20" t="str">
            <v>BL I 560</v>
          </cell>
        </row>
        <row r="21">
          <cell r="AA21" t="str">
            <v>BL I 563</v>
          </cell>
        </row>
        <row r="22">
          <cell r="AA22" t="str">
            <v>BL I 565</v>
          </cell>
        </row>
        <row r="23">
          <cell r="AA23" t="str">
            <v>BL I 574</v>
          </cell>
        </row>
        <row r="24">
          <cell r="AA24" t="str">
            <v>BL I 577</v>
          </cell>
        </row>
        <row r="25">
          <cell r="AA25" t="str">
            <v>BL I 617</v>
          </cell>
        </row>
        <row r="26">
          <cell r="AA26" t="str">
            <v>BL I 620</v>
          </cell>
        </row>
        <row r="27">
          <cell r="AA27" t="str">
            <v>BL I 626</v>
          </cell>
        </row>
        <row r="28">
          <cell r="AA28" t="str">
            <v>BL I 627</v>
          </cell>
        </row>
        <row r="29">
          <cell r="AA29" t="str">
            <v>BL I 634</v>
          </cell>
        </row>
        <row r="30">
          <cell r="AA30" t="str">
            <v>BL I 641</v>
          </cell>
        </row>
        <row r="31">
          <cell r="AA31" t="str">
            <v>BL I 723</v>
          </cell>
        </row>
        <row r="32">
          <cell r="AA32" t="str">
            <v>BL I 859</v>
          </cell>
        </row>
        <row r="33">
          <cell r="AA33" t="str">
            <v>BL I 864</v>
          </cell>
        </row>
        <row r="34">
          <cell r="AA34" t="str">
            <v>BL I 867</v>
          </cell>
        </row>
        <row r="35">
          <cell r="AA35" t="str">
            <v>BL I 870</v>
          </cell>
        </row>
        <row r="36">
          <cell r="AA36" t="str">
            <v>BL I 872</v>
          </cell>
        </row>
        <row r="37">
          <cell r="AA37" t="str">
            <v>BL I 875</v>
          </cell>
        </row>
        <row r="38">
          <cell r="AA38" t="str">
            <v>BL I 878</v>
          </cell>
        </row>
        <row r="39">
          <cell r="AA39" t="str">
            <v>BL I 879</v>
          </cell>
        </row>
        <row r="40">
          <cell r="AA40" t="str">
            <v>BL I 891</v>
          </cell>
        </row>
        <row r="41">
          <cell r="AA41" t="str">
            <v>Ca I 119</v>
          </cell>
        </row>
        <row r="42">
          <cell r="AA42" t="str">
            <v>Ca I 126</v>
          </cell>
        </row>
        <row r="43">
          <cell r="AA43" t="str">
            <v>Ca I 133</v>
          </cell>
        </row>
        <row r="44">
          <cell r="AA44" t="str">
            <v>Ca I 134</v>
          </cell>
        </row>
        <row r="45">
          <cell r="AA45" t="str">
            <v>Ca I 142</v>
          </cell>
        </row>
        <row r="46">
          <cell r="AA46" t="str">
            <v>Ca I 148</v>
          </cell>
        </row>
        <row r="47">
          <cell r="AA47" t="str">
            <v>Ca I 151</v>
          </cell>
        </row>
        <row r="48">
          <cell r="AA48" t="str">
            <v>Ca I 153</v>
          </cell>
        </row>
        <row r="49">
          <cell r="AA49" t="str">
            <v>Ca I 154</v>
          </cell>
        </row>
        <row r="50">
          <cell r="AA50" t="str">
            <v>Ca I 158</v>
          </cell>
        </row>
        <row r="51">
          <cell r="AA51" t="str">
            <v>Ca I 166</v>
          </cell>
        </row>
        <row r="52">
          <cell r="AA52" t="str">
            <v>Ca I 167</v>
          </cell>
        </row>
        <row r="53">
          <cell r="AA53" t="str">
            <v>Ca I 248</v>
          </cell>
        </row>
        <row r="54">
          <cell r="AA54" t="str">
            <v>Ca I 293</v>
          </cell>
        </row>
        <row r="55">
          <cell r="AA55" t="str">
            <v>Ca I 294</v>
          </cell>
        </row>
        <row r="56">
          <cell r="AA56" t="str">
            <v>Ca I 296</v>
          </cell>
        </row>
        <row r="57">
          <cell r="AA57" t="str">
            <v>Ca I 298</v>
          </cell>
        </row>
        <row r="58">
          <cell r="AA58" t="str">
            <v>Ca I 306</v>
          </cell>
        </row>
        <row r="59">
          <cell r="AA59" t="str">
            <v>Ca I 336</v>
          </cell>
        </row>
        <row r="60">
          <cell r="AA60" t="str">
            <v>Ca I 351</v>
          </cell>
        </row>
        <row r="61">
          <cell r="AA61" t="str">
            <v>Ca I 354</v>
          </cell>
        </row>
        <row r="62">
          <cell r="AA62" t="str">
            <v>Ca I 358</v>
          </cell>
        </row>
        <row r="63">
          <cell r="AA63" t="str">
            <v>Ca I 362</v>
          </cell>
        </row>
        <row r="64">
          <cell r="AA64" t="str">
            <v>Ca I 379</v>
          </cell>
        </row>
        <row r="65">
          <cell r="AA65" t="str">
            <v>Ca I 380</v>
          </cell>
        </row>
        <row r="66">
          <cell r="AA66" t="str">
            <v>Ca I 391</v>
          </cell>
        </row>
        <row r="67">
          <cell r="AA67" t="str">
            <v>Ca I 58</v>
          </cell>
        </row>
        <row r="68">
          <cell r="AA68" t="str">
            <v>Ca I 63</v>
          </cell>
        </row>
        <row r="69">
          <cell r="AA69" t="str">
            <v>Ca I 65</v>
          </cell>
        </row>
        <row r="70">
          <cell r="AA70" t="str">
            <v>Fr 3</v>
          </cell>
        </row>
        <row r="71">
          <cell r="AA71" t="str">
            <v>Fr 7 (1)</v>
          </cell>
        </row>
        <row r="72">
          <cell r="AA72" t="str">
            <v>Fr 7 (2)</v>
          </cell>
        </row>
        <row r="73">
          <cell r="AA73" t="str">
            <v>Lo I 126</v>
          </cell>
        </row>
        <row r="74">
          <cell r="AA74" t="str">
            <v>Lo I 148</v>
          </cell>
        </row>
        <row r="75">
          <cell r="AA75" t="str">
            <v>Lo I 152</v>
          </cell>
        </row>
        <row r="76">
          <cell r="AA76" t="str">
            <v>Lo I 192</v>
          </cell>
        </row>
        <row r="77">
          <cell r="AA77" t="str">
            <v>Lo I 30</v>
          </cell>
        </row>
        <row r="78">
          <cell r="AA78" t="str">
            <v>Lo I 42</v>
          </cell>
        </row>
        <row r="79">
          <cell r="AA79" t="str">
            <v>Lo I 47</v>
          </cell>
        </row>
        <row r="80">
          <cell r="AA80" t="str">
            <v>Lo I 55</v>
          </cell>
        </row>
        <row r="81">
          <cell r="AA81" t="str">
            <v>Lo I 65</v>
          </cell>
        </row>
        <row r="82">
          <cell r="AA82" t="str">
            <v>Lo I 66</v>
          </cell>
        </row>
        <row r="83">
          <cell r="AA83" t="str">
            <v>Lo I 80</v>
          </cell>
        </row>
        <row r="84">
          <cell r="AA84" t="str">
            <v>NL 1 I 173</v>
          </cell>
        </row>
        <row r="85">
          <cell r="AA85" t="str">
            <v>Ox I 108</v>
          </cell>
        </row>
        <row r="86">
          <cell r="AA86" t="str">
            <v>Ox I 41</v>
          </cell>
        </row>
        <row r="87">
          <cell r="AA87" t="str">
            <v>Ox I 417</v>
          </cell>
        </row>
        <row r="88">
          <cell r="AA88" t="str">
            <v>Ox I 418</v>
          </cell>
        </row>
        <row r="89">
          <cell r="AA89" t="str">
            <v>Ox I 42</v>
          </cell>
        </row>
        <row r="90">
          <cell r="AA90" t="str">
            <v>Ox I 45</v>
          </cell>
        </row>
        <row r="91">
          <cell r="AA91" t="str">
            <v>Ox I 469</v>
          </cell>
        </row>
        <row r="92">
          <cell r="AA92" t="str">
            <v>Ox I 47</v>
          </cell>
        </row>
        <row r="93">
          <cell r="AA93" t="str">
            <v>Ox I 620</v>
          </cell>
        </row>
        <row r="94">
          <cell r="AA94" t="str">
            <v>Ox I 65</v>
          </cell>
        </row>
        <row r="95">
          <cell r="AA95" t="str">
            <v>Ox I 657</v>
          </cell>
        </row>
        <row r="96">
          <cell r="AA96" t="str">
            <v>Ox I 658</v>
          </cell>
        </row>
        <row r="97">
          <cell r="AA97" t="str">
            <v>Ox I 661</v>
          </cell>
        </row>
        <row r="98">
          <cell r="AA98" t="str">
            <v>Ox I 691</v>
          </cell>
        </row>
        <row r="99">
          <cell r="AA99" t="str">
            <v>Ox I 696</v>
          </cell>
        </row>
        <row r="100">
          <cell r="AA100" t="str">
            <v>Ox I 705</v>
          </cell>
        </row>
        <row r="101">
          <cell r="AA101" t="str">
            <v>Ox I 75</v>
          </cell>
        </row>
        <row r="102">
          <cell r="AA102" t="str">
            <v>Ox I 760</v>
          </cell>
        </row>
        <row r="103">
          <cell r="AA103" t="str">
            <v>Ox I 765</v>
          </cell>
        </row>
        <row r="104">
          <cell r="AA104" t="str">
            <v>Ox I 773</v>
          </cell>
        </row>
        <row r="105">
          <cell r="AA105" t="str">
            <v>Ox I 775</v>
          </cell>
        </row>
        <row r="106">
          <cell r="AA106" t="str">
            <v>Ox I 797</v>
          </cell>
        </row>
        <row r="107">
          <cell r="AA107" t="str">
            <v>Ox I 798</v>
          </cell>
        </row>
        <row r="108">
          <cell r="AA108" t="str">
            <v>Ox I 799</v>
          </cell>
        </row>
        <row r="109">
          <cell r="AA109" t="str">
            <v>Ox I 800</v>
          </cell>
        </row>
        <row r="110">
          <cell r="AA110" t="str">
            <v>Ox I 801</v>
          </cell>
        </row>
        <row r="111">
          <cell r="AA111" t="str">
            <v>Ox I 802</v>
          </cell>
        </row>
        <row r="112">
          <cell r="AA112" t="str">
            <v>Ox I 817</v>
          </cell>
        </row>
        <row r="113">
          <cell r="AA113" t="str">
            <v>Ox I 818</v>
          </cell>
        </row>
        <row r="114">
          <cell r="AA114" t="str">
            <v>Ox I 832</v>
          </cell>
        </row>
        <row r="115">
          <cell r="AA115" t="str">
            <v>Ox I 867</v>
          </cell>
        </row>
        <row r="116">
          <cell r="AA116" t="str">
            <v>Ox I 96</v>
          </cell>
        </row>
        <row r="117">
          <cell r="AA117" t="str">
            <v>Ox I 99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-codices.unifr.ch/metadata/iiif/bke-0076/manifest.json" TargetMode="External"/><Relationship Id="rId21" Type="http://schemas.openxmlformats.org/officeDocument/2006/relationships/hyperlink" Target="https://digitalcollections.universiteitleiden.nl/iiif_manifest/item%3A1611194/manifest" TargetMode="External"/><Relationship Id="rId42" Type="http://schemas.openxmlformats.org/officeDocument/2006/relationships/hyperlink" Target="https://manuscripta.at/?ID=6165" TargetMode="External"/><Relationship Id="rId63" Type="http://schemas.openxmlformats.org/officeDocument/2006/relationships/hyperlink" Target="https://gallica.bnf.fr/iiif/ark:/12148/btv1b106705492/manifest.json" TargetMode="External"/><Relationship Id="rId84" Type="http://schemas.openxmlformats.org/officeDocument/2006/relationships/hyperlink" Target="https://gallica.bnf.fr/iiif/ark:/12148/btv1b9067744q/manifest.json" TargetMode="External"/><Relationship Id="rId138" Type="http://schemas.openxmlformats.org/officeDocument/2006/relationships/hyperlink" Target="https://manuscripta.at/diglit/iiif/AT1000-52/manifest.json" TargetMode="External"/><Relationship Id="rId107" Type="http://schemas.openxmlformats.org/officeDocument/2006/relationships/hyperlink" Target="https://www.e-codices.unifr.ch/metadata/iiif/bke-0037/manifest.json" TargetMode="External"/><Relationship Id="rId11" Type="http://schemas.openxmlformats.org/officeDocument/2006/relationships/hyperlink" Target="http://hdl.handle.net/1887.1/item:848447" TargetMode="External"/><Relationship Id="rId32" Type="http://schemas.openxmlformats.org/officeDocument/2006/relationships/hyperlink" Target="https://www.e-codices.ch/en/list/one/bbb/0087" TargetMode="External"/><Relationship Id="rId53" Type="http://schemas.openxmlformats.org/officeDocument/2006/relationships/hyperlink" Target="https://mss-cat.trin.cam.ac.uk/Manuscript/B.5.28/manifest.json" TargetMode="External"/><Relationship Id="rId74" Type="http://schemas.openxmlformats.org/officeDocument/2006/relationships/hyperlink" Target="https://sharedcanvas.be/IIIF/manifests/B_OB_MS469" TargetMode="External"/><Relationship Id="rId128" Type="http://schemas.openxmlformats.org/officeDocument/2006/relationships/hyperlink" Target="https://manuscripta.at/hs_detail.php?ID=26856" TargetMode="External"/><Relationship Id="rId149" Type="http://schemas.openxmlformats.org/officeDocument/2006/relationships/hyperlink" Target="https://cdm21059.contentdm.oclc.org/iiif/info/plutei/503330/manifest.json" TargetMode="External"/><Relationship Id="rId5" Type="http://schemas.openxmlformats.org/officeDocument/2006/relationships/hyperlink" Target="http://hdl.handle.net/1887.1/item:4154089" TargetMode="External"/><Relationship Id="rId95" Type="http://schemas.openxmlformats.org/officeDocument/2006/relationships/hyperlink" Target="https://www.e-codices.unifr.ch/metadata/iiif/bke-0012/manifest.json" TargetMode="External"/><Relationship Id="rId22" Type="http://schemas.openxmlformats.org/officeDocument/2006/relationships/hyperlink" Target="https://digitalcollections.universiteitleiden.nl/iiif_manifest/item%3A881875/manifest" TargetMode="External"/><Relationship Id="rId27" Type="http://schemas.openxmlformats.org/officeDocument/2006/relationships/hyperlink" Target="https://api.onb.ac.at/iiif/presentation/v3/manifest/10017421" TargetMode="External"/><Relationship Id="rId43" Type="http://schemas.openxmlformats.org/officeDocument/2006/relationships/hyperlink" Target="https://manuscripta.at/?ID=6039" TargetMode="External"/><Relationship Id="rId48" Type="http://schemas.openxmlformats.org/officeDocument/2006/relationships/hyperlink" Target="https://manuscripta.at/?ID=26856" TargetMode="External"/><Relationship Id="rId64" Type="http://schemas.openxmlformats.org/officeDocument/2006/relationships/hyperlink" Target="https://gallica.bnf.fr/iiif/ark:/12148/btv1b10663398n/manifest.json" TargetMode="External"/><Relationship Id="rId69" Type="http://schemas.openxmlformats.org/officeDocument/2006/relationships/hyperlink" Target="https://bl.digirati.io/iiif/ark:/81055/vdc_100055988155.0x000001" TargetMode="External"/><Relationship Id="rId113" Type="http://schemas.openxmlformats.org/officeDocument/2006/relationships/hyperlink" Target="https://www.e-codices.unifr.ch/metadata/iiif/bke-0065/manifest.json" TargetMode="External"/><Relationship Id="rId118" Type="http://schemas.openxmlformats.org/officeDocument/2006/relationships/hyperlink" Target="https://www.e-codices.unifr.ch/metadata/iiif/bke-0087/manifest.json" TargetMode="External"/><Relationship Id="rId134" Type="http://schemas.openxmlformats.org/officeDocument/2006/relationships/hyperlink" Target="https://api.onb.ac.at/iiif/presentation/v3/manifest/1322C13E" TargetMode="External"/><Relationship Id="rId139" Type="http://schemas.openxmlformats.org/officeDocument/2006/relationships/hyperlink" Target="https://manuscripta.at/diglit/iiif/AT1000-184/manifest.json" TargetMode="External"/><Relationship Id="rId80" Type="http://schemas.openxmlformats.org/officeDocument/2006/relationships/hyperlink" Target="https://api.onb.ac.at/iiif/presentation/v3/manifest/100183EA" TargetMode="External"/><Relationship Id="rId85" Type="http://schemas.openxmlformats.org/officeDocument/2006/relationships/hyperlink" Target="https://www.e-codices.unifr.ch/metadata/iiif/fmb-cb-0074/manifest.json" TargetMode="External"/><Relationship Id="rId150" Type="http://schemas.openxmlformats.org/officeDocument/2006/relationships/hyperlink" Target="https://api.irht.cnrs.fr/ark:/63955/fn401kkv3lan/manifest.json" TargetMode="External"/><Relationship Id="rId12" Type="http://schemas.openxmlformats.org/officeDocument/2006/relationships/hyperlink" Target="http://hdl.handle.net/1887.1/item:847727" TargetMode="External"/><Relationship Id="rId17" Type="http://schemas.openxmlformats.org/officeDocument/2006/relationships/hyperlink" Target="https://digitalcollections.universiteitleiden.nl/iiif_manifest/item%3A4243570/manifest" TargetMode="External"/><Relationship Id="rId33" Type="http://schemas.openxmlformats.org/officeDocument/2006/relationships/hyperlink" Target="https://manuscripta.at/?ID=26856" TargetMode="External"/><Relationship Id="rId38" Type="http://schemas.openxmlformats.org/officeDocument/2006/relationships/hyperlink" Target="https://manuscripta.at/?ID=6039" TargetMode="External"/><Relationship Id="rId59" Type="http://schemas.openxmlformats.org/officeDocument/2006/relationships/hyperlink" Target="https://mss-cat.trin.cam.ac.uk/Manuscript/R.15.32/manifest.json" TargetMode="External"/><Relationship Id="rId103" Type="http://schemas.openxmlformats.org/officeDocument/2006/relationships/hyperlink" Target="https://www.e-codices.unifr.ch/metadata/iiif/bke-0021/manifest.json" TargetMode="External"/><Relationship Id="rId108" Type="http://schemas.openxmlformats.org/officeDocument/2006/relationships/hyperlink" Target="https://www.e-codices.unifr.ch/metadata/iiif/bke-0046/manifest.json" TargetMode="External"/><Relationship Id="rId124" Type="http://schemas.openxmlformats.org/officeDocument/2006/relationships/hyperlink" Target="https://www.e-codices.unifr.ch/metadata/iiif/bke-1007/manifest.json" TargetMode="External"/><Relationship Id="rId129" Type="http://schemas.openxmlformats.org/officeDocument/2006/relationships/hyperlink" Target="https://api.onb.ac.at/iiif/presentation/v3/manifest/1320921A" TargetMode="External"/><Relationship Id="rId54" Type="http://schemas.openxmlformats.org/officeDocument/2006/relationships/hyperlink" Target="https://mss-cat.trin.cam.ac.uk/Manuscript/B.5.4/manifest.json" TargetMode="External"/><Relationship Id="rId70" Type="http://schemas.openxmlformats.org/officeDocument/2006/relationships/hyperlink" Target="https://mlgb.bodleian.ox.ac.uk/catalog/book_3908" TargetMode="External"/><Relationship Id="rId75" Type="http://schemas.openxmlformats.org/officeDocument/2006/relationships/hyperlink" Target="https://api.onb.ac.at/iiif/presentation/v3/manifest/10004BD3" TargetMode="External"/><Relationship Id="rId91" Type="http://schemas.openxmlformats.org/officeDocument/2006/relationships/hyperlink" Target="https://www.e-codices.unifr.ch/metadata/iiif/sbe-0629/manifest.json" TargetMode="External"/><Relationship Id="rId96" Type="http://schemas.openxmlformats.org/officeDocument/2006/relationships/hyperlink" Target="https://www.e-codices.unifr.ch/metadata/iiif/bke-0013/manifest.json" TargetMode="External"/><Relationship Id="rId140" Type="http://schemas.openxmlformats.org/officeDocument/2006/relationships/hyperlink" Target="https://manuscripta.at/diglit/iiif/AT1000-18/manifest.json" TargetMode="External"/><Relationship Id="rId145" Type="http://schemas.openxmlformats.org/officeDocument/2006/relationships/hyperlink" Target="https://manuscripta.at/diglit/iiif/AT1000-686a/manifest.json" TargetMode="External"/><Relationship Id="rId1" Type="http://schemas.openxmlformats.org/officeDocument/2006/relationships/hyperlink" Target="http://hdl.handle.net/1887.1/item:4243440" TargetMode="External"/><Relationship Id="rId6" Type="http://schemas.openxmlformats.org/officeDocument/2006/relationships/hyperlink" Target="http://hdl.handle.net/1887.1/item:4243570" TargetMode="External"/><Relationship Id="rId23" Type="http://schemas.openxmlformats.org/officeDocument/2006/relationships/hyperlink" Target="https://digitalcollections.universiteitleiden.nl/iiif_manifest/item%3A848447/manifest" TargetMode="External"/><Relationship Id="rId28" Type="http://schemas.openxmlformats.org/officeDocument/2006/relationships/hyperlink" Target="https://api.onb.ac.at/iiif/presentation/v3/manifest/112ECF1B" TargetMode="External"/><Relationship Id="rId49" Type="http://schemas.openxmlformats.org/officeDocument/2006/relationships/hyperlink" Target="https://dms-data.stanford.edu/data/manifests/Parker/wy783rb3141/manifest.json" TargetMode="External"/><Relationship Id="rId114" Type="http://schemas.openxmlformats.org/officeDocument/2006/relationships/hyperlink" Target="https://www.e-codices.unifr.ch/metadata/iiif/bke-0067/manifest.json" TargetMode="External"/><Relationship Id="rId119" Type="http://schemas.openxmlformats.org/officeDocument/2006/relationships/hyperlink" Target="https://www.e-codices.unifr.ch/metadata/iiif/bke-0088/manifest.json" TargetMode="External"/><Relationship Id="rId44" Type="http://schemas.openxmlformats.org/officeDocument/2006/relationships/hyperlink" Target="https://manuscripta.at/?ID=5978" TargetMode="External"/><Relationship Id="rId60" Type="http://schemas.openxmlformats.org/officeDocument/2006/relationships/hyperlink" Target="https://mss-cat.trin.cam.ac.uk/Manuscript/R.17.1/manifest.json" TargetMode="External"/><Relationship Id="rId65" Type="http://schemas.openxmlformats.org/officeDocument/2006/relationships/hyperlink" Target="https://bl.digirati.io/iiif/ark:/81055/vdc_100056003913.0x000001" TargetMode="External"/><Relationship Id="rId81" Type="http://schemas.openxmlformats.org/officeDocument/2006/relationships/hyperlink" Target="https://unipub.uni-graz.at/i3f/v20/6596841/manifest" TargetMode="External"/><Relationship Id="rId86" Type="http://schemas.openxmlformats.org/officeDocument/2006/relationships/hyperlink" Target="https://www.e-codices.unifr.ch/en/searchresult/list/one/fmb/cb-0161" TargetMode="External"/><Relationship Id="rId130" Type="http://schemas.openxmlformats.org/officeDocument/2006/relationships/hyperlink" Target="https://api.onb.ac.at/iiif/presentation/v3/manifest/1000C8ED" TargetMode="External"/><Relationship Id="rId135" Type="http://schemas.openxmlformats.org/officeDocument/2006/relationships/hyperlink" Target="https://api.onb.ac.at/iiif/presentation/v3/manifest/131CC8BA" TargetMode="External"/><Relationship Id="rId151" Type="http://schemas.openxmlformats.org/officeDocument/2006/relationships/hyperlink" Target="https://www.e-codices.unifr.ch/metadata/iiif/dss-U0001/manifest.json" TargetMode="External"/><Relationship Id="rId13" Type="http://schemas.openxmlformats.org/officeDocument/2006/relationships/hyperlink" Target="https://digitalcollections.universiteitleiden.nl/iiif_manifest/item%3A4227203/manifest" TargetMode="External"/><Relationship Id="rId18" Type="http://schemas.openxmlformats.org/officeDocument/2006/relationships/hyperlink" Target="https://digitalcollections.universiteitleiden.nl/iiif_manifest/item%3A2708056/manifest" TargetMode="External"/><Relationship Id="rId39" Type="http://schemas.openxmlformats.org/officeDocument/2006/relationships/hyperlink" Target="https://manuscripta.at/?ID=6165" TargetMode="External"/><Relationship Id="rId109" Type="http://schemas.openxmlformats.org/officeDocument/2006/relationships/hyperlink" Target="https://www.e-codices.unifr.ch/metadata/iiif/bke-0047/manifest.json" TargetMode="External"/><Relationship Id="rId34" Type="http://schemas.openxmlformats.org/officeDocument/2006/relationships/hyperlink" Target="https://manuscripta.at/?ID=26896" TargetMode="External"/><Relationship Id="rId50" Type="http://schemas.openxmlformats.org/officeDocument/2006/relationships/hyperlink" Target="https://mss-cat.trin.cam.ac.uk/Manuscript/B.3.12/manifest.json" TargetMode="External"/><Relationship Id="rId55" Type="http://schemas.openxmlformats.org/officeDocument/2006/relationships/hyperlink" Target="https://mss-cat.trin.cam.ac.uk/Manuscript/B.5.5/manifest.json" TargetMode="External"/><Relationship Id="rId76" Type="http://schemas.openxmlformats.org/officeDocument/2006/relationships/hyperlink" Target="https://api.onb.ac.at/iiif/presentation/v3/manifest/131FD984" TargetMode="External"/><Relationship Id="rId97" Type="http://schemas.openxmlformats.org/officeDocument/2006/relationships/hyperlink" Target="https://www.e-codices.unifr.ch/metadata/iiif/bke-0014/manifest.json" TargetMode="External"/><Relationship Id="rId104" Type="http://schemas.openxmlformats.org/officeDocument/2006/relationships/hyperlink" Target="https://www.e-codices.unifr.ch/metadata/iiif/bke-0022/manifest.json" TargetMode="External"/><Relationship Id="rId120" Type="http://schemas.openxmlformats.org/officeDocument/2006/relationships/hyperlink" Target="https://www.e-codices.unifr.ch/metadata/iiif/bke-0102/manifest.json" TargetMode="External"/><Relationship Id="rId125" Type="http://schemas.openxmlformats.org/officeDocument/2006/relationships/hyperlink" Target="https://www.e-codices.unifr.ch/metadata/iiif/bke-1008/manifest.json" TargetMode="External"/><Relationship Id="rId141" Type="http://schemas.openxmlformats.org/officeDocument/2006/relationships/hyperlink" Target="https://manuscripta.at/diglit/iiif/AT1000-434/manifest.json" TargetMode="External"/><Relationship Id="rId146" Type="http://schemas.openxmlformats.org/officeDocument/2006/relationships/hyperlink" Target="https://discover.ub.uni-muenchen.de/digitalisate/BV044370763/BV044370763.json" TargetMode="External"/><Relationship Id="rId7" Type="http://schemas.openxmlformats.org/officeDocument/2006/relationships/hyperlink" Target="http://hdl.handle.net/1887.1/item:2708056" TargetMode="External"/><Relationship Id="rId71" Type="http://schemas.openxmlformats.org/officeDocument/2006/relationships/hyperlink" Target="https://gallica.bnf.fr/iiif/ark:/12148/btv1b100158551/manifest.json" TargetMode="External"/><Relationship Id="rId92" Type="http://schemas.openxmlformats.org/officeDocument/2006/relationships/hyperlink" Target="https://www.e-codices.unifr.ch/metadata/iiif/bke-0003/manifest.json" TargetMode="External"/><Relationship Id="rId2" Type="http://schemas.openxmlformats.org/officeDocument/2006/relationships/hyperlink" Target="http://hdl.handle.net/1887.1/item:4219919" TargetMode="External"/><Relationship Id="rId29" Type="http://schemas.openxmlformats.org/officeDocument/2006/relationships/hyperlink" Target="https://api.onb.ac.at/iiif/presentation/v3/manifest/131CD53E" TargetMode="External"/><Relationship Id="rId24" Type="http://schemas.openxmlformats.org/officeDocument/2006/relationships/hyperlink" Target="https://digitalcollections.universiteitleiden.nl/iiif_manifest/item%3A847727/manifest" TargetMode="External"/><Relationship Id="rId40" Type="http://schemas.openxmlformats.org/officeDocument/2006/relationships/hyperlink" Target="https://manuscripta.at/?ID=5978" TargetMode="External"/><Relationship Id="rId45" Type="http://schemas.openxmlformats.org/officeDocument/2006/relationships/hyperlink" Target="https://manuscripta.at/?ID=26968" TargetMode="External"/><Relationship Id="rId66" Type="http://schemas.openxmlformats.org/officeDocument/2006/relationships/hyperlink" Target="https://bl.digirati.io/iiif/ark:/81055/vdc_100059052444.0x000001" TargetMode="External"/><Relationship Id="rId87" Type="http://schemas.openxmlformats.org/officeDocument/2006/relationships/hyperlink" Target="https://www.e-codices.unifr.ch/metadata/iiif/fmb-cb-0161/manifest.json" TargetMode="External"/><Relationship Id="rId110" Type="http://schemas.openxmlformats.org/officeDocument/2006/relationships/hyperlink" Target="https://www.e-codices.unifr.ch/metadata/iiif/bke-0048/manifest.json" TargetMode="External"/><Relationship Id="rId115" Type="http://schemas.openxmlformats.org/officeDocument/2006/relationships/hyperlink" Target="https://www.e-codices.unifr.ch/metadata/iiif/bke-0068/manifest.json" TargetMode="External"/><Relationship Id="rId131" Type="http://schemas.openxmlformats.org/officeDocument/2006/relationships/hyperlink" Target="https://api.onb.ac.at/iiif/presentation/v3/manifest/1000C8ED" TargetMode="External"/><Relationship Id="rId136" Type="http://schemas.openxmlformats.org/officeDocument/2006/relationships/hyperlink" Target="https://api.onb.ac.at/iiif/presentation/v3/manifest/10048A2E" TargetMode="External"/><Relationship Id="rId61" Type="http://schemas.openxmlformats.org/officeDocument/2006/relationships/hyperlink" Target="https://mss-cat.trin.cam.ac.uk/Manuscript/R.3.29/manifest.json" TargetMode="External"/><Relationship Id="rId82" Type="http://schemas.openxmlformats.org/officeDocument/2006/relationships/hyperlink" Target="https://manuscripta.at/diglit/iiif/AT1000-714/manifest.json" TargetMode="External"/><Relationship Id="rId152" Type="http://schemas.openxmlformats.org/officeDocument/2006/relationships/hyperlink" Target="https://bl.digirati.io/iiif/ark:/81055/vdc_100060437329.0x000001" TargetMode="External"/><Relationship Id="rId19" Type="http://schemas.openxmlformats.org/officeDocument/2006/relationships/hyperlink" Target="https://digitalcollections.universiteitleiden.nl/iiif_manifest/item%3A1943535/manifest" TargetMode="External"/><Relationship Id="rId14" Type="http://schemas.openxmlformats.org/officeDocument/2006/relationships/hyperlink" Target="https://digitalcollections.universiteitleiden.nl/iiif_manifest/item%3A4153920/manifest" TargetMode="External"/><Relationship Id="rId30" Type="http://schemas.openxmlformats.org/officeDocument/2006/relationships/hyperlink" Target="https://api.onb.ac.at/iiif/presentation/v3/manifest/10048720" TargetMode="External"/><Relationship Id="rId35" Type="http://schemas.openxmlformats.org/officeDocument/2006/relationships/hyperlink" Target="https://manuscripta.at/?ID=26937" TargetMode="External"/><Relationship Id="rId56" Type="http://schemas.openxmlformats.org/officeDocument/2006/relationships/hyperlink" Target="https://mss-cat.trin.cam.ac.uk/Manuscript/B.5.5/manifest.json" TargetMode="External"/><Relationship Id="rId77" Type="http://schemas.openxmlformats.org/officeDocument/2006/relationships/hyperlink" Target="https://api.onb.ac.at/iiif/presentation/v3/manifest/13220636" TargetMode="External"/><Relationship Id="rId100" Type="http://schemas.openxmlformats.org/officeDocument/2006/relationships/hyperlink" Target="https://www.e-codices.unifr.ch/metadata/iiif/bke-0018/manifest.json" TargetMode="External"/><Relationship Id="rId105" Type="http://schemas.openxmlformats.org/officeDocument/2006/relationships/hyperlink" Target="https://www.e-codices.unifr.ch/metadata/iiif/bke-0023/manifest.json" TargetMode="External"/><Relationship Id="rId126" Type="http://schemas.openxmlformats.org/officeDocument/2006/relationships/hyperlink" Target="https://www.e-codices.unifr.ch/metadata/iiif/bke-1009/manifest.json" TargetMode="External"/><Relationship Id="rId147" Type="http://schemas.openxmlformats.org/officeDocument/2006/relationships/hyperlink" Target="https://api.digitale-sammlungen.de/iiif/presentation/v2/bsb00094581/manifest" TargetMode="External"/><Relationship Id="rId8" Type="http://schemas.openxmlformats.org/officeDocument/2006/relationships/hyperlink" Target="http://hdl.handle.net/1887.1/item:1943535" TargetMode="External"/><Relationship Id="rId51" Type="http://schemas.openxmlformats.org/officeDocument/2006/relationships/hyperlink" Target="https://mss-cat.trin.cam.ac.uk/Manuscript/B.3.30/manifest.json" TargetMode="External"/><Relationship Id="rId72" Type="http://schemas.openxmlformats.org/officeDocument/2006/relationships/hyperlink" Target="https://www.alvin-portal.org/alvin/view.jsf?aq=%5B%5B%7B%22A_FQ%22%3A%22Katalog+der+datierten+Handschriften%22%7D%5D%5D&amp;c=46&amp;aqe=%5B%5D&amp;af=%5B%5D&amp;searchType=TEXT&amp;query=Katalog+der+datierten+Handschriften&amp;pid=alvin-record%3A473725&amp;dswid=-4160" TargetMode="External"/><Relationship Id="rId93" Type="http://schemas.openxmlformats.org/officeDocument/2006/relationships/hyperlink" Target="https://www.e-codices.unifr.ch/metadata/iiif/bke-0004/manifest.json" TargetMode="External"/><Relationship Id="rId98" Type="http://schemas.openxmlformats.org/officeDocument/2006/relationships/hyperlink" Target="https://www.e-codices.unifr.ch/metadata/iiif/bke-0015/manifest.json" TargetMode="External"/><Relationship Id="rId121" Type="http://schemas.openxmlformats.org/officeDocument/2006/relationships/hyperlink" Target="https://www.e-codices.unifr.ch/metadata/iiif/bke-0117/manifest.json" TargetMode="External"/><Relationship Id="rId142" Type="http://schemas.openxmlformats.org/officeDocument/2006/relationships/hyperlink" Target="https://manuscripta.at/diglit/iiif/AT1000-475/manifest.json" TargetMode="External"/><Relationship Id="rId3" Type="http://schemas.openxmlformats.org/officeDocument/2006/relationships/hyperlink" Target="http://hdl.handle.net/1887.1/item:4227203" TargetMode="External"/><Relationship Id="rId25" Type="http://schemas.openxmlformats.org/officeDocument/2006/relationships/hyperlink" Target="https://iiif.biblissima.fr/collections/manifest/8e47017f2164596f881fc86fd0acb550edb64f90" TargetMode="External"/><Relationship Id="rId46" Type="http://schemas.openxmlformats.org/officeDocument/2006/relationships/hyperlink" Target="https://manuscripta.at/?ID=26937" TargetMode="External"/><Relationship Id="rId67" Type="http://schemas.openxmlformats.org/officeDocument/2006/relationships/hyperlink" Target="https://bl.digirati.io/iiif/ark:/81055/vdc_100058595676.0x000001" TargetMode="External"/><Relationship Id="rId116" Type="http://schemas.openxmlformats.org/officeDocument/2006/relationships/hyperlink" Target="https://www.e-codices.unifr.ch/metadata/iiif/bke-0072/manifest.json" TargetMode="External"/><Relationship Id="rId137" Type="http://schemas.openxmlformats.org/officeDocument/2006/relationships/hyperlink" Target="https://manuscripta.at/diglit/iiif/AT1000-36/manifest.json" TargetMode="External"/><Relationship Id="rId20" Type="http://schemas.openxmlformats.org/officeDocument/2006/relationships/hyperlink" Target="https://digitalcollections.universiteitleiden.nl/iiif_manifest/item%3A1614211/manifest" TargetMode="External"/><Relationship Id="rId41" Type="http://schemas.openxmlformats.org/officeDocument/2006/relationships/hyperlink" Target="https://manuscripta.at/?ID=5978" TargetMode="External"/><Relationship Id="rId62" Type="http://schemas.openxmlformats.org/officeDocument/2006/relationships/hyperlink" Target="https://mss-cat.trin.cam.ac.uk/Manuscript/R.7.28/manifest.json" TargetMode="External"/><Relationship Id="rId83" Type="http://schemas.openxmlformats.org/officeDocument/2006/relationships/hyperlink" Target="https://manuscripta.at/diglit/iiif/AT1000-221/manifest.json" TargetMode="External"/><Relationship Id="rId88" Type="http://schemas.openxmlformats.org/officeDocument/2006/relationships/hyperlink" Target="https://www.e-codices.unifr.ch/metadata/iiif/sbe-0166/manifest.json" TargetMode="External"/><Relationship Id="rId111" Type="http://schemas.openxmlformats.org/officeDocument/2006/relationships/hyperlink" Target="https://www.e-codices.unifr.ch/metadata/iiif/bke-0049/manifest.json" TargetMode="External"/><Relationship Id="rId132" Type="http://schemas.openxmlformats.org/officeDocument/2006/relationships/hyperlink" Target="https://api.onb.ac.at/iiif/presentation/v3/manifest/1000BAC5" TargetMode="External"/><Relationship Id="rId15" Type="http://schemas.openxmlformats.org/officeDocument/2006/relationships/hyperlink" Target="https://digitalcollections.universiteitleiden.nl/iiif_manifest/item%3A4119608/manifest" TargetMode="External"/><Relationship Id="rId36" Type="http://schemas.openxmlformats.org/officeDocument/2006/relationships/hyperlink" Target="https://manuscripta.at/?ID=26968" TargetMode="External"/><Relationship Id="rId57" Type="http://schemas.openxmlformats.org/officeDocument/2006/relationships/hyperlink" Target="https://mss-cat.trin.cam.ac.uk/Manuscript/B.5.6/manifest.json" TargetMode="External"/><Relationship Id="rId106" Type="http://schemas.openxmlformats.org/officeDocument/2006/relationships/hyperlink" Target="https://www.e-codices.unifr.ch/metadata/iiif/bke-0032/manifest.json" TargetMode="External"/><Relationship Id="rId127" Type="http://schemas.openxmlformats.org/officeDocument/2006/relationships/hyperlink" Target="https://www.e-codices.unifr.ch/metadata/iiif/bbb-0120-2/manifest.json" TargetMode="External"/><Relationship Id="rId10" Type="http://schemas.openxmlformats.org/officeDocument/2006/relationships/hyperlink" Target="http://hdl.handle.net/1887.1/item:1611194" TargetMode="External"/><Relationship Id="rId31" Type="http://schemas.openxmlformats.org/officeDocument/2006/relationships/hyperlink" Target="https://www.e-codices.unifr.ch/metadata/iiif/bbb-0087/manifest.json" TargetMode="External"/><Relationship Id="rId52" Type="http://schemas.openxmlformats.org/officeDocument/2006/relationships/hyperlink" Target="https://mss-cat.trin.cam.ac.uk/Manuscript/B.4.30/manifest.json" TargetMode="External"/><Relationship Id="rId73" Type="http://schemas.openxmlformats.org/officeDocument/2006/relationships/hyperlink" Target="https://iiif.biblissima.fr/collections/manifest/249e57e630f8addedcdea8b779c3c04f3d36292d" TargetMode="External"/><Relationship Id="rId78" Type="http://schemas.openxmlformats.org/officeDocument/2006/relationships/hyperlink" Target="https://api.onb.ac.at/iiif/presentation/v3/manifest/13220636" TargetMode="External"/><Relationship Id="rId94" Type="http://schemas.openxmlformats.org/officeDocument/2006/relationships/hyperlink" Target="https://www.e-codices.unifr.ch/metadata/iiif/bke-0004/manifest.json" TargetMode="External"/><Relationship Id="rId99" Type="http://schemas.openxmlformats.org/officeDocument/2006/relationships/hyperlink" Target="https://www.e-codices.unifr.ch/metadata/iiif/bke-0016/manifest.json" TargetMode="External"/><Relationship Id="rId101" Type="http://schemas.openxmlformats.org/officeDocument/2006/relationships/hyperlink" Target="https://www.e-codices.unifr.ch/metadata/iiif/bke-0019/manifest.json" TargetMode="External"/><Relationship Id="rId122" Type="http://schemas.openxmlformats.org/officeDocument/2006/relationships/hyperlink" Target="https://www.e-codices.unifr.ch/metadata/iiif/bke-0139/manifest.json" TargetMode="External"/><Relationship Id="rId143" Type="http://schemas.openxmlformats.org/officeDocument/2006/relationships/hyperlink" Target="https://manuscripta.at/diglit/iiif/AT1000-475/manifest.json" TargetMode="External"/><Relationship Id="rId148" Type="http://schemas.openxmlformats.org/officeDocument/2006/relationships/hyperlink" Target="https://www.franconica.online/o/iiif/2/78320/manifest" TargetMode="External"/><Relationship Id="rId4" Type="http://schemas.openxmlformats.org/officeDocument/2006/relationships/hyperlink" Target="http://hdl.handle.net/1887.1/item:4153920" TargetMode="External"/><Relationship Id="rId9" Type="http://schemas.openxmlformats.org/officeDocument/2006/relationships/hyperlink" Target="http://hdl.handle.net/1887.1/item:1614211" TargetMode="External"/><Relationship Id="rId26" Type="http://schemas.openxmlformats.org/officeDocument/2006/relationships/hyperlink" Target="https://manuscripta.at/diglit/iiif/AT1000-18/manifest.json" TargetMode="External"/><Relationship Id="rId47" Type="http://schemas.openxmlformats.org/officeDocument/2006/relationships/hyperlink" Target="https://manuscripta.at/?ID=26896" TargetMode="External"/><Relationship Id="rId68" Type="http://schemas.openxmlformats.org/officeDocument/2006/relationships/hyperlink" Target="https://bl.digirati.io/iiif/ark:/81055/vdc_100058595676.0x000001" TargetMode="External"/><Relationship Id="rId89" Type="http://schemas.openxmlformats.org/officeDocument/2006/relationships/hyperlink" Target="https://www.e-codices.unifr.ch/metadata/iiif/sbe-0240/manifest.json" TargetMode="External"/><Relationship Id="rId112" Type="http://schemas.openxmlformats.org/officeDocument/2006/relationships/hyperlink" Target="https://www.e-codices.unifr.ch/metadata/iiif/bke-0064/manifest.json" TargetMode="External"/><Relationship Id="rId133" Type="http://schemas.openxmlformats.org/officeDocument/2006/relationships/hyperlink" Target="https://api.onb.ac.at/iiif/presentation/v3/manifest/1001F7A0" TargetMode="External"/><Relationship Id="rId16" Type="http://schemas.openxmlformats.org/officeDocument/2006/relationships/hyperlink" Target="https://digitalcollections.universiteitleiden.nl/iiif_manifest/item%3A4154089/manifest" TargetMode="External"/><Relationship Id="rId37" Type="http://schemas.openxmlformats.org/officeDocument/2006/relationships/hyperlink" Target="https://manuscripta.at/?ID=5978" TargetMode="External"/><Relationship Id="rId58" Type="http://schemas.openxmlformats.org/officeDocument/2006/relationships/hyperlink" Target="https://mss-cat.trin.cam.ac.uk/Manuscript/B.5.7/manifest.json" TargetMode="External"/><Relationship Id="rId79" Type="http://schemas.openxmlformats.org/officeDocument/2006/relationships/hyperlink" Target="https://api.onb.ac.at/iiif/presentation/v3/manifest/131FD984" TargetMode="External"/><Relationship Id="rId102" Type="http://schemas.openxmlformats.org/officeDocument/2006/relationships/hyperlink" Target="https://www.e-codices.unifr.ch/metadata/iiif/bke-0020/manifest.json" TargetMode="External"/><Relationship Id="rId123" Type="http://schemas.openxmlformats.org/officeDocument/2006/relationships/hyperlink" Target="https://www.e-codices.unifr.ch/metadata/iiif/bke-1005/manifest.json" TargetMode="External"/><Relationship Id="rId144" Type="http://schemas.openxmlformats.org/officeDocument/2006/relationships/hyperlink" Target="https://manuscripta.at/diglit/iiif/AT1000-501/manifest.json" TargetMode="External"/><Relationship Id="rId90" Type="http://schemas.openxmlformats.org/officeDocument/2006/relationships/hyperlink" Target="https://www.e-codices.unifr.ch/metadata/iiif/sbe-0360/manifest.json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://hdl.handle.net/1887.1/item:848447" TargetMode="External"/><Relationship Id="rId18" Type="http://schemas.openxmlformats.org/officeDocument/2006/relationships/hyperlink" Target="https://digitalcollections.universiteitleiden.nl/iiif_manifest/item%3A4154089/manifest" TargetMode="External"/><Relationship Id="rId26" Type="http://schemas.openxmlformats.org/officeDocument/2006/relationships/hyperlink" Target="https://digitalcollections.universiteitleiden.nl/iiif_manifest/item%3A847727/manifest" TargetMode="External"/><Relationship Id="rId39" Type="http://schemas.openxmlformats.org/officeDocument/2006/relationships/hyperlink" Target="https://www.mmdc.nl/static/site/search/?searchMode=advanced&amp;recordId=null&amp;selectedRecordId=null&amp;maximumRecords=15&amp;recordDisplayLevel=1&amp;startRecord=241&amp;showMap=1&amp;freetextsearch=CMD-NL+1&amp;shelfmark=Type+in+query...+%28autocompleted%29&amp;author=Type+in+query...+%28autocompleted%29&amp;title=Type+in+query...+%28autocompleted%29&amp;startyear=Type+in+query&amp;endyear=Type+in+query&amp;alt-title=Type+in+query...+%28autocompleted%29&amp;incipit=Type+in+query&amp;annotation_contents=Type+in+query&amp;contains=null&amp;language=null&amp;language_original=null&amp;translator=Type+in+query...+%28autocompleted%29&amp;type=null&amp;keyword=Type+in+query&amp;person=Type+in+query...+%28autocompleted%29&amp;medium=null&amp;script=Type+in+query&amp;scribe=Type+in+query...+%28autocompleted%29&amp;binding=null&amp;binder=Type+in+query...+%28autocompleted%29&amp;region=null&amp;place=Type+in+query&amp;patron=Type+in+query...+%28autocompleted%29&amp;collection=Type+in+query...+%28autocompleted%29" TargetMode="External"/><Relationship Id="rId21" Type="http://schemas.openxmlformats.org/officeDocument/2006/relationships/hyperlink" Target="https://digitalcollections.universiteitleiden.nl/iiif_manifest/item%3A1943535/manifest" TargetMode="External"/><Relationship Id="rId34" Type="http://schemas.openxmlformats.org/officeDocument/2006/relationships/hyperlink" Target="https://www.mmdc.nl/static/site/search/?searchMode=advanced&amp;recordId=null&amp;selectedRecordId=null&amp;maximumRecords=15&amp;recordDisplayLevel=1&amp;startRecord=1&amp;showMap=1&amp;freetextsearch=s-Heerenberg%2C+HB+%3A+fr.+13&amp;shelfmark=Type+in+query...+%28autocompleted%29&amp;author=Type+in+query...+%28autocompleted%29&amp;title=Type+in+query...+%28autocompleted%29&amp;startyear=Type+in+query&amp;endyear=Type+in+query&amp;alt-title=Type+in+query...+%28autocompleted%29&amp;incipit=Type+in+query&amp;annotation_contents=Type+in+query&amp;contains=null&amp;language=null&amp;language_original=null&amp;translator=Type+in+query...+%28autocompleted%29&amp;type=null&amp;keyword=Type+in+query&amp;person=Type+in+query...+%28autocompleted%29&amp;medium=null&amp;script=Type+in+query&amp;scribe=Type+in+query...+%28autocompleted%29&amp;binding=null&amp;binder=Type+in+query...+%28autocompleted%29&amp;region=null&amp;place=Type+in+query&amp;patron=Type+in+query...+%28autocompleted%29&amp;collection=Type+in+query...+%28autocompleted%29" TargetMode="External"/><Relationship Id="rId7" Type="http://schemas.openxmlformats.org/officeDocument/2006/relationships/hyperlink" Target="http://hdl.handle.net/1887.1/item:4243570" TargetMode="External"/><Relationship Id="rId12" Type="http://schemas.openxmlformats.org/officeDocument/2006/relationships/hyperlink" Target="http://hdl.handle.net/1887.1/item:881875" TargetMode="External"/><Relationship Id="rId17" Type="http://schemas.openxmlformats.org/officeDocument/2006/relationships/hyperlink" Target="https://digitalcollections.universiteitleiden.nl/iiif_manifest/item%3A4119608/manifest" TargetMode="External"/><Relationship Id="rId25" Type="http://schemas.openxmlformats.org/officeDocument/2006/relationships/hyperlink" Target="https://digitalcollections.universiteitleiden.nl/iiif_manifest/item%3A848447/manifest" TargetMode="External"/><Relationship Id="rId33" Type="http://schemas.openxmlformats.org/officeDocument/2006/relationships/hyperlink" Target="https://www.mmdc.nl/static/site/search/?searchMode=advanced&amp;recordId=null&amp;selectedRecordId=null&amp;maximumRecords=15&amp;recordDisplayLevel=1&amp;startRecord=241&amp;showMap=1&amp;freetextsearch=CMD-NL+1&amp;shelfmark=Type+in+query...+%28autocompleted%29&amp;author=Type+in+query...+%28autocompleted%29&amp;title=Type+in+query...+%28autocompleted%29&amp;startyear=Type+in+query&amp;endyear=Type+in+query&amp;alt-title=Type+in+query...+%28autocompleted%29&amp;incipit=Type+in+query&amp;annotation_contents=Type+in+query&amp;contains=null&amp;language=null&amp;language_original=null&amp;translator=Type+in+query...+%28autocompleted%29&amp;type=null&amp;keyword=Type+in+query&amp;person=Type+in+query...+%28autocompleted%29&amp;medium=null&amp;script=Type+in+query&amp;scribe=Type+in+query...+%28autocompleted%29&amp;binding=null&amp;binder=Type+in+query...+%28autocompleted%29&amp;region=null&amp;place=Type+in+query&amp;patron=Type+in+query...+%28autocompleted%29&amp;collection=Type+in+query...+%28autocompleted%29" TargetMode="External"/><Relationship Id="rId38" Type="http://schemas.openxmlformats.org/officeDocument/2006/relationships/hyperlink" Target="https://www.mmdc.nl/static/site/search/?searchMode=advanced&amp;recordId=null&amp;selectedRecordId=null&amp;maximumRecords=15&amp;recordDisplayLevel=1&amp;startRecord=1&amp;showMap=1&amp;freetextsearch=ms.+130+E+9&amp;shelfmark=Type+in+query...+%28autocompleted%29&amp;author=Type+in+query...+%28autocompleted%29&amp;title=Type+in+query...+%28autocompleted%29&amp;startyear=Type+in+query&amp;endyear=Type+in+query&amp;alt-title=Type+in+query...+%28autocompleted%29&amp;incipit=Type+in+query&amp;annotation_contents=Type+in+query&amp;contains=null&amp;language=null&amp;language_original=null&amp;translator=Type+in+query...+%28autocompleted%29&amp;type=null&amp;keyword=Type+in+query&amp;person=Type+in+query...+%28autocompleted%29&amp;medium=null&amp;script=Type+in+query&amp;scribe=Type+in+query...+%28autocompleted%29&amp;binding=null&amp;binder=Type+in+query...+%28autocompleted%29&amp;region=null&amp;place=Type+in+query&amp;patron=Type+in+query...+%28autocompleted%29&amp;collection=Type+in+query...+%28autocompleted%29" TargetMode="External"/><Relationship Id="rId2" Type="http://schemas.openxmlformats.org/officeDocument/2006/relationships/hyperlink" Target="http://hdl.handle.net/1887.1/item:4219919" TargetMode="External"/><Relationship Id="rId16" Type="http://schemas.openxmlformats.org/officeDocument/2006/relationships/hyperlink" Target="https://digitalcollections.universiteitleiden.nl/iiif_manifest/item%3A4153920/manifest" TargetMode="External"/><Relationship Id="rId20" Type="http://schemas.openxmlformats.org/officeDocument/2006/relationships/hyperlink" Target="https://digitalcollections.universiteitleiden.nl/iiif_manifest/item%3A2708056/manifest" TargetMode="External"/><Relationship Id="rId29" Type="http://schemas.openxmlformats.org/officeDocument/2006/relationships/hyperlink" Target="https://www.mmdc.nl/static/site/search/?searchMode=advanced&amp;recordId=null&amp;selectedRecordId=null&amp;maximumRecords=15&amp;recordDisplayLevel=1&amp;startRecord=166&amp;showMap=1&amp;freetextsearch=CMD-NL+1&amp;shelfmark=Type+in+query...+%28autocompleted%29&amp;author=Type+in+query...+%28autocompleted%29&amp;title=Type+in+query...+%28autocompleted%29&amp;startyear=Type+in+query&amp;endyear=Type+in+query&amp;alt-title=Type+in+query...+%28autocompleted%29&amp;incipit=Type+in+query&amp;annotation_contents=Type+in+query&amp;contains=null&amp;language=null&amp;language_original=null&amp;translator=Type+in+query...+%28autocompleted%29&amp;type=null&amp;keyword=Type+in+query&amp;person=Type+in+query...+%28autocompleted%29&amp;medium=null&amp;script=Type+in+query&amp;scribe=Type+in+query...+%28autocompleted%29&amp;binding=null&amp;binder=Type+in+query...+%28autocompleted%29&amp;region=null&amp;place=Type+in+query&amp;patron=Type+in+query...+%28autocompleted%29&amp;collection=Type+in+query...+%28autocompleted%29" TargetMode="External"/><Relationship Id="rId1" Type="http://schemas.openxmlformats.org/officeDocument/2006/relationships/hyperlink" Target="http://hdl.handle.net/1887.1/item:4243440" TargetMode="External"/><Relationship Id="rId6" Type="http://schemas.openxmlformats.org/officeDocument/2006/relationships/hyperlink" Target="http://hdl.handle.net/1887.1/item:4154089" TargetMode="External"/><Relationship Id="rId11" Type="http://schemas.openxmlformats.org/officeDocument/2006/relationships/hyperlink" Target="http://hdl.handle.net/1887.1/item:1611194" TargetMode="External"/><Relationship Id="rId24" Type="http://schemas.openxmlformats.org/officeDocument/2006/relationships/hyperlink" Target="https://digitalcollections.universiteitleiden.nl/iiif_manifest/item%3A881875/manifest" TargetMode="External"/><Relationship Id="rId32" Type="http://schemas.openxmlformats.org/officeDocument/2006/relationships/hyperlink" Target="https://www.mmdc.nl/static/site/search/?searchMode=advanced&amp;recordId=null&amp;selectedRecordId=null&amp;maximumRecords=15&amp;recordDisplayLevel=1&amp;startRecord=241&amp;showMap=1&amp;freetextsearch=CMD-NL+1&amp;shelfmark=Type+in+query...+%28autocompleted%29&amp;author=Type+in+query...+%28autocompleted%29&amp;title=Type+in+query...+%28autocompleted%29&amp;startyear=Type+in+query&amp;endyear=Type+in+query&amp;alt-title=Type+in+query...+%28autocompleted%29&amp;incipit=Type+in+query&amp;annotation_contents=Type+in+query&amp;contains=null&amp;language=null&amp;language_original=null&amp;translator=Type+in+query...+%28autocompleted%29&amp;type=null&amp;keyword=Type+in+query&amp;person=Type+in+query...+%28autocompleted%29&amp;medium=null&amp;script=Type+in+query&amp;scribe=Type+in+query...+%28autocompleted%29&amp;binding=null&amp;binder=Type+in+query...+%28autocompleted%29&amp;region=null&amp;place=Type+in+query&amp;patron=Type+in+query...+%28autocompleted%29&amp;collection=Type+in+query...+%28autocompleted%29" TargetMode="External"/><Relationship Id="rId37" Type="http://schemas.openxmlformats.org/officeDocument/2006/relationships/hyperlink" Target="https://www.mmdc.nl/static/site/search/?searchMode=advanced&amp;recordId=null&amp;selectedRecordId=null&amp;maximumRecords=15&amp;recordDisplayLevel=1&amp;startRecord=1&amp;showMap=1&amp;freetextsearch=ms.+70+E+3&amp;shelfmark=Type+in+query...+%28autocompleted%29&amp;author=Type+in+query...+%28autocompleted%29&amp;title=Type+in+query...+%28autocompleted%29&amp;startyear=Type+in+query&amp;endyear=Type+in+query&amp;alt-title=Type+in+query...+%28autocompleted%29&amp;incipit=Type+in+query&amp;annotation_contents=Type+in+query&amp;contains=null&amp;language=null&amp;language_original=null&amp;translator=Type+in+query...+%28autocompleted%29&amp;type=null&amp;keyword=Type+in+query&amp;person=Type+in+query...+%28autocompleted%29&amp;medium=null&amp;script=Type+in+query&amp;scribe=Type+in+query...+%28autocompleted%29&amp;binding=null&amp;binder=Type+in+query...+%28autocompleted%29&amp;region=null&amp;place=Type+in+query&amp;patron=Type+in+query...+%28autocompleted%29&amp;collection=Type+in+query...+%28autocompleted%29" TargetMode="External"/><Relationship Id="rId5" Type="http://schemas.openxmlformats.org/officeDocument/2006/relationships/hyperlink" Target="http://hdl.handle.net/1887.1/item:4119608" TargetMode="External"/><Relationship Id="rId15" Type="http://schemas.openxmlformats.org/officeDocument/2006/relationships/hyperlink" Target="https://digitalcollections.universiteitleiden.nl/iiif_manifest/item%3A4227203/manifest" TargetMode="External"/><Relationship Id="rId23" Type="http://schemas.openxmlformats.org/officeDocument/2006/relationships/hyperlink" Target="https://digitalcollections.universiteitleiden.nl/iiif_manifest/item%3A1611194/manifest" TargetMode="External"/><Relationship Id="rId28" Type="http://schemas.openxmlformats.org/officeDocument/2006/relationships/hyperlink" Target="https://www.mmdc.nl/static/site/search/?searchMode=advanced&amp;recordId=null&amp;selectedRecordId=null&amp;maximumRecords=15&amp;recordDisplayLevel=1&amp;startRecord=106&amp;showMap=1&amp;freetextsearch=CMD-NL+1&amp;shelfmark=Type+in+query...+%28autocompleted%29&amp;author=Type+in+query...+%28autocompleted%29&amp;title=Type+in+query...+%28autocompleted%29&amp;startyear=Type+in+query&amp;endyear=Type+in+query&amp;alt-title=Type+in+query...+%28autocompleted%29&amp;incipit=Type+in+query&amp;annotation_contents=Type+in+query&amp;contains=null&amp;language=null&amp;language_original=null&amp;translator=Type+in+query...+%28autocompleted%29&amp;type=null&amp;keyword=Type+in+query&amp;person=Type+in+query...+%28autocompleted%29&amp;medium=null&amp;script=Type+in+query&amp;scribe=Type+in+query...+%28autocompleted%29&amp;binding=null&amp;binder=Type+in+query...+%28autocompleted%29&amp;region=null&amp;place=Type+in+query&amp;patron=Type+in+query...+%28autocompleted%29&amp;collection=Type+in+query...+%28autocompleted%29" TargetMode="External"/><Relationship Id="rId36" Type="http://schemas.openxmlformats.org/officeDocument/2006/relationships/hyperlink" Target="https://www.mmdc.nl/static/site/search/?searchMode=advanced&amp;recordId=null&amp;selectedRecordId=null&amp;maximumRecords=15&amp;recordDisplayLevel=1&amp;startRecord=1&amp;showMap=1&amp;freetextsearch=ms.+73+J+47&amp;shelfmark=Type+in+query...+%28autocompleted%29&amp;author=Type+in+query...+%28autocompleted%29&amp;title=Type+in+query...+%28autocompleted%29&amp;startyear=Type+in+query&amp;endyear=Type+in+query&amp;alt-title=Type+in+query...+%28autocompleted%29&amp;incipit=Type+in+query&amp;annotation_contents=Type+in+query&amp;contains=null&amp;language=null&amp;language_original=null&amp;translator=Type+in+query...+%28autocompleted%29&amp;type=null&amp;keyword=Type+in+query&amp;person=Type+in+query...+%28autocompleted%29&amp;medium=null&amp;script=Type+in+query&amp;scribe=Type+in+query...+%28autocompleted%29&amp;binding=null&amp;binder=Type+in+query...+%28autocompleted%29&amp;region=null&amp;place=Type+in+query&amp;patron=Type+in+query...+%28autocompleted%29&amp;collection=Type+in+query...+%28autocompleted%29" TargetMode="External"/><Relationship Id="rId10" Type="http://schemas.openxmlformats.org/officeDocument/2006/relationships/hyperlink" Target="http://hdl.handle.net/1887.1/item:1614211" TargetMode="External"/><Relationship Id="rId19" Type="http://schemas.openxmlformats.org/officeDocument/2006/relationships/hyperlink" Target="https://digitalcollections.universiteitleiden.nl/iiif_manifest/item%3A4243570/manifest" TargetMode="External"/><Relationship Id="rId31" Type="http://schemas.openxmlformats.org/officeDocument/2006/relationships/hyperlink" Target="https://www.mmdc.nl/static/site/search/?searchMode=advanced&amp;recordId=null&amp;selectedRecordId=null&amp;maximumRecords=15&amp;recordDisplayLevel=1&amp;startRecord=241&amp;showMap=1&amp;freetextsearch=CMD-NL+1&amp;shelfmark=Type+in+query...+%28autocompleted%29&amp;author=Type+in+query...+%28autocompleted%29&amp;title=Type+in+query...+%28autocompleted%29&amp;startyear=Type+in+query&amp;endyear=Type+in+query&amp;alt-title=Type+in+query...+%28autocompleted%29&amp;incipit=Type+in+query&amp;annotation_contents=Type+in+query&amp;contains=null&amp;language=null&amp;language_original=null&amp;translator=Type+in+query...+%28autocompleted%29&amp;type=null&amp;keyword=Type+in+query&amp;person=Type+in+query...+%28autocompleted%29&amp;medium=null&amp;script=Type+in+query&amp;scribe=Type+in+query...+%28autocompleted%29&amp;binding=null&amp;binder=Type+in+query...+%28autocompleted%29&amp;region=null&amp;place=Type+in+query&amp;patron=Type+in+query...+%28autocompleted%29&amp;collection=Type+in+query...+%28autocompleted%29" TargetMode="External"/><Relationship Id="rId4" Type="http://schemas.openxmlformats.org/officeDocument/2006/relationships/hyperlink" Target="http://hdl.handle.net/1887.1/item:4153920" TargetMode="External"/><Relationship Id="rId9" Type="http://schemas.openxmlformats.org/officeDocument/2006/relationships/hyperlink" Target="http://hdl.handle.net/1887.1/item:1943535" TargetMode="External"/><Relationship Id="rId14" Type="http://schemas.openxmlformats.org/officeDocument/2006/relationships/hyperlink" Target="http://hdl.handle.net/1887.1/item:847727" TargetMode="External"/><Relationship Id="rId22" Type="http://schemas.openxmlformats.org/officeDocument/2006/relationships/hyperlink" Target="https://digitalcollections.universiteitleiden.nl/iiif_manifest/item%3A1614211/manifest" TargetMode="External"/><Relationship Id="rId27" Type="http://schemas.openxmlformats.org/officeDocument/2006/relationships/hyperlink" Target="https://www.mmdc.nl/static/site/search/detail.html?searchMode=advanced&amp;recordId=4667&amp;selectedRecordId=4667&amp;maximumRecords=15&amp;recordDisplayLevel=1&amp;startRecord=16&amp;showMap=1&amp;freetextsearch=CMD-NL+1&amp;shelfmark=Type+in+query...+%28autocompleted%29&amp;author=Type+in+query...+%28autocompleted%29&amp;title=Type+in+query...+%28autocompleted%29&amp;startyear=Type+in+query&amp;endyear=Type+in+query&amp;alt-title=Type+in+query...+%28autocompleted%29&amp;incipit=Type+in+query&amp;annotation_contents=Type+in+query&amp;contains=null&amp;language=null&amp;language_original=null&amp;translator=Type+in+query...+%28autocompleted%29&amp;type=null&amp;keyword=Type+in+query&amp;person=Type+in+query...+%28autocompleted%29&amp;medium=null&amp;script=Type+in+query&amp;scribe=Type+in+query...+%28autocompleted%29&amp;binding=null&amp;binder=Type+in+query...+%28autocompleted%29&amp;region=null&amp;place=Type+in+query&amp;patron=Type+in+query...+%28autocompleted%29&amp;collection=Type+in+query...+%28autocompleted%29" TargetMode="External"/><Relationship Id="rId30" Type="http://schemas.openxmlformats.org/officeDocument/2006/relationships/hyperlink" Target="https://www.mmdc.nl/static/site/search/?searchMode=advanced&amp;recordId=null&amp;selectedRecordId=null&amp;maximumRecords=15&amp;recordDisplayLevel=1&amp;startRecord=181&amp;showMap=1&amp;freetextsearch=CMD-NL+1&amp;shelfmark=Type+in+query...+%28autocompleted%29&amp;author=Type+in+query...+%28autocompleted%29&amp;title=Type+in+query...+%28autocompleted%29&amp;startyear=Type+in+query&amp;endyear=Type+in+query&amp;alt-title=Type+in+query...+%28autocompleted%29&amp;incipit=Type+in+query&amp;annotation_contents=Type+in+query&amp;contains=null&amp;language=null&amp;language_original=null&amp;translator=Type+in+query...+%28autocompleted%29&amp;type=null&amp;keyword=Type+in+query&amp;person=Type+in+query...+%28autocompleted%29&amp;medium=null&amp;script=Type+in+query&amp;scribe=Type+in+query...+%28autocompleted%29&amp;binding=null&amp;binder=Type+in+query...+%28autocompleted%29&amp;region=null&amp;place=Type+in+query&amp;patron=Type+in+query...+%28autocompleted%29&amp;collection=Type+in+query...+%28autocompleted%29" TargetMode="External"/><Relationship Id="rId35" Type="http://schemas.openxmlformats.org/officeDocument/2006/relationships/hyperlink" Target="https://www.mmdc.nl/static/site/search/?searchMode=advanced&amp;recordId=null&amp;selectedRecordId=null&amp;maximumRecords=15&amp;recordDisplayLevel=1&amp;startRecord=1&amp;showMap=1&amp;freetextsearch=ms.+70+H+66&amp;shelfmark=Type+in+query...+%28autocompleted%29&amp;author=Type+in+query...+%28autocompleted%29&amp;title=Type+in+query...+%28autocompleted%29&amp;startyear=Type+in+query&amp;endyear=Type+in+query&amp;alt-title=Type+in+query...+%28autocompleted%29&amp;incipit=Type+in+query&amp;annotation_contents=Type+in+query&amp;contains=null&amp;language=null&amp;language_original=null&amp;translator=Type+in+query...+%28autocompleted%29&amp;type=null&amp;keyword=Type+in+query&amp;person=Type+in+query...+%28autocompleted%29&amp;medium=null&amp;script=Type+in+query&amp;scribe=Type+in+query...+%28autocompleted%29&amp;binding=null&amp;binder=Type+in+query...+%28autocompleted%29&amp;region=null&amp;place=Type+in+query&amp;patron=Type+in+query...+%28autocompleted%29&amp;collection=Type+in+query...+%28autocompleted%29" TargetMode="External"/><Relationship Id="rId8" Type="http://schemas.openxmlformats.org/officeDocument/2006/relationships/hyperlink" Target="http://hdl.handle.net/1887.1/item:2708056" TargetMode="External"/><Relationship Id="rId3" Type="http://schemas.openxmlformats.org/officeDocument/2006/relationships/hyperlink" Target="http://hdl.handle.net/1887.1/item:4227203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iiif.biblissima.fr/collections/manifest/8e47017f2164596f881fc86fd0acb550edb64f90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manuscripta.at/?ID=7768" TargetMode="External"/><Relationship Id="rId13" Type="http://schemas.openxmlformats.org/officeDocument/2006/relationships/hyperlink" Target="https://manuscripta.at/diglit/iiif/AT1000-714/manifest.json" TargetMode="External"/><Relationship Id="rId18" Type="http://schemas.openxmlformats.org/officeDocument/2006/relationships/hyperlink" Target="https://api.onb.ac.at/iiif/presentation/v3/manifest/112ECF1B" TargetMode="External"/><Relationship Id="rId3" Type="http://schemas.openxmlformats.org/officeDocument/2006/relationships/hyperlink" Target="https://manuscripta.at/?ID=26896" TargetMode="External"/><Relationship Id="rId21" Type="http://schemas.openxmlformats.org/officeDocument/2006/relationships/hyperlink" Target="https://manuscripta.at/?ID=5978" TargetMode="External"/><Relationship Id="rId7" Type="http://schemas.openxmlformats.org/officeDocument/2006/relationships/hyperlink" Target="https://manuscripta.at/?ID=6039" TargetMode="External"/><Relationship Id="rId12" Type="http://schemas.openxmlformats.org/officeDocument/2006/relationships/hyperlink" Target="https://manuscripta.at/diglit/iiif/IT1300-1304/manifest.json" TargetMode="External"/><Relationship Id="rId17" Type="http://schemas.openxmlformats.org/officeDocument/2006/relationships/hyperlink" Target="https://api.onb.ac.at/iiif/presentation/v3/manifest/10017421" TargetMode="External"/><Relationship Id="rId2" Type="http://schemas.openxmlformats.org/officeDocument/2006/relationships/hyperlink" Target="https://manuscripta.at/?ID=26062" TargetMode="External"/><Relationship Id="rId16" Type="http://schemas.openxmlformats.org/officeDocument/2006/relationships/hyperlink" Target="https://manuscripta.at/diglit/iiif/AT1000-185/manifest.json" TargetMode="External"/><Relationship Id="rId20" Type="http://schemas.openxmlformats.org/officeDocument/2006/relationships/hyperlink" Target="https://api.onb.ac.at/iiif/presentation/v3/manifest/10048720" TargetMode="External"/><Relationship Id="rId1" Type="http://schemas.openxmlformats.org/officeDocument/2006/relationships/hyperlink" Target="https://manuscripta.at/?ID=26856" TargetMode="External"/><Relationship Id="rId6" Type="http://schemas.openxmlformats.org/officeDocument/2006/relationships/hyperlink" Target="https://manuscripta.at/?ID=5978" TargetMode="External"/><Relationship Id="rId11" Type="http://schemas.openxmlformats.org/officeDocument/2006/relationships/hyperlink" Target="https://manuscripta.at/diglit/iiif/AT1000-18/manifest.json" TargetMode="External"/><Relationship Id="rId5" Type="http://schemas.openxmlformats.org/officeDocument/2006/relationships/hyperlink" Target="https://manuscripta.at/?ID=26968" TargetMode="External"/><Relationship Id="rId15" Type="http://schemas.openxmlformats.org/officeDocument/2006/relationships/hyperlink" Target="https://manuscripta.at/diglit/iiif/AT1000-221/manifest.json" TargetMode="External"/><Relationship Id="rId10" Type="http://schemas.openxmlformats.org/officeDocument/2006/relationships/hyperlink" Target="https://manuscripta.at/?ID=6165" TargetMode="External"/><Relationship Id="rId19" Type="http://schemas.openxmlformats.org/officeDocument/2006/relationships/hyperlink" Target="https://api.onb.ac.at/iiif/presentation/v3/manifest/131CD53E" TargetMode="External"/><Relationship Id="rId4" Type="http://schemas.openxmlformats.org/officeDocument/2006/relationships/hyperlink" Target="https://manuscripta.at/?ID=26937" TargetMode="External"/><Relationship Id="rId9" Type="http://schemas.openxmlformats.org/officeDocument/2006/relationships/hyperlink" Target="https://manuscripta.at/?ID=33981" TargetMode="External"/><Relationship Id="rId14" Type="http://schemas.openxmlformats.org/officeDocument/2006/relationships/hyperlink" Target="https://manuscripta.at/diglit/iiif/AT1000-501/manifest.json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-codices.unifr.ch/en/searchresult/list/one/sbs/min0002" TargetMode="External"/><Relationship Id="rId2" Type="http://schemas.openxmlformats.org/officeDocument/2006/relationships/hyperlink" Target="https://www.e-codices.ch/en/list/one/bbb/0087" TargetMode="External"/><Relationship Id="rId1" Type="http://schemas.openxmlformats.org/officeDocument/2006/relationships/hyperlink" Target="https://www.e-codices.unifr.ch/metadata/iiif/bbb-0087/manifest.json" TargetMode="External"/><Relationship Id="rId6" Type="http://schemas.openxmlformats.org/officeDocument/2006/relationships/hyperlink" Target="https://www.e-codices.unifr.ch/en/searchresult/list/one/bbb/0200" TargetMode="External"/><Relationship Id="rId5" Type="http://schemas.openxmlformats.org/officeDocument/2006/relationships/hyperlink" Target="https://www.e-codices.unifr.ch/en/searchresult/list/one/sl/0002" TargetMode="External"/><Relationship Id="rId4" Type="http://schemas.openxmlformats.org/officeDocument/2006/relationships/hyperlink" Target="https://www.e-codices.unifr.ch/en/searchresult/list/one/sbs/min0027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ternetculturale.it/it/16/search/detail?instance=magindice&amp;case=&amp;id=oai%3Awww.internetculturale.sbn.it%2FTeca%3A20%3ANT0000%3ACNMD0000206332&amp;qt=" TargetMode="External"/><Relationship Id="rId2" Type="http://schemas.openxmlformats.org/officeDocument/2006/relationships/hyperlink" Target="https://www.internetculturale.it/it/16/search/detail?instance=magindice&amp;case=&amp;id=oai%3Awww.internetculturale.sbn.it%2FTeca%3A20%3ANT0000%3ACNMD0000206331&amp;qt=" TargetMode="External"/><Relationship Id="rId1" Type="http://schemas.openxmlformats.org/officeDocument/2006/relationships/hyperlink" Target="https://www.internetculturale.it/it/16/search/detail?instance=magindice&amp;case=&amp;id=oai%3Awww.internetculturale.sbn.it%2FTeca%3A20%3ANT0000%3ACNMD0000206333&amp;qt=" TargetMode="External"/><Relationship Id="rId5" Type="http://schemas.openxmlformats.org/officeDocument/2006/relationships/hyperlink" Target="https://www.internetculturale.it/it/16/search/detail?instance=magindice&amp;case=&amp;id=oai%3Awww.internetculturale.sbn.it%2FTeca%3A20%3ANT0000%3ACNMD0000205012&amp;qt=" TargetMode="External"/><Relationship Id="rId4" Type="http://schemas.openxmlformats.org/officeDocument/2006/relationships/hyperlink" Target="https://www.internetculturale.it/it/16/search/detail?instance=magindice&amp;case=&amp;id=oai%3Awww.internetculturale.sbn.it%2FTeca%3A20%3ANT0000%3ACNMD0000207220&amp;qt=" TargetMode="Externa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https://resolver.staatsbibliothek-berlin.de/HSP0003EE0500000000" TargetMode="External"/><Relationship Id="rId18" Type="http://schemas.openxmlformats.org/officeDocument/2006/relationships/hyperlink" Target="https://resolver.staatsbibliothek-berlin.de/HSP00064EA100000000" TargetMode="External"/><Relationship Id="rId26" Type="http://schemas.openxmlformats.org/officeDocument/2006/relationships/hyperlink" Target="https://resolver.staatsbibliothek-berlin.de/HSP00051A4200000000" TargetMode="External"/><Relationship Id="rId39" Type="http://schemas.openxmlformats.org/officeDocument/2006/relationships/hyperlink" Target="https://resolver.staatsbibliothek-berlin.de/HSP00035BFC00000000" TargetMode="External"/><Relationship Id="rId21" Type="http://schemas.openxmlformats.org/officeDocument/2006/relationships/hyperlink" Target="https://resolver.staatsbibliothek-berlin.de/HSP00051BD900000000" TargetMode="External"/><Relationship Id="rId34" Type="http://schemas.openxmlformats.org/officeDocument/2006/relationships/hyperlink" Target="https://resolver.staatsbibliothek-berlin.de/HSP0004890D00000000" TargetMode="External"/><Relationship Id="rId7" Type="http://schemas.openxmlformats.org/officeDocument/2006/relationships/hyperlink" Target="https://resolver.staatsbibliothek-berlin.de/HSP0004E7B300000000" TargetMode="External"/><Relationship Id="rId12" Type="http://schemas.openxmlformats.org/officeDocument/2006/relationships/hyperlink" Target="https://resolver.staatsbibliothek-berlin.de/HSP00063EE000000000" TargetMode="External"/><Relationship Id="rId17" Type="http://schemas.openxmlformats.org/officeDocument/2006/relationships/hyperlink" Target="https://resolver.staatsbibliothek-berlin.de/HSP0004E1BD00000000" TargetMode="External"/><Relationship Id="rId25" Type="http://schemas.openxmlformats.org/officeDocument/2006/relationships/hyperlink" Target="https://resolver.staatsbibliothek-berlin.de/HSP00051A1100000000" TargetMode="External"/><Relationship Id="rId33" Type="http://schemas.openxmlformats.org/officeDocument/2006/relationships/hyperlink" Target="https://resolver.staatsbibliothek-berlin.de/HSP0003AF8B00000000" TargetMode="External"/><Relationship Id="rId38" Type="http://schemas.openxmlformats.org/officeDocument/2006/relationships/hyperlink" Target="https://resolver.staatsbibliothek-berlin.de/HSP0004917400000000" TargetMode="External"/><Relationship Id="rId2" Type="http://schemas.openxmlformats.org/officeDocument/2006/relationships/hyperlink" Target="https://resolver.staatsbibliothek-berlin.de/HSP0004E4AB00000000" TargetMode="External"/><Relationship Id="rId16" Type="http://schemas.openxmlformats.org/officeDocument/2006/relationships/hyperlink" Target="https://fuldig.hs-fulda.de/viewer/api/v1/records/PPN442198345/manifest/" TargetMode="External"/><Relationship Id="rId20" Type="http://schemas.openxmlformats.org/officeDocument/2006/relationships/hyperlink" Target="https://resolver.staatsbibliothek-berlin.de/HSP00051B0700000000" TargetMode="External"/><Relationship Id="rId29" Type="http://schemas.openxmlformats.org/officeDocument/2006/relationships/hyperlink" Target="https://resolver.staatsbibliothek-berlin.de/HSP0003A1A400000000" TargetMode="External"/><Relationship Id="rId1" Type="http://schemas.openxmlformats.org/officeDocument/2006/relationships/hyperlink" Target="https://resolver.staatsbibliothek-berlin.de/HSP0003A0DA00000000" TargetMode="External"/><Relationship Id="rId6" Type="http://schemas.openxmlformats.org/officeDocument/2006/relationships/hyperlink" Target="https://resolver.staatsbibliothek-berlin.de/HSP0004E4D300000000" TargetMode="External"/><Relationship Id="rId11" Type="http://schemas.openxmlformats.org/officeDocument/2006/relationships/hyperlink" Target="https://resolver.staatsbibliothek-berlin.de/HSP00063E4200000000" TargetMode="External"/><Relationship Id="rId24" Type="http://schemas.openxmlformats.org/officeDocument/2006/relationships/hyperlink" Target="https://resolver.staatsbibliothek-berlin.de/HSP0005189D00000000" TargetMode="External"/><Relationship Id="rId32" Type="http://schemas.openxmlformats.org/officeDocument/2006/relationships/hyperlink" Target="https://resolver.staatsbibliothek-berlin.de/HSP0003AB7200000000" TargetMode="External"/><Relationship Id="rId37" Type="http://schemas.openxmlformats.org/officeDocument/2006/relationships/hyperlink" Target="https://resolver.staatsbibliothek-berlin.de/HSP000490C400000000" TargetMode="External"/><Relationship Id="rId5" Type="http://schemas.openxmlformats.org/officeDocument/2006/relationships/hyperlink" Target="https://resolver.staatsbibliothek-berlin.de/HSP0004579F00000000" TargetMode="External"/><Relationship Id="rId15" Type="http://schemas.openxmlformats.org/officeDocument/2006/relationships/hyperlink" Target="https://fuldig.hs-fulda.de/viewer/api/v1/records/PPN313436304/manifest/" TargetMode="External"/><Relationship Id="rId23" Type="http://schemas.openxmlformats.org/officeDocument/2006/relationships/hyperlink" Target="https://resolver.staatsbibliothek-berlin.de/HSP0005183000000000" TargetMode="External"/><Relationship Id="rId28" Type="http://schemas.openxmlformats.org/officeDocument/2006/relationships/hyperlink" Target="https://resolver.staatsbibliothek-berlin.de/HSP0003A18B00000000" TargetMode="External"/><Relationship Id="rId36" Type="http://schemas.openxmlformats.org/officeDocument/2006/relationships/hyperlink" Target="https://resolver.staatsbibliothek-berlin.de/HSP000490BA00000000" TargetMode="External"/><Relationship Id="rId10" Type="http://schemas.openxmlformats.org/officeDocument/2006/relationships/hyperlink" Target="https://resolver.staatsbibliothek-berlin.de/HSP0003F6C000000000" TargetMode="External"/><Relationship Id="rId19" Type="http://schemas.openxmlformats.org/officeDocument/2006/relationships/hyperlink" Target="https://resolver.staatsbibliothek-berlin.de/HSP00051AE100000000" TargetMode="External"/><Relationship Id="rId31" Type="http://schemas.openxmlformats.org/officeDocument/2006/relationships/hyperlink" Target="https://resolver.staatsbibliothek-berlin.de/HSP0003A4D000000000" TargetMode="External"/><Relationship Id="rId4" Type="http://schemas.openxmlformats.org/officeDocument/2006/relationships/hyperlink" Target="https://resolver.staatsbibliothek-berlin.de/HSP0004579700000000" TargetMode="External"/><Relationship Id="rId9" Type="http://schemas.openxmlformats.org/officeDocument/2006/relationships/hyperlink" Target="https://resolver.staatsbibliothek-berlin.de/HSP0003EE1B00000000" TargetMode="External"/><Relationship Id="rId14" Type="http://schemas.openxmlformats.org/officeDocument/2006/relationships/hyperlink" Target="https://fuldig.hs-fulda.de/viewer/api/v1/records/PPN312049412/manifest/" TargetMode="External"/><Relationship Id="rId22" Type="http://schemas.openxmlformats.org/officeDocument/2006/relationships/hyperlink" Target="https://resolver.staatsbibliothek-berlin.de/HSP0005180500000000" TargetMode="External"/><Relationship Id="rId27" Type="http://schemas.openxmlformats.org/officeDocument/2006/relationships/hyperlink" Target="https://resolver.staatsbibliothek-berlin.de/HSP00051A7E00000000" TargetMode="External"/><Relationship Id="rId30" Type="http://schemas.openxmlformats.org/officeDocument/2006/relationships/hyperlink" Target="https://resolver.staatsbibliothek-berlin.de/HSP0003A2C600000000" TargetMode="External"/><Relationship Id="rId35" Type="http://schemas.openxmlformats.org/officeDocument/2006/relationships/hyperlink" Target="https://resolver.staatsbibliothek-berlin.de/HSP0004892A00000000" TargetMode="External"/><Relationship Id="rId8" Type="http://schemas.openxmlformats.org/officeDocument/2006/relationships/hyperlink" Target="https://resolver.staatsbibliothek-berlin.de/HSP000479F600000000" TargetMode="External"/><Relationship Id="rId3" Type="http://schemas.openxmlformats.org/officeDocument/2006/relationships/hyperlink" Target="https://resolver.staatsbibliothek-berlin.de/HSP0003B60000000000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i.onb.ac.at/iiif/presentation/v3/manifest/13220636" TargetMode="External"/><Relationship Id="rId21" Type="http://schemas.openxmlformats.org/officeDocument/2006/relationships/hyperlink" Target="https://digitalcollections.universiteitleiden.nl/iiif_manifest/item%3A1611194/manifest" TargetMode="External"/><Relationship Id="rId42" Type="http://schemas.openxmlformats.org/officeDocument/2006/relationships/hyperlink" Target="https://resolver.staatsbibliothek-berlin.de/HSP0004E4AB00000000" TargetMode="External"/><Relationship Id="rId63" Type="http://schemas.openxmlformats.org/officeDocument/2006/relationships/hyperlink" Target="https://resolver.staatsbibliothek-berlin.de/HSP000490C400000000" TargetMode="External"/><Relationship Id="rId84" Type="http://schemas.openxmlformats.org/officeDocument/2006/relationships/hyperlink" Target="https://manuscripta.at/?ID=26896" TargetMode="External"/><Relationship Id="rId138" Type="http://schemas.openxmlformats.org/officeDocument/2006/relationships/hyperlink" Target="https://www.e-codices.unifr.ch/metadata/iiif/bke-0016/manifest.json" TargetMode="External"/><Relationship Id="rId159" Type="http://schemas.openxmlformats.org/officeDocument/2006/relationships/hyperlink" Target="https://www.e-codices.unifr.ch/metadata/iiif/bke-0102/manifest.json" TargetMode="External"/><Relationship Id="rId170" Type="http://schemas.openxmlformats.org/officeDocument/2006/relationships/hyperlink" Target="https://api.digitale-sammlungen.de/iiif/presentation/v2/bsb00140775/manifest" TargetMode="External"/><Relationship Id="rId191" Type="http://schemas.openxmlformats.org/officeDocument/2006/relationships/hyperlink" Target="https://manuscripta.at/diglit/iiif/AT1000-434/manifest.json" TargetMode="External"/><Relationship Id="rId205" Type="http://schemas.openxmlformats.org/officeDocument/2006/relationships/hyperlink" Target="https://www.e-codices.unifr.ch/metadata/iiif/sbs-min0027/manifest.json" TargetMode="External"/><Relationship Id="rId226" Type="http://schemas.openxmlformats.org/officeDocument/2006/relationships/hyperlink" Target="https://www.e-codices.unifr.ch/metadata/iiif/sl-0002/manifest.json" TargetMode="External"/><Relationship Id="rId107" Type="http://schemas.openxmlformats.org/officeDocument/2006/relationships/hyperlink" Target="https://bl.digirati.io/iiif/ark:/81055/vdc_100058595676.0x000001" TargetMode="External"/><Relationship Id="rId11" Type="http://schemas.openxmlformats.org/officeDocument/2006/relationships/hyperlink" Target="http://hdl.handle.net/1887.1/item:848447" TargetMode="External"/><Relationship Id="rId32" Type="http://schemas.openxmlformats.org/officeDocument/2006/relationships/hyperlink" Target="https://api.onb.ac.at/iiif/presentation/v3/manifest/10017421" TargetMode="External"/><Relationship Id="rId53" Type="http://schemas.openxmlformats.org/officeDocument/2006/relationships/hyperlink" Target="https://resolver.staatsbibliothek-berlin.de/HSP0004E1BD00000000" TargetMode="External"/><Relationship Id="rId74" Type="http://schemas.openxmlformats.org/officeDocument/2006/relationships/hyperlink" Target="https://manuscripta.at/?ID=6165" TargetMode="External"/><Relationship Id="rId128" Type="http://schemas.openxmlformats.org/officeDocument/2006/relationships/hyperlink" Target="https://www.e-codices.unifr.ch/metadata/iiif/sbe-0240/manifest.json" TargetMode="External"/><Relationship Id="rId149" Type="http://schemas.openxmlformats.org/officeDocument/2006/relationships/hyperlink" Target="https://www.e-codices.unifr.ch/metadata/iiif/bke-0048/manifest.json" TargetMode="External"/><Relationship Id="rId5" Type="http://schemas.openxmlformats.org/officeDocument/2006/relationships/hyperlink" Target="http://hdl.handle.net/1887.1/item:4154089" TargetMode="External"/><Relationship Id="rId95" Type="http://schemas.openxmlformats.org/officeDocument/2006/relationships/hyperlink" Target="https://mss-cat.trin.cam.ac.uk/Manuscript/B.5.6/manifest.json" TargetMode="External"/><Relationship Id="rId160" Type="http://schemas.openxmlformats.org/officeDocument/2006/relationships/hyperlink" Target="https://www.e-codices.unifr.ch/metadata/iiif/bke-0117/manifest.json" TargetMode="External"/><Relationship Id="rId181" Type="http://schemas.openxmlformats.org/officeDocument/2006/relationships/hyperlink" Target="https://api.onb.ac.at/iiif/presentation/v3/manifest/1000C8ED" TargetMode="External"/><Relationship Id="rId216" Type="http://schemas.openxmlformats.org/officeDocument/2006/relationships/hyperlink" Target="https://www.e-codices.unifr.ch/metadata/iiif/sbs-min0018/manifest.json" TargetMode="External"/><Relationship Id="rId22" Type="http://schemas.openxmlformats.org/officeDocument/2006/relationships/hyperlink" Target="https://digitalcollections.universiteitleiden.nl/iiif_manifest/item%3A881875/manifest" TargetMode="External"/><Relationship Id="rId43" Type="http://schemas.openxmlformats.org/officeDocument/2006/relationships/hyperlink" Target="https://resolver.staatsbibliothek-berlin.de/HSP0003B60000000000" TargetMode="External"/><Relationship Id="rId64" Type="http://schemas.openxmlformats.org/officeDocument/2006/relationships/hyperlink" Target="https://resolver.staatsbibliothek-berlin.de/HSP0004917400000000" TargetMode="External"/><Relationship Id="rId118" Type="http://schemas.openxmlformats.org/officeDocument/2006/relationships/hyperlink" Target="https://api.onb.ac.at/iiif/presentation/v3/manifest/131FD984" TargetMode="External"/><Relationship Id="rId139" Type="http://schemas.openxmlformats.org/officeDocument/2006/relationships/hyperlink" Target="https://www.e-codices.unifr.ch/metadata/iiif/bke-0018/manifest.json" TargetMode="External"/><Relationship Id="rId85" Type="http://schemas.openxmlformats.org/officeDocument/2006/relationships/hyperlink" Target="https://manuscripta.at/?ID=26062" TargetMode="External"/><Relationship Id="rId150" Type="http://schemas.openxmlformats.org/officeDocument/2006/relationships/hyperlink" Target="https://www.e-codices.unifr.ch/metadata/iiif/bke-0049/manifest.json" TargetMode="External"/><Relationship Id="rId171" Type="http://schemas.openxmlformats.org/officeDocument/2006/relationships/hyperlink" Target="https://api.digitale-sammlungen.de/iiif/presentation/v2/bsb00144760/manifest" TargetMode="External"/><Relationship Id="rId192" Type="http://schemas.openxmlformats.org/officeDocument/2006/relationships/hyperlink" Target="https://manuscripta.at/diglit/iiif/AT1000-475/manifest.json" TargetMode="External"/><Relationship Id="rId206" Type="http://schemas.openxmlformats.org/officeDocument/2006/relationships/hyperlink" Target="https://www.e-codices.unifr.ch/metadata/iiif/sbs-min0028/manifest.json" TargetMode="External"/><Relationship Id="rId227" Type="http://schemas.openxmlformats.org/officeDocument/2006/relationships/hyperlink" Target="https://www.e-codices.unifr.ch/en/searchresult/list/one/zbz/Ms-Car-C0126" TargetMode="External"/><Relationship Id="rId12" Type="http://schemas.openxmlformats.org/officeDocument/2006/relationships/hyperlink" Target="http://hdl.handle.net/1887.1/item:847727" TargetMode="External"/><Relationship Id="rId33" Type="http://schemas.openxmlformats.org/officeDocument/2006/relationships/hyperlink" Target="https://api.onb.ac.at/iiif/presentation/v3/manifest/112ECF1B" TargetMode="External"/><Relationship Id="rId108" Type="http://schemas.openxmlformats.org/officeDocument/2006/relationships/hyperlink" Target="https://bl.digirati.io/iiif/ark:/81055/vdc_100055988155.0x000001" TargetMode="External"/><Relationship Id="rId129" Type="http://schemas.openxmlformats.org/officeDocument/2006/relationships/hyperlink" Target="https://www.e-codices.unifr.ch/metadata/iiif/sbe-0360/manifest.json" TargetMode="External"/><Relationship Id="rId54" Type="http://schemas.openxmlformats.org/officeDocument/2006/relationships/hyperlink" Target="https://resolver.staatsbibliothek-berlin.de/HSP0003A18B00000000" TargetMode="External"/><Relationship Id="rId75" Type="http://schemas.openxmlformats.org/officeDocument/2006/relationships/hyperlink" Target="https://manuscripta.at/?ID=5978" TargetMode="External"/><Relationship Id="rId96" Type="http://schemas.openxmlformats.org/officeDocument/2006/relationships/hyperlink" Target="https://mss-cat.trin.cam.ac.uk/Manuscript/B.5.7/manifest.json" TargetMode="External"/><Relationship Id="rId140" Type="http://schemas.openxmlformats.org/officeDocument/2006/relationships/hyperlink" Target="https://www.e-codices.unifr.ch/metadata/iiif/bke-0019/manifest.json" TargetMode="External"/><Relationship Id="rId161" Type="http://schemas.openxmlformats.org/officeDocument/2006/relationships/hyperlink" Target="https://www.e-codices.unifr.ch/metadata/iiif/bke-0139/manifest.json" TargetMode="External"/><Relationship Id="rId182" Type="http://schemas.openxmlformats.org/officeDocument/2006/relationships/hyperlink" Target="https://api.onb.ac.at/iiif/presentation/v3/manifest/1000BAC5" TargetMode="External"/><Relationship Id="rId217" Type="http://schemas.openxmlformats.org/officeDocument/2006/relationships/hyperlink" Target="https://www.e-codices.unifr.ch/metadata/iiif/sbs-min0002/manifest.json" TargetMode="External"/><Relationship Id="rId6" Type="http://schemas.openxmlformats.org/officeDocument/2006/relationships/hyperlink" Target="http://hdl.handle.net/1887.1/item:4243570" TargetMode="External"/><Relationship Id="rId23" Type="http://schemas.openxmlformats.org/officeDocument/2006/relationships/hyperlink" Target="https://digitalcollections.universiteitleiden.nl/iiif_manifest/item%3A848447/manifest" TargetMode="External"/><Relationship Id="rId119" Type="http://schemas.openxmlformats.org/officeDocument/2006/relationships/hyperlink" Target="https://api.onb.ac.at/iiif/presentation/v3/manifest/100183EA" TargetMode="External"/><Relationship Id="rId44" Type="http://schemas.openxmlformats.org/officeDocument/2006/relationships/hyperlink" Target="https://resolver.staatsbibliothek-berlin.de/HSP0004579700000000" TargetMode="External"/><Relationship Id="rId65" Type="http://schemas.openxmlformats.org/officeDocument/2006/relationships/hyperlink" Target="https://manuscripta.at/?ID=26856" TargetMode="External"/><Relationship Id="rId86" Type="http://schemas.openxmlformats.org/officeDocument/2006/relationships/hyperlink" Target="https://manuscripta.at/?ID=26856" TargetMode="External"/><Relationship Id="rId130" Type="http://schemas.openxmlformats.org/officeDocument/2006/relationships/hyperlink" Target="https://www.e-codices.unifr.ch/metadata/iiif/sbe-0629/manifest.json" TargetMode="External"/><Relationship Id="rId151" Type="http://schemas.openxmlformats.org/officeDocument/2006/relationships/hyperlink" Target="https://www.e-codices.unifr.ch/metadata/iiif/bke-0064/manifest.json" TargetMode="External"/><Relationship Id="rId172" Type="http://schemas.openxmlformats.org/officeDocument/2006/relationships/hyperlink" Target="https://api.digitale-sammlungen.de/iiif/presentation/v2/bsb00104093/manifest" TargetMode="External"/><Relationship Id="rId193" Type="http://schemas.openxmlformats.org/officeDocument/2006/relationships/hyperlink" Target="https://manuscripta.at/diglit/iiif/AT1000-475/manifest.json" TargetMode="External"/><Relationship Id="rId207" Type="http://schemas.openxmlformats.org/officeDocument/2006/relationships/hyperlink" Target="https://www.e-codices.unifr.ch/metadata/iiif/sbs-min0031/manifest.json" TargetMode="External"/><Relationship Id="rId228" Type="http://schemas.openxmlformats.org/officeDocument/2006/relationships/hyperlink" Target="https://www.e-codices.unifr.ch/metadata/iiif/zbz-Ms-Car-C0126/manifest.json" TargetMode="External"/><Relationship Id="rId13" Type="http://schemas.openxmlformats.org/officeDocument/2006/relationships/hyperlink" Target="https://digitalcollections.universiteitleiden.nl/iiif_manifest/item%3A4227203/manifest" TargetMode="External"/><Relationship Id="rId109" Type="http://schemas.openxmlformats.org/officeDocument/2006/relationships/hyperlink" Target="https://mlgb.bodleian.ox.ac.uk/catalog/book_3908" TargetMode="External"/><Relationship Id="rId34" Type="http://schemas.openxmlformats.org/officeDocument/2006/relationships/hyperlink" Target="https://api.onb.ac.at/iiif/presentation/v3/manifest/131CD53E" TargetMode="External"/><Relationship Id="rId55" Type="http://schemas.openxmlformats.org/officeDocument/2006/relationships/hyperlink" Target="https://resolver.staatsbibliothek-berlin.de/HSP0003A1A400000000" TargetMode="External"/><Relationship Id="rId76" Type="http://schemas.openxmlformats.org/officeDocument/2006/relationships/hyperlink" Target="https://manuscripta.at/?ID=5978" TargetMode="External"/><Relationship Id="rId97" Type="http://schemas.openxmlformats.org/officeDocument/2006/relationships/hyperlink" Target="https://mss-cat.trin.cam.ac.uk/Manuscript/R.15.32/manifest.json" TargetMode="External"/><Relationship Id="rId120" Type="http://schemas.openxmlformats.org/officeDocument/2006/relationships/hyperlink" Target="https://unipub.uni-graz.at/i3f/v20/6596841/manifest" TargetMode="External"/><Relationship Id="rId141" Type="http://schemas.openxmlformats.org/officeDocument/2006/relationships/hyperlink" Target="https://www.e-codices.unifr.ch/metadata/iiif/bke-0020/manifest.json" TargetMode="External"/><Relationship Id="rId7" Type="http://schemas.openxmlformats.org/officeDocument/2006/relationships/hyperlink" Target="http://hdl.handle.net/1887.1/item:2708056" TargetMode="External"/><Relationship Id="rId162" Type="http://schemas.openxmlformats.org/officeDocument/2006/relationships/hyperlink" Target="https://www.e-codices.unifr.ch/metadata/iiif/bke-1005/manifest.json" TargetMode="External"/><Relationship Id="rId183" Type="http://schemas.openxmlformats.org/officeDocument/2006/relationships/hyperlink" Target="https://api.onb.ac.at/iiif/presentation/v3/manifest/1001F7A0" TargetMode="External"/><Relationship Id="rId218" Type="http://schemas.openxmlformats.org/officeDocument/2006/relationships/hyperlink" Target="https://www.e-codices.unifr.ch/metadata/iiif/sbs-min0003/manifest.json" TargetMode="External"/><Relationship Id="rId24" Type="http://schemas.openxmlformats.org/officeDocument/2006/relationships/hyperlink" Target="https://digitalcollections.universiteitleiden.nl/iiif_manifest/item%3A847727/manifest" TargetMode="External"/><Relationship Id="rId45" Type="http://schemas.openxmlformats.org/officeDocument/2006/relationships/hyperlink" Target="https://resolver.staatsbibliothek-berlin.de/HSP0004579F00000000" TargetMode="External"/><Relationship Id="rId66" Type="http://schemas.openxmlformats.org/officeDocument/2006/relationships/hyperlink" Target="https://manuscripta.at/?ID=26062" TargetMode="External"/><Relationship Id="rId87" Type="http://schemas.openxmlformats.org/officeDocument/2006/relationships/hyperlink" Target="https://dms-data.stanford.edu/data/manifests/Parker/wy783rb3141/manifest.json" TargetMode="External"/><Relationship Id="rId110" Type="http://schemas.openxmlformats.org/officeDocument/2006/relationships/hyperlink" Target="https://gallica.bnf.fr/iiif/ark:/12148/btv1b100158551/manifest.json" TargetMode="External"/><Relationship Id="rId131" Type="http://schemas.openxmlformats.org/officeDocument/2006/relationships/hyperlink" Target="https://www.e-codices.unifr.ch/metadata/iiif/bke-0003/manifest.json" TargetMode="External"/><Relationship Id="rId152" Type="http://schemas.openxmlformats.org/officeDocument/2006/relationships/hyperlink" Target="https://www.e-codices.unifr.ch/metadata/iiif/bke-0065/manifest.json" TargetMode="External"/><Relationship Id="rId173" Type="http://schemas.openxmlformats.org/officeDocument/2006/relationships/hyperlink" Target="https://api.digitale-sammlungen.de/iiif/presentation/v2/bsb00059458/manifest" TargetMode="External"/><Relationship Id="rId194" Type="http://schemas.openxmlformats.org/officeDocument/2006/relationships/hyperlink" Target="https://manuscripta.at/diglit/iiif/AT1000-501/manifest.json" TargetMode="External"/><Relationship Id="rId208" Type="http://schemas.openxmlformats.org/officeDocument/2006/relationships/hyperlink" Target="https://www.e-codices.unifr.ch/metadata/iiif/sbs-min0032/manifest.json" TargetMode="External"/><Relationship Id="rId229" Type="http://schemas.openxmlformats.org/officeDocument/2006/relationships/hyperlink" Target="https://bl.digirati.io/iiif/ark:/81055/vdc_100056661590.0x000001" TargetMode="External"/><Relationship Id="rId14" Type="http://schemas.openxmlformats.org/officeDocument/2006/relationships/hyperlink" Target="https://digitalcollections.universiteitleiden.nl/iiif_manifest/item%3A4153920/manifest" TargetMode="External"/><Relationship Id="rId35" Type="http://schemas.openxmlformats.org/officeDocument/2006/relationships/hyperlink" Target="https://api.onb.ac.at/iiif/presentation/v3/manifest/10048720" TargetMode="External"/><Relationship Id="rId56" Type="http://schemas.openxmlformats.org/officeDocument/2006/relationships/hyperlink" Target="https://resolver.staatsbibliothek-berlin.de/HSP0003A2C600000000" TargetMode="External"/><Relationship Id="rId77" Type="http://schemas.openxmlformats.org/officeDocument/2006/relationships/hyperlink" Target="https://manuscripta.at/?ID=6165" TargetMode="External"/><Relationship Id="rId100" Type="http://schemas.openxmlformats.org/officeDocument/2006/relationships/hyperlink" Target="https://mss-cat.trin.cam.ac.uk/Manuscript/R.7.28/manifest.json" TargetMode="External"/><Relationship Id="rId8" Type="http://schemas.openxmlformats.org/officeDocument/2006/relationships/hyperlink" Target="http://hdl.handle.net/1887.1/item:1943535" TargetMode="External"/><Relationship Id="rId98" Type="http://schemas.openxmlformats.org/officeDocument/2006/relationships/hyperlink" Target="https://mss-cat.trin.cam.ac.uk/Manuscript/R.17.1/manifest.json" TargetMode="External"/><Relationship Id="rId121" Type="http://schemas.openxmlformats.org/officeDocument/2006/relationships/hyperlink" Target="https://manuscripta.at/diglit/iiif/AT1000-714/manifest.json" TargetMode="External"/><Relationship Id="rId142" Type="http://schemas.openxmlformats.org/officeDocument/2006/relationships/hyperlink" Target="https://www.e-codices.unifr.ch/metadata/iiif/bke-0021/manifest.json" TargetMode="External"/><Relationship Id="rId163" Type="http://schemas.openxmlformats.org/officeDocument/2006/relationships/hyperlink" Target="https://www.e-codices.unifr.ch/metadata/iiif/bke-1007/manifest.json" TargetMode="External"/><Relationship Id="rId184" Type="http://schemas.openxmlformats.org/officeDocument/2006/relationships/hyperlink" Target="https://api.onb.ac.at/iiif/presentation/v3/manifest/1322C13E" TargetMode="External"/><Relationship Id="rId219" Type="http://schemas.openxmlformats.org/officeDocument/2006/relationships/hyperlink" Target="https://www.e-codices.unifr.ch/metadata/iiif/sbs-min0050/manifest.json" TargetMode="External"/><Relationship Id="rId25" Type="http://schemas.openxmlformats.org/officeDocument/2006/relationships/hyperlink" Target="https://www.mmdc.nl/static/site/search/?searchMode=advanced&amp;recordId=null&amp;selectedRecordId=null&amp;maximumRecords=15&amp;recordDisplayLevel=1&amp;startRecord=166&amp;showMap=1&amp;freetextsearch=CMD-NL+1&amp;shelfmark=Type+in+query...+%28autocompleted%29&amp;author=Type+in+query...+%28autocompleted%29&amp;title=Type+in+query...+%28autocompleted%29&amp;startyear=Type+in+query&amp;endyear=Type+in+query&amp;alt-title=Type+in+query...+%28autocompleted%29&amp;incipit=Type+in+query&amp;annotation_contents=Type+in+query&amp;contains=null&amp;language=null&amp;language_original=null&amp;translator=Type+in+query...+%28autocompleted%29&amp;type=null&amp;keyword=Type+in+query&amp;person=Type+in+query...+%28autocompleted%29&amp;medium=null&amp;script=Type+in+query&amp;scribe=Type+in+query...+%28autocompleted%29&amp;binding=null&amp;binder=Type+in+query...+%28autocompleted%29&amp;region=null&amp;place=Type+in+query&amp;patron=Type+in+query...+%28autocompleted%29&amp;collection=Type+in+query...+%28autocompleted%29" TargetMode="External"/><Relationship Id="rId46" Type="http://schemas.openxmlformats.org/officeDocument/2006/relationships/hyperlink" Target="https://resolver.staatsbibliothek-berlin.de/HSP0004E4D300000000" TargetMode="External"/><Relationship Id="rId67" Type="http://schemas.openxmlformats.org/officeDocument/2006/relationships/hyperlink" Target="https://manuscripta.at/?ID=26896" TargetMode="External"/><Relationship Id="rId116" Type="http://schemas.openxmlformats.org/officeDocument/2006/relationships/hyperlink" Target="https://api.onb.ac.at/iiif/presentation/v3/manifest/13220636" TargetMode="External"/><Relationship Id="rId137" Type="http://schemas.openxmlformats.org/officeDocument/2006/relationships/hyperlink" Target="https://www.e-codices.unifr.ch/metadata/iiif/bke-0015/manifest.json" TargetMode="External"/><Relationship Id="rId158" Type="http://schemas.openxmlformats.org/officeDocument/2006/relationships/hyperlink" Target="https://www.e-codices.unifr.ch/metadata/iiif/bke-0088/manifest.json" TargetMode="External"/><Relationship Id="rId20" Type="http://schemas.openxmlformats.org/officeDocument/2006/relationships/hyperlink" Target="https://digitalcollections.universiteitleiden.nl/iiif_manifest/item%3A1614211/manifest" TargetMode="External"/><Relationship Id="rId41" Type="http://schemas.openxmlformats.org/officeDocument/2006/relationships/hyperlink" Target="https://resolver.staatsbibliothek-berlin.de/HSP0003A0DA00000000" TargetMode="External"/><Relationship Id="rId62" Type="http://schemas.openxmlformats.org/officeDocument/2006/relationships/hyperlink" Target="https://resolver.staatsbibliothek-berlin.de/HSP000490BA00000000" TargetMode="External"/><Relationship Id="rId83" Type="http://schemas.openxmlformats.org/officeDocument/2006/relationships/hyperlink" Target="https://manuscripta.at/?ID=26937" TargetMode="External"/><Relationship Id="rId88" Type="http://schemas.openxmlformats.org/officeDocument/2006/relationships/hyperlink" Target="https://mss-cat.trin.cam.ac.uk/Manuscript/B.3.12/manifest.json" TargetMode="External"/><Relationship Id="rId111" Type="http://schemas.openxmlformats.org/officeDocument/2006/relationships/hyperlink" Target="https://www.alvin-portal.org/alvin/view.jsf?aq=%5B%5B%7B%22A_FQ%22%3A%22Katalog+der+datierten+Handschriften%22%7D%5D%5D&amp;c=46&amp;aqe=%5B%5D&amp;af=%5B%5D&amp;searchType=TEXT&amp;query=Katalog+der+datierten+Handschriften&amp;pid=alvin-record%3A473725&amp;dswid=-4160" TargetMode="External"/><Relationship Id="rId132" Type="http://schemas.openxmlformats.org/officeDocument/2006/relationships/hyperlink" Target="https://www.e-codices.unifr.ch/metadata/iiif/bke-0004/manifest.json" TargetMode="External"/><Relationship Id="rId153" Type="http://schemas.openxmlformats.org/officeDocument/2006/relationships/hyperlink" Target="https://www.e-codices.unifr.ch/metadata/iiif/bke-0067/manifest.json" TargetMode="External"/><Relationship Id="rId174" Type="http://schemas.openxmlformats.org/officeDocument/2006/relationships/hyperlink" Target="https://api.digitale-sammlungen.de/iiif/presentation/v2/bsb00002112/manifest" TargetMode="External"/><Relationship Id="rId179" Type="http://schemas.openxmlformats.org/officeDocument/2006/relationships/hyperlink" Target="https://api.onb.ac.at/iiif/presentation/v3/manifest/1320921A" TargetMode="External"/><Relationship Id="rId195" Type="http://schemas.openxmlformats.org/officeDocument/2006/relationships/hyperlink" Target="https://manuscripta.at/diglit/iiif/AT1000-686a/manifest.json" TargetMode="External"/><Relationship Id="rId209" Type="http://schemas.openxmlformats.org/officeDocument/2006/relationships/hyperlink" Target="https://www.e-codices.unifr.ch/metadata/iiif/sbs-min0035/manifest.json" TargetMode="External"/><Relationship Id="rId190" Type="http://schemas.openxmlformats.org/officeDocument/2006/relationships/hyperlink" Target="https://manuscripta.at/diglit/iiif/AT1000-18/manifest.json" TargetMode="External"/><Relationship Id="rId204" Type="http://schemas.openxmlformats.org/officeDocument/2006/relationships/hyperlink" Target="https://www.e-codices.unifr.ch/metadata/iiif/sbs-min0025/manifest.json" TargetMode="External"/><Relationship Id="rId220" Type="http://schemas.openxmlformats.org/officeDocument/2006/relationships/hyperlink" Target="https://www.e-codices.unifr.ch/metadata/iiif/sbs-min0051/manifest.json" TargetMode="External"/><Relationship Id="rId225" Type="http://schemas.openxmlformats.org/officeDocument/2006/relationships/hyperlink" Target="https://www.e-codices.unifr.ch/metadata/iiif/sbs-min0029/manifest.json" TargetMode="External"/><Relationship Id="rId15" Type="http://schemas.openxmlformats.org/officeDocument/2006/relationships/hyperlink" Target="https://digitalcollections.universiteitleiden.nl/iiif_manifest/item%3A4119608/manifest" TargetMode="External"/><Relationship Id="rId36" Type="http://schemas.openxmlformats.org/officeDocument/2006/relationships/hyperlink" Target="https://www.e-codices.unifr.ch/metadata/iiif/bbb-0087/manifest.json" TargetMode="External"/><Relationship Id="rId57" Type="http://schemas.openxmlformats.org/officeDocument/2006/relationships/hyperlink" Target="https://resolver.staatsbibliothek-berlin.de/HSP0003A4D000000000" TargetMode="External"/><Relationship Id="rId106" Type="http://schemas.openxmlformats.org/officeDocument/2006/relationships/hyperlink" Target="https://bl.digirati.io/iiif/ark:/81055/vdc_100058595676.0x000001" TargetMode="External"/><Relationship Id="rId127" Type="http://schemas.openxmlformats.org/officeDocument/2006/relationships/hyperlink" Target="https://www.e-codices.unifr.ch/metadata/iiif/sbe-0166/manifest.json" TargetMode="External"/><Relationship Id="rId10" Type="http://schemas.openxmlformats.org/officeDocument/2006/relationships/hyperlink" Target="http://hdl.handle.net/1887.1/item:1611194" TargetMode="External"/><Relationship Id="rId31" Type="http://schemas.openxmlformats.org/officeDocument/2006/relationships/hyperlink" Target="https://manuscripta.at/diglit/iiif/AT1000-185/manifest.json" TargetMode="External"/><Relationship Id="rId52" Type="http://schemas.openxmlformats.org/officeDocument/2006/relationships/hyperlink" Target="https://fuldig.hs-fulda.de/viewer/api/v1/records/PPN442198345/manifest/" TargetMode="External"/><Relationship Id="rId73" Type="http://schemas.openxmlformats.org/officeDocument/2006/relationships/hyperlink" Target="https://manuscripta.at/?ID=33981" TargetMode="External"/><Relationship Id="rId78" Type="http://schemas.openxmlformats.org/officeDocument/2006/relationships/hyperlink" Target="https://manuscripta.at/?ID=33981" TargetMode="External"/><Relationship Id="rId94" Type="http://schemas.openxmlformats.org/officeDocument/2006/relationships/hyperlink" Target="https://mss-cat.trin.cam.ac.uk/Manuscript/B.5.5/manifest.json" TargetMode="External"/><Relationship Id="rId99" Type="http://schemas.openxmlformats.org/officeDocument/2006/relationships/hyperlink" Target="https://mss-cat.trin.cam.ac.uk/Manuscript/R.3.29/manifest.json" TargetMode="External"/><Relationship Id="rId101" Type="http://schemas.openxmlformats.org/officeDocument/2006/relationships/hyperlink" Target="https://dhb.thulb.uni-jena.de/api/iiif/presentation/v2/ufb_derivate_00014678/manifest" TargetMode="External"/><Relationship Id="rId122" Type="http://schemas.openxmlformats.org/officeDocument/2006/relationships/hyperlink" Target="https://manuscripta.at/diglit/iiif/AT1000-221/manifest.json" TargetMode="External"/><Relationship Id="rId143" Type="http://schemas.openxmlformats.org/officeDocument/2006/relationships/hyperlink" Target="https://www.e-codices.unifr.ch/metadata/iiif/bke-0022/manifest.json" TargetMode="External"/><Relationship Id="rId148" Type="http://schemas.openxmlformats.org/officeDocument/2006/relationships/hyperlink" Target="https://www.e-codices.unifr.ch/metadata/iiif/bke-0047/manifest.json" TargetMode="External"/><Relationship Id="rId164" Type="http://schemas.openxmlformats.org/officeDocument/2006/relationships/hyperlink" Target="https://www.e-codices.unifr.ch/metadata/iiif/bke-1008/manifest.json" TargetMode="External"/><Relationship Id="rId169" Type="http://schemas.openxmlformats.org/officeDocument/2006/relationships/hyperlink" Target="https://api.digitale-sammlungen.de/iiif/presentation/v2/bsb00068178/manifest" TargetMode="External"/><Relationship Id="rId185" Type="http://schemas.openxmlformats.org/officeDocument/2006/relationships/hyperlink" Target="https://api.onb.ac.at/iiif/presentation/v3/manifest/131CC8BA" TargetMode="External"/><Relationship Id="rId4" Type="http://schemas.openxmlformats.org/officeDocument/2006/relationships/hyperlink" Target="http://hdl.handle.net/1887.1/item:4153920" TargetMode="External"/><Relationship Id="rId9" Type="http://schemas.openxmlformats.org/officeDocument/2006/relationships/hyperlink" Target="http://hdl.handle.net/1887.1/item:1614211" TargetMode="External"/><Relationship Id="rId180" Type="http://schemas.openxmlformats.org/officeDocument/2006/relationships/hyperlink" Target="https://api.onb.ac.at/iiif/presentation/v3/manifest/1000C8ED" TargetMode="External"/><Relationship Id="rId210" Type="http://schemas.openxmlformats.org/officeDocument/2006/relationships/hyperlink" Target="https://www.e-codices.unifr.ch/metadata/iiif/sbs-min0036/manifest.json" TargetMode="External"/><Relationship Id="rId215" Type="http://schemas.openxmlformats.org/officeDocument/2006/relationships/hyperlink" Target="https://www.e-codices.unifr.ch/metadata/iiif/sbs-min0107/manifest.json" TargetMode="External"/><Relationship Id="rId26" Type="http://schemas.openxmlformats.org/officeDocument/2006/relationships/hyperlink" Target="https://www.mmdc.nl/static/site/search/?searchMode=advanced&amp;recordId=null&amp;selectedRecordId=null&amp;maximumRecords=15&amp;recordDisplayLevel=1&amp;startRecord=241&amp;showMap=1&amp;freetextsearch=CMD-NL+1&amp;shelfmark=Type+in+query...+%28autocompleted%29&amp;author=Type+in+query...+%28autocompleted%29&amp;title=Type+in+query...+%28autocompleted%29&amp;startyear=Type+in+query&amp;endyear=Type+in+query&amp;alt-title=Type+in+query...+%28autocompleted%29&amp;incipit=Type+in+query&amp;annotation_contents=Type+in+query&amp;contains=null&amp;language=null&amp;language_original=null&amp;translator=Type+in+query...+%28autocompleted%29&amp;type=null&amp;keyword=Type+in+query&amp;person=Type+in+query...+%28autocompleted%29&amp;medium=null&amp;script=Type+in+query&amp;scribe=Type+in+query...+%28autocompleted%29&amp;binding=null&amp;binder=Type+in+query...+%28autocompleted%29&amp;region=null&amp;place=Type+in+query&amp;patron=Type+in+query...+%28autocompleted%29&amp;collection=Type+in+query...+%28autocompleted%29" TargetMode="External"/><Relationship Id="rId47" Type="http://schemas.openxmlformats.org/officeDocument/2006/relationships/hyperlink" Target="https://resolver.staatsbibliothek-berlin.de/HSP0004E7B300000000" TargetMode="External"/><Relationship Id="rId68" Type="http://schemas.openxmlformats.org/officeDocument/2006/relationships/hyperlink" Target="https://manuscripta.at/?ID=26937" TargetMode="External"/><Relationship Id="rId89" Type="http://schemas.openxmlformats.org/officeDocument/2006/relationships/hyperlink" Target="https://mss-cat.trin.cam.ac.uk/Manuscript/B.3.30/manifest.json" TargetMode="External"/><Relationship Id="rId112" Type="http://schemas.openxmlformats.org/officeDocument/2006/relationships/hyperlink" Target="https://iiif.biblissima.fr/collections/manifest/249e57e630f8addedcdea8b779c3c04f3d36292d" TargetMode="External"/><Relationship Id="rId133" Type="http://schemas.openxmlformats.org/officeDocument/2006/relationships/hyperlink" Target="https://www.e-codices.unifr.ch/metadata/iiif/bke-0004/manifest.json" TargetMode="External"/><Relationship Id="rId154" Type="http://schemas.openxmlformats.org/officeDocument/2006/relationships/hyperlink" Target="https://www.e-codices.unifr.ch/metadata/iiif/bke-0068/manifest.json" TargetMode="External"/><Relationship Id="rId175" Type="http://schemas.openxmlformats.org/officeDocument/2006/relationships/hyperlink" Target="https://api.digitale-sammlungen.de/iiif/presentation/v2/bsb00107137/manifest" TargetMode="External"/><Relationship Id="rId196" Type="http://schemas.openxmlformats.org/officeDocument/2006/relationships/hyperlink" Target="https://discover.ub.uni-muenchen.de/digitalisate/BV044370763/BV044370763.json" TargetMode="External"/><Relationship Id="rId200" Type="http://schemas.openxmlformats.org/officeDocument/2006/relationships/hyperlink" Target="https://api.irht.cnrs.fr/ark:/63955/fn401kkv3lan/manifest.json" TargetMode="External"/><Relationship Id="rId16" Type="http://schemas.openxmlformats.org/officeDocument/2006/relationships/hyperlink" Target="https://digitalcollections.universiteitleiden.nl/iiif_manifest/item%3A4154089/manifest" TargetMode="External"/><Relationship Id="rId221" Type="http://schemas.openxmlformats.org/officeDocument/2006/relationships/hyperlink" Target="https://www.e-codices.unifr.ch/metadata/iiif/sbs-min0052/manifest.json" TargetMode="External"/><Relationship Id="rId37" Type="http://schemas.openxmlformats.org/officeDocument/2006/relationships/hyperlink" Target="https://www.e-codices.ch/en/list/one/bbb/0087" TargetMode="External"/><Relationship Id="rId58" Type="http://schemas.openxmlformats.org/officeDocument/2006/relationships/hyperlink" Target="https://resolver.staatsbibliothek-berlin.de/HSP0003AB7200000000" TargetMode="External"/><Relationship Id="rId79" Type="http://schemas.openxmlformats.org/officeDocument/2006/relationships/hyperlink" Target="https://manuscripta.at/?ID=7768" TargetMode="External"/><Relationship Id="rId102" Type="http://schemas.openxmlformats.org/officeDocument/2006/relationships/hyperlink" Target="https://gallica.bnf.fr/iiif/ark:/12148/btv1b106705492/manifest.json" TargetMode="External"/><Relationship Id="rId123" Type="http://schemas.openxmlformats.org/officeDocument/2006/relationships/hyperlink" Target="https://gallica.bnf.fr/iiif/ark:/12148/btv1b9067744q/manifest.json" TargetMode="External"/><Relationship Id="rId144" Type="http://schemas.openxmlformats.org/officeDocument/2006/relationships/hyperlink" Target="https://www.e-codices.unifr.ch/metadata/iiif/bke-0023/manifest.json" TargetMode="External"/><Relationship Id="rId90" Type="http://schemas.openxmlformats.org/officeDocument/2006/relationships/hyperlink" Target="https://mss-cat.trin.cam.ac.uk/Manuscript/B.4.30/manifest.json" TargetMode="External"/><Relationship Id="rId165" Type="http://schemas.openxmlformats.org/officeDocument/2006/relationships/hyperlink" Target="https://www.e-codices.unifr.ch/metadata/iiif/bke-1009/manifest.json" TargetMode="External"/><Relationship Id="rId186" Type="http://schemas.openxmlformats.org/officeDocument/2006/relationships/hyperlink" Target="https://api.onb.ac.at/iiif/presentation/v3/manifest/10048A2E" TargetMode="External"/><Relationship Id="rId211" Type="http://schemas.openxmlformats.org/officeDocument/2006/relationships/hyperlink" Target="https://www.e-codices.unifr.ch/metadata/iiif/sbs-min0039/manifest.json" TargetMode="External"/><Relationship Id="rId27" Type="http://schemas.openxmlformats.org/officeDocument/2006/relationships/hyperlink" Target="https://www.mmdc.nl/static/site/search/?searchMode=advanced&amp;recordId=null&amp;selectedRecordId=null&amp;maximumRecords=15&amp;recordDisplayLevel=1&amp;startRecord=241&amp;showMap=1&amp;freetextsearch=CMD-NL+1&amp;shelfmark=Type+in+query...+%28autocompleted%29&amp;author=Type+in+query...+%28autocompleted%29&amp;title=Type+in+query...+%28autocompleted%29&amp;startyear=Type+in+query&amp;endyear=Type+in+query&amp;alt-title=Type+in+query...+%28autocompleted%29&amp;incipit=Type+in+query&amp;annotation_contents=Type+in+query&amp;contains=null&amp;language=null&amp;language_original=null&amp;translator=Type+in+query...+%28autocompleted%29&amp;type=null&amp;keyword=Type+in+query&amp;person=Type+in+query...+%28autocompleted%29&amp;medium=null&amp;script=Type+in+query&amp;scribe=Type+in+query...+%28autocompleted%29&amp;binding=null&amp;binder=Type+in+query...+%28autocompleted%29&amp;region=null&amp;place=Type+in+query&amp;patron=Type+in+query...+%28autocompleted%29&amp;collection=Type+in+query...+%28autocompleted%29" TargetMode="External"/><Relationship Id="rId48" Type="http://schemas.openxmlformats.org/officeDocument/2006/relationships/hyperlink" Target="https://resolver.staatsbibliothek-berlin.de/HSP0003EE1B00000000" TargetMode="External"/><Relationship Id="rId69" Type="http://schemas.openxmlformats.org/officeDocument/2006/relationships/hyperlink" Target="https://manuscripta.at/?ID=26968" TargetMode="External"/><Relationship Id="rId113" Type="http://schemas.openxmlformats.org/officeDocument/2006/relationships/hyperlink" Target="https://sharedcanvas.be/IIIF/manifests/B_OB_MS469" TargetMode="External"/><Relationship Id="rId134" Type="http://schemas.openxmlformats.org/officeDocument/2006/relationships/hyperlink" Target="https://www.e-codices.unifr.ch/metadata/iiif/bke-0012/manifest.json" TargetMode="External"/><Relationship Id="rId80" Type="http://schemas.openxmlformats.org/officeDocument/2006/relationships/hyperlink" Target="https://manuscripta.at/?ID=6039" TargetMode="External"/><Relationship Id="rId155" Type="http://schemas.openxmlformats.org/officeDocument/2006/relationships/hyperlink" Target="https://www.e-codices.unifr.ch/metadata/iiif/bke-0072/manifest.json" TargetMode="External"/><Relationship Id="rId176" Type="http://schemas.openxmlformats.org/officeDocument/2006/relationships/hyperlink" Target="https://api.digitale-sammlungen.de/iiif/presentation/v2/bsb00140678/manifest" TargetMode="External"/><Relationship Id="rId197" Type="http://schemas.openxmlformats.org/officeDocument/2006/relationships/hyperlink" Target="https://api.digitale-sammlungen.de/iiif/presentation/v2/bsb00094581/manifest" TargetMode="External"/><Relationship Id="rId201" Type="http://schemas.openxmlformats.org/officeDocument/2006/relationships/hyperlink" Target="https://www.e-codices.unifr.ch/metadata/iiif/sbs-min0020/manifest.json" TargetMode="External"/><Relationship Id="rId222" Type="http://schemas.openxmlformats.org/officeDocument/2006/relationships/hyperlink" Target="https://www.e-codices.unifr.ch/metadata/iiif/sbs-min0053/manifest.json" TargetMode="External"/><Relationship Id="rId17" Type="http://schemas.openxmlformats.org/officeDocument/2006/relationships/hyperlink" Target="https://digitalcollections.universiteitleiden.nl/iiif_manifest/item%3A4243570/manifest" TargetMode="External"/><Relationship Id="rId38" Type="http://schemas.openxmlformats.org/officeDocument/2006/relationships/hyperlink" Target="https://www.e-codices.unifr.ch/en/searchresult/list/one/sbs/min0002" TargetMode="External"/><Relationship Id="rId59" Type="http://schemas.openxmlformats.org/officeDocument/2006/relationships/hyperlink" Target="https://resolver.staatsbibliothek-berlin.de/HSP0003AF8B00000000" TargetMode="External"/><Relationship Id="rId103" Type="http://schemas.openxmlformats.org/officeDocument/2006/relationships/hyperlink" Target="https://gallica.bnf.fr/iiif/ark:/12148/btv1b10663398n/manifest.json" TargetMode="External"/><Relationship Id="rId124" Type="http://schemas.openxmlformats.org/officeDocument/2006/relationships/hyperlink" Target="https://www.e-codices.unifr.ch/metadata/iiif/fmb-cb-0074/manifest.json" TargetMode="External"/><Relationship Id="rId70" Type="http://schemas.openxmlformats.org/officeDocument/2006/relationships/hyperlink" Target="https://manuscripta.at/?ID=5978" TargetMode="External"/><Relationship Id="rId91" Type="http://schemas.openxmlformats.org/officeDocument/2006/relationships/hyperlink" Target="https://mss-cat.trin.cam.ac.uk/Manuscript/B.5.28/manifest.json" TargetMode="External"/><Relationship Id="rId145" Type="http://schemas.openxmlformats.org/officeDocument/2006/relationships/hyperlink" Target="https://www.e-codices.unifr.ch/metadata/iiif/bke-0032/manifest.json" TargetMode="External"/><Relationship Id="rId166" Type="http://schemas.openxmlformats.org/officeDocument/2006/relationships/hyperlink" Target="https://www.e-codices.unifr.ch/metadata/iiif/bbb-0120-2/manifest.json" TargetMode="External"/><Relationship Id="rId187" Type="http://schemas.openxmlformats.org/officeDocument/2006/relationships/hyperlink" Target="https://manuscripta.at/diglit/iiif/AT1000-36/manifest.json" TargetMode="External"/><Relationship Id="rId1" Type="http://schemas.openxmlformats.org/officeDocument/2006/relationships/hyperlink" Target="http://hdl.handle.net/1887.1/item:4243440" TargetMode="External"/><Relationship Id="rId212" Type="http://schemas.openxmlformats.org/officeDocument/2006/relationships/hyperlink" Target="https://www.e-codices.unifr.ch/metadata/iiif/sbs-min0040/manifest.json" TargetMode="External"/><Relationship Id="rId28" Type="http://schemas.openxmlformats.org/officeDocument/2006/relationships/hyperlink" Target="https://iiif.biblissima.fr/collections/manifest/8e47017f2164596f881fc86fd0acb550edb64f90" TargetMode="External"/><Relationship Id="rId49" Type="http://schemas.openxmlformats.org/officeDocument/2006/relationships/hyperlink" Target="https://resolver.staatsbibliothek-berlin.de/HSP00063E4200000000" TargetMode="External"/><Relationship Id="rId114" Type="http://schemas.openxmlformats.org/officeDocument/2006/relationships/hyperlink" Target="https://api.onb.ac.at/iiif/presentation/v3/manifest/10004BD3" TargetMode="External"/><Relationship Id="rId60" Type="http://schemas.openxmlformats.org/officeDocument/2006/relationships/hyperlink" Target="https://resolver.staatsbibliothek-berlin.de/HSP0004890D00000000" TargetMode="External"/><Relationship Id="rId81" Type="http://schemas.openxmlformats.org/officeDocument/2006/relationships/hyperlink" Target="https://manuscripta.at/?ID=5978" TargetMode="External"/><Relationship Id="rId135" Type="http://schemas.openxmlformats.org/officeDocument/2006/relationships/hyperlink" Target="https://www.e-codices.unifr.ch/metadata/iiif/bke-0013/manifest.json" TargetMode="External"/><Relationship Id="rId156" Type="http://schemas.openxmlformats.org/officeDocument/2006/relationships/hyperlink" Target="https://www.e-codices.unifr.ch/metadata/iiif/bke-0076/manifest.json" TargetMode="External"/><Relationship Id="rId177" Type="http://schemas.openxmlformats.org/officeDocument/2006/relationships/hyperlink" Target="https://api.digitale-sammlungen.de/iiif/presentation/v2/bsb00107145/manifest" TargetMode="External"/><Relationship Id="rId198" Type="http://schemas.openxmlformats.org/officeDocument/2006/relationships/hyperlink" Target="https://www.franconica.online/o/iiif/2/78320/manifest" TargetMode="External"/><Relationship Id="rId202" Type="http://schemas.openxmlformats.org/officeDocument/2006/relationships/hyperlink" Target="https://www.e-codices.unifr.ch/metadata/iiif/sbs-min0020/manifest.json" TargetMode="External"/><Relationship Id="rId223" Type="http://schemas.openxmlformats.org/officeDocument/2006/relationships/hyperlink" Target="https://www.e-codices.unifr.ch/metadata/iiif/sbs-min0054/manifest.json" TargetMode="External"/><Relationship Id="rId18" Type="http://schemas.openxmlformats.org/officeDocument/2006/relationships/hyperlink" Target="https://digitalcollections.universiteitleiden.nl/iiif_manifest/item%3A2708056/manifest" TargetMode="External"/><Relationship Id="rId39" Type="http://schemas.openxmlformats.org/officeDocument/2006/relationships/hyperlink" Target="https://www.e-codices.unifr.ch/en/searchresult/list/one/sbs/min0027" TargetMode="External"/><Relationship Id="rId50" Type="http://schemas.openxmlformats.org/officeDocument/2006/relationships/hyperlink" Target="https://resolver.staatsbibliothek-berlin.de/HSP00063EE000000000" TargetMode="External"/><Relationship Id="rId104" Type="http://schemas.openxmlformats.org/officeDocument/2006/relationships/hyperlink" Target="https://bl.digirati.io/iiif/ark:/81055/vdc_100056003913.0x000001" TargetMode="External"/><Relationship Id="rId125" Type="http://schemas.openxmlformats.org/officeDocument/2006/relationships/hyperlink" Target="https://www.e-codices.unifr.ch/en/searchresult/list/one/fmb/cb-0161" TargetMode="External"/><Relationship Id="rId146" Type="http://schemas.openxmlformats.org/officeDocument/2006/relationships/hyperlink" Target="https://www.e-codices.unifr.ch/metadata/iiif/bke-0037/manifest.json" TargetMode="External"/><Relationship Id="rId167" Type="http://schemas.openxmlformats.org/officeDocument/2006/relationships/hyperlink" Target="https://fuldig.hs-fulda.de/viewer/api/v1/records/PPN312049412/manifest/" TargetMode="External"/><Relationship Id="rId188" Type="http://schemas.openxmlformats.org/officeDocument/2006/relationships/hyperlink" Target="https://manuscripta.at/diglit/iiif/AT1000-52/manifest.json" TargetMode="External"/><Relationship Id="rId71" Type="http://schemas.openxmlformats.org/officeDocument/2006/relationships/hyperlink" Target="https://manuscripta.at/?ID=6039" TargetMode="External"/><Relationship Id="rId92" Type="http://schemas.openxmlformats.org/officeDocument/2006/relationships/hyperlink" Target="https://mss-cat.trin.cam.ac.uk/Manuscript/B.5.4/manifest.json" TargetMode="External"/><Relationship Id="rId213" Type="http://schemas.openxmlformats.org/officeDocument/2006/relationships/hyperlink" Target="https://www.e-codices.unifr.ch/metadata/iiif/sbs-min0044/manifest.json" TargetMode="External"/><Relationship Id="rId2" Type="http://schemas.openxmlformats.org/officeDocument/2006/relationships/hyperlink" Target="http://hdl.handle.net/1887.1/item:4219919" TargetMode="External"/><Relationship Id="rId29" Type="http://schemas.openxmlformats.org/officeDocument/2006/relationships/hyperlink" Target="https://manuscripta.at/diglit/iiif/AT1000-18/manifest.json" TargetMode="External"/><Relationship Id="rId40" Type="http://schemas.openxmlformats.org/officeDocument/2006/relationships/hyperlink" Target="https://www.e-codices.unifr.ch/en/searchresult/list/one/sl/0002" TargetMode="External"/><Relationship Id="rId115" Type="http://schemas.openxmlformats.org/officeDocument/2006/relationships/hyperlink" Target="https://api.onb.ac.at/iiif/presentation/v3/manifest/131FD984" TargetMode="External"/><Relationship Id="rId136" Type="http://schemas.openxmlformats.org/officeDocument/2006/relationships/hyperlink" Target="https://www.e-codices.unifr.ch/metadata/iiif/bke-0014/manifest.json" TargetMode="External"/><Relationship Id="rId157" Type="http://schemas.openxmlformats.org/officeDocument/2006/relationships/hyperlink" Target="https://www.e-codices.unifr.ch/metadata/iiif/bke-0087/manifest.json" TargetMode="External"/><Relationship Id="rId178" Type="http://schemas.openxmlformats.org/officeDocument/2006/relationships/hyperlink" Target="https://manuscripta.at/hs_detail.php?ID=26856" TargetMode="External"/><Relationship Id="rId61" Type="http://schemas.openxmlformats.org/officeDocument/2006/relationships/hyperlink" Target="https://resolver.staatsbibliothek-berlin.de/HSP0004892A00000000" TargetMode="External"/><Relationship Id="rId82" Type="http://schemas.openxmlformats.org/officeDocument/2006/relationships/hyperlink" Target="https://manuscripta.at/?ID=26968" TargetMode="External"/><Relationship Id="rId199" Type="http://schemas.openxmlformats.org/officeDocument/2006/relationships/hyperlink" Target="https://cdm21059.contentdm.oclc.org/iiif/info/plutei/503330/manifest.json" TargetMode="External"/><Relationship Id="rId203" Type="http://schemas.openxmlformats.org/officeDocument/2006/relationships/hyperlink" Target="https://www.e-codices.unifr.ch/metadata/iiif/sbs-min0024/manifest.json" TargetMode="External"/><Relationship Id="rId19" Type="http://schemas.openxmlformats.org/officeDocument/2006/relationships/hyperlink" Target="https://digitalcollections.universiteitleiden.nl/iiif_manifest/item%3A1943535/manifest" TargetMode="External"/><Relationship Id="rId224" Type="http://schemas.openxmlformats.org/officeDocument/2006/relationships/hyperlink" Target="https://www.e-codices.unifr.ch/metadata/iiif/sbs-min0055/manifest.json" TargetMode="External"/><Relationship Id="rId30" Type="http://schemas.openxmlformats.org/officeDocument/2006/relationships/hyperlink" Target="https://manuscripta.at/diglit/iiif/IT1300-1304/manifest.json" TargetMode="External"/><Relationship Id="rId105" Type="http://schemas.openxmlformats.org/officeDocument/2006/relationships/hyperlink" Target="https://bl.digirati.io/iiif/ark:/81055/vdc_100059052444.0x000001" TargetMode="External"/><Relationship Id="rId126" Type="http://schemas.openxmlformats.org/officeDocument/2006/relationships/hyperlink" Target="https://www.e-codices.unifr.ch/metadata/iiif/fmb-cb-0161/manifest.json" TargetMode="External"/><Relationship Id="rId147" Type="http://schemas.openxmlformats.org/officeDocument/2006/relationships/hyperlink" Target="https://www.e-codices.unifr.ch/metadata/iiif/bke-0046/manifest.json" TargetMode="External"/><Relationship Id="rId168" Type="http://schemas.openxmlformats.org/officeDocument/2006/relationships/hyperlink" Target="https://api.digitale-sammlungen.de/iiif/presentation/v2/bsb00140671/manifest" TargetMode="External"/><Relationship Id="rId51" Type="http://schemas.openxmlformats.org/officeDocument/2006/relationships/hyperlink" Target="https://resolver.staatsbibliothek-berlin.de/HSP0003EE0500000000" TargetMode="External"/><Relationship Id="rId72" Type="http://schemas.openxmlformats.org/officeDocument/2006/relationships/hyperlink" Target="https://manuscripta.at/?ID=7768" TargetMode="External"/><Relationship Id="rId93" Type="http://schemas.openxmlformats.org/officeDocument/2006/relationships/hyperlink" Target="https://mss-cat.trin.cam.ac.uk/Manuscript/B.5.5/manifest.json" TargetMode="External"/><Relationship Id="rId189" Type="http://schemas.openxmlformats.org/officeDocument/2006/relationships/hyperlink" Target="https://manuscripta.at/diglit/iiif/AT1000-184/manifest.json" TargetMode="External"/><Relationship Id="rId3" Type="http://schemas.openxmlformats.org/officeDocument/2006/relationships/hyperlink" Target="http://hdl.handle.net/1887.1/item:4227203" TargetMode="External"/><Relationship Id="rId214" Type="http://schemas.openxmlformats.org/officeDocument/2006/relationships/hyperlink" Target="https://www.e-codices.unifr.ch/metadata/iiif/sbs-min0046/manifest.j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96F30-2488-DD4A-A81C-8AAAC622A6B6}">
  <dimension ref="A1:X1387"/>
  <sheetViews>
    <sheetView topLeftCell="A1355" zoomScale="111" workbookViewId="0">
      <selection activeCell="B1378" sqref="B1378"/>
    </sheetView>
  </sheetViews>
  <sheetFormatPr baseColWidth="10" defaultRowHeight="16"/>
  <cols>
    <col min="2" max="2" width="63.83203125" bestFit="1" customWidth="1"/>
    <col min="3" max="3" width="15.83203125" customWidth="1"/>
    <col min="6" max="6" width="18.33203125" customWidth="1"/>
    <col min="9" max="9" width="18" bestFit="1" customWidth="1"/>
    <col min="18" max="19" width="10.83203125" style="16"/>
    <col min="20" max="20" width="50.5" customWidth="1"/>
  </cols>
  <sheetData>
    <row r="1" spans="1:21">
      <c r="A1" s="3" t="s">
        <v>9273</v>
      </c>
      <c r="B1" s="3" t="s">
        <v>7</v>
      </c>
      <c r="C1" s="3" t="s">
        <v>484</v>
      </c>
      <c r="D1" s="3" t="s">
        <v>8657</v>
      </c>
      <c r="E1" s="3" t="s">
        <v>8054</v>
      </c>
      <c r="F1" s="3" t="s">
        <v>9</v>
      </c>
      <c r="G1" s="3" t="s">
        <v>2475</v>
      </c>
      <c r="H1" s="3" t="s">
        <v>9346</v>
      </c>
      <c r="I1" s="3" t="s">
        <v>485</v>
      </c>
      <c r="J1" s="3" t="s">
        <v>2298</v>
      </c>
      <c r="K1" s="3" t="s">
        <v>1214</v>
      </c>
      <c r="L1" s="3" t="s">
        <v>6170</v>
      </c>
      <c r="M1" s="3" t="s">
        <v>5579</v>
      </c>
      <c r="N1" s="3" t="s">
        <v>6281</v>
      </c>
      <c r="O1" s="3" t="s">
        <v>6282</v>
      </c>
      <c r="P1" s="3" t="s">
        <v>6283</v>
      </c>
      <c r="Q1" s="3" t="s">
        <v>6284</v>
      </c>
      <c r="R1" s="15" t="s">
        <v>8056</v>
      </c>
      <c r="S1" s="15" t="s">
        <v>8057</v>
      </c>
      <c r="T1" s="3" t="s">
        <v>7733</v>
      </c>
      <c r="U1" s="3" t="s">
        <v>8053</v>
      </c>
    </row>
    <row r="2" spans="1:21">
      <c r="A2">
        <v>33</v>
      </c>
      <c r="B2" s="4" t="s">
        <v>2258</v>
      </c>
      <c r="C2">
        <v>1279</v>
      </c>
      <c r="D2">
        <v>1279</v>
      </c>
      <c r="E2">
        <v>13</v>
      </c>
      <c r="F2" t="s">
        <v>5623</v>
      </c>
      <c r="G2" t="s">
        <v>5655</v>
      </c>
      <c r="I2" t="s">
        <v>6097</v>
      </c>
      <c r="J2" s="5" t="s">
        <v>5625</v>
      </c>
      <c r="K2" t="s">
        <v>5624</v>
      </c>
      <c r="L2">
        <v>1</v>
      </c>
      <c r="M2" t="s">
        <v>5623</v>
      </c>
      <c r="N2" t="s">
        <v>6665</v>
      </c>
      <c r="O2" t="s">
        <v>11</v>
      </c>
      <c r="P2" t="s">
        <v>6666</v>
      </c>
      <c r="Q2" t="s">
        <v>6667</v>
      </c>
      <c r="R2" s="16" t="s">
        <v>8536</v>
      </c>
      <c r="S2" s="16" t="s">
        <v>8241</v>
      </c>
      <c r="T2" s="4" t="s">
        <v>2258</v>
      </c>
      <c r="U2">
        <v>1</v>
      </c>
    </row>
    <row r="3" spans="1:21">
      <c r="A3">
        <v>4</v>
      </c>
      <c r="B3" s="4" t="s">
        <v>5736</v>
      </c>
      <c r="C3">
        <v>1094</v>
      </c>
      <c r="D3">
        <v>1094</v>
      </c>
      <c r="E3">
        <v>11</v>
      </c>
      <c r="F3" t="s">
        <v>5720</v>
      </c>
      <c r="G3" t="s">
        <v>5655</v>
      </c>
      <c r="I3" t="s">
        <v>6079</v>
      </c>
      <c r="J3" s="5" t="s">
        <v>9098</v>
      </c>
      <c r="K3" s="11"/>
      <c r="L3">
        <v>1</v>
      </c>
      <c r="M3" t="s">
        <v>5720</v>
      </c>
      <c r="N3" t="s">
        <v>6427</v>
      </c>
      <c r="O3" t="s">
        <v>6288</v>
      </c>
      <c r="P3" t="s">
        <v>6639</v>
      </c>
      <c r="Q3" t="s">
        <v>6640</v>
      </c>
      <c r="R3" s="16" t="s">
        <v>8530</v>
      </c>
      <c r="S3" s="16" t="s">
        <v>8235</v>
      </c>
      <c r="T3" s="4" t="s">
        <v>5736</v>
      </c>
      <c r="U3">
        <v>1</v>
      </c>
    </row>
    <row r="4" spans="1:21">
      <c r="A4">
        <v>5</v>
      </c>
      <c r="B4" s="4" t="s">
        <v>2259</v>
      </c>
      <c r="C4">
        <v>1079</v>
      </c>
      <c r="D4">
        <v>1079</v>
      </c>
      <c r="E4">
        <v>11</v>
      </c>
      <c r="F4" t="s">
        <v>5620</v>
      </c>
      <c r="G4" t="s">
        <v>5655</v>
      </c>
      <c r="I4" t="s">
        <v>6078</v>
      </c>
      <c r="J4" t="s">
        <v>5621</v>
      </c>
      <c r="K4" s="5" t="s">
        <v>5622</v>
      </c>
      <c r="L4">
        <v>1</v>
      </c>
      <c r="M4" t="s">
        <v>5620</v>
      </c>
      <c r="N4" t="s">
        <v>6291</v>
      </c>
      <c r="O4" t="s">
        <v>3995</v>
      </c>
      <c r="P4">
        <v>120970</v>
      </c>
      <c r="Q4">
        <v>490150</v>
      </c>
      <c r="R4" s="16" t="s">
        <v>8525</v>
      </c>
      <c r="S4" s="16" t="s">
        <v>8230</v>
      </c>
      <c r="T4" s="4" t="s">
        <v>2259</v>
      </c>
      <c r="U4">
        <v>1</v>
      </c>
    </row>
    <row r="5" spans="1:21">
      <c r="A5">
        <v>7</v>
      </c>
      <c r="B5" s="4" t="s">
        <v>2260</v>
      </c>
      <c r="C5">
        <v>1299</v>
      </c>
      <c r="D5">
        <v>1299</v>
      </c>
      <c r="E5">
        <v>13</v>
      </c>
      <c r="F5" t="s">
        <v>5619</v>
      </c>
      <c r="G5" t="s">
        <v>5655</v>
      </c>
      <c r="I5" t="s">
        <v>6103</v>
      </c>
      <c r="J5" s="5" t="s">
        <v>5617</v>
      </c>
      <c r="K5" t="s">
        <v>5618</v>
      </c>
      <c r="L5">
        <v>1</v>
      </c>
      <c r="M5" t="s">
        <v>5619</v>
      </c>
      <c r="N5" t="s">
        <v>6568</v>
      </c>
      <c r="O5" t="s">
        <v>6288</v>
      </c>
      <c r="P5" t="s">
        <v>6569</v>
      </c>
      <c r="Q5" t="s">
        <v>6570</v>
      </c>
      <c r="R5" s="16" t="s">
        <v>8534</v>
      </c>
      <c r="S5" s="16" t="s">
        <v>8239</v>
      </c>
      <c r="T5" s="4" t="s">
        <v>2260</v>
      </c>
      <c r="U5">
        <v>1</v>
      </c>
    </row>
    <row r="6" spans="1:21">
      <c r="A6">
        <v>10</v>
      </c>
      <c r="B6" s="4" t="s">
        <v>5750</v>
      </c>
      <c r="C6">
        <v>1251</v>
      </c>
      <c r="D6">
        <v>1251</v>
      </c>
      <c r="E6">
        <v>13</v>
      </c>
      <c r="F6" t="s">
        <v>5730</v>
      </c>
      <c r="G6" t="s">
        <v>5655</v>
      </c>
      <c r="I6" t="s">
        <v>6092</v>
      </c>
      <c r="J6" s="5" t="s">
        <v>9103</v>
      </c>
      <c r="K6" s="11"/>
      <c r="L6">
        <v>1</v>
      </c>
      <c r="M6" t="s">
        <v>5719</v>
      </c>
      <c r="N6" t="s">
        <v>5719</v>
      </c>
      <c r="O6" t="s">
        <v>6288</v>
      </c>
      <c r="P6" t="s">
        <v>6808</v>
      </c>
      <c r="Q6" t="s">
        <v>6809</v>
      </c>
      <c r="R6" s="16" t="s">
        <v>6808</v>
      </c>
      <c r="S6" s="16" t="s">
        <v>6809</v>
      </c>
      <c r="T6" s="4" t="s">
        <v>5750</v>
      </c>
      <c r="U6">
        <v>1</v>
      </c>
    </row>
    <row r="7" spans="1:21">
      <c r="A7">
        <v>12</v>
      </c>
      <c r="B7" s="4" t="s">
        <v>5759</v>
      </c>
      <c r="C7">
        <v>1300</v>
      </c>
      <c r="D7">
        <v>1300</v>
      </c>
      <c r="E7">
        <v>13</v>
      </c>
      <c r="F7" t="s">
        <v>6073</v>
      </c>
      <c r="G7" t="s">
        <v>5655</v>
      </c>
      <c r="I7" t="s">
        <v>6104</v>
      </c>
      <c r="J7" s="5" t="s">
        <v>9104</v>
      </c>
      <c r="K7" s="11"/>
      <c r="L7">
        <v>1</v>
      </c>
      <c r="M7" t="s">
        <v>6073</v>
      </c>
      <c r="N7" t="s">
        <v>6325</v>
      </c>
      <c r="O7" t="s">
        <v>11</v>
      </c>
      <c r="P7">
        <v>113410</v>
      </c>
      <c r="Q7">
        <v>444940</v>
      </c>
      <c r="R7" s="16" t="s">
        <v>8378</v>
      </c>
      <c r="S7" s="16" t="s">
        <v>8082</v>
      </c>
      <c r="T7" s="4" t="s">
        <v>5759</v>
      </c>
      <c r="U7">
        <v>1</v>
      </c>
    </row>
    <row r="8" spans="1:21">
      <c r="A8">
        <v>14</v>
      </c>
      <c r="B8" s="4" t="s">
        <v>5755</v>
      </c>
      <c r="C8">
        <v>1273</v>
      </c>
      <c r="D8">
        <v>1273</v>
      </c>
      <c r="E8">
        <v>13</v>
      </c>
      <c r="F8" t="s">
        <v>5733</v>
      </c>
      <c r="G8" t="s">
        <v>5655</v>
      </c>
      <c r="I8" t="s">
        <v>6096</v>
      </c>
      <c r="J8" s="5" t="s">
        <v>8793</v>
      </c>
      <c r="K8" s="11"/>
      <c r="L8">
        <v>0</v>
      </c>
      <c r="R8" s="16" t="s">
        <v>8064</v>
      </c>
      <c r="S8" s="16" t="s">
        <v>8064</v>
      </c>
      <c r="T8" s="4" t="s">
        <v>5755</v>
      </c>
      <c r="U8">
        <v>1</v>
      </c>
    </row>
    <row r="9" spans="1:21">
      <c r="A9">
        <v>15</v>
      </c>
      <c r="B9" s="4" t="s">
        <v>2261</v>
      </c>
      <c r="C9">
        <v>1287</v>
      </c>
      <c r="D9">
        <v>1287</v>
      </c>
      <c r="E9">
        <v>13</v>
      </c>
      <c r="F9" t="s">
        <v>5614</v>
      </c>
      <c r="G9" t="s">
        <v>5655</v>
      </c>
      <c r="I9" t="s">
        <v>6099</v>
      </c>
      <c r="J9" s="5" t="s">
        <v>5615</v>
      </c>
      <c r="K9" t="s">
        <v>5616</v>
      </c>
      <c r="L9">
        <v>1</v>
      </c>
      <c r="M9" t="s">
        <v>5614</v>
      </c>
      <c r="N9" t="s">
        <v>6625</v>
      </c>
      <c r="O9" t="s">
        <v>104</v>
      </c>
      <c r="P9" t="s">
        <v>6626</v>
      </c>
      <c r="Q9" t="s">
        <v>6627</v>
      </c>
      <c r="R9" s="16" t="s">
        <v>8531</v>
      </c>
      <c r="S9" s="16" t="s">
        <v>8236</v>
      </c>
      <c r="T9" s="4" t="s">
        <v>2261</v>
      </c>
      <c r="U9">
        <v>1</v>
      </c>
    </row>
    <row r="10" spans="1:21">
      <c r="A10">
        <v>16</v>
      </c>
      <c r="B10" s="4" t="s">
        <v>8790</v>
      </c>
      <c r="C10" t="s">
        <v>8789</v>
      </c>
      <c r="D10">
        <v>1268</v>
      </c>
      <c r="E10">
        <v>13</v>
      </c>
      <c r="F10" t="s">
        <v>5726</v>
      </c>
      <c r="G10" t="s">
        <v>5655</v>
      </c>
      <c r="I10" t="s">
        <v>6094</v>
      </c>
      <c r="J10" s="5" t="s">
        <v>8788</v>
      </c>
      <c r="K10" s="11"/>
      <c r="L10">
        <v>0</v>
      </c>
      <c r="R10" s="16" t="s">
        <v>8064</v>
      </c>
      <c r="S10" s="16" t="s">
        <v>8064</v>
      </c>
      <c r="T10" s="4" t="s">
        <v>5745</v>
      </c>
      <c r="U10">
        <v>1</v>
      </c>
    </row>
    <row r="11" spans="1:21">
      <c r="A11">
        <v>17</v>
      </c>
      <c r="B11" s="4" t="s">
        <v>8791</v>
      </c>
      <c r="C11" t="s">
        <v>8792</v>
      </c>
      <c r="D11">
        <v>1297</v>
      </c>
      <c r="E11">
        <v>13</v>
      </c>
      <c r="F11" t="s">
        <v>5726</v>
      </c>
      <c r="G11" t="s">
        <v>5655</v>
      </c>
      <c r="I11" t="s">
        <v>6102</v>
      </c>
      <c r="J11" s="5" t="s">
        <v>8788</v>
      </c>
      <c r="K11" s="11"/>
      <c r="L11">
        <v>0</v>
      </c>
      <c r="R11" s="16" t="s">
        <v>8064</v>
      </c>
      <c r="S11" s="16" t="s">
        <v>8064</v>
      </c>
      <c r="T11" s="4" t="s">
        <v>5745</v>
      </c>
      <c r="U11">
        <v>1</v>
      </c>
    </row>
    <row r="12" spans="1:21">
      <c r="A12">
        <v>19</v>
      </c>
      <c r="B12" s="4" t="s">
        <v>5742</v>
      </c>
      <c r="C12" t="s">
        <v>5763</v>
      </c>
      <c r="D12">
        <v>1181</v>
      </c>
      <c r="E12">
        <v>12</v>
      </c>
      <c r="F12" t="s">
        <v>5720</v>
      </c>
      <c r="G12" t="s">
        <v>5655</v>
      </c>
      <c r="I12" t="s">
        <v>6085</v>
      </c>
      <c r="J12" s="5" t="s">
        <v>9100</v>
      </c>
      <c r="K12" s="11"/>
      <c r="L12">
        <v>1</v>
      </c>
      <c r="M12" t="s">
        <v>5720</v>
      </c>
      <c r="N12" t="s">
        <v>6427</v>
      </c>
      <c r="O12" t="s">
        <v>6288</v>
      </c>
      <c r="P12" t="s">
        <v>6639</v>
      </c>
      <c r="Q12" t="s">
        <v>6640</v>
      </c>
      <c r="R12" s="16" t="s">
        <v>8530</v>
      </c>
      <c r="S12" s="16" t="s">
        <v>8235</v>
      </c>
      <c r="T12" s="4" t="s">
        <v>5742</v>
      </c>
      <c r="U12">
        <v>1</v>
      </c>
    </row>
    <row r="13" spans="1:21">
      <c r="A13">
        <v>21</v>
      </c>
      <c r="B13" s="4" t="s">
        <v>5747</v>
      </c>
      <c r="C13" t="s">
        <v>5717</v>
      </c>
      <c r="D13">
        <v>1197</v>
      </c>
      <c r="E13">
        <v>12</v>
      </c>
      <c r="F13" t="s">
        <v>5727</v>
      </c>
      <c r="G13" t="s">
        <v>5655</v>
      </c>
      <c r="I13" t="s">
        <v>6087</v>
      </c>
      <c r="J13" s="5" t="s">
        <v>9101</v>
      </c>
      <c r="K13" s="11"/>
      <c r="L13">
        <v>1</v>
      </c>
      <c r="M13" t="s">
        <v>5727</v>
      </c>
      <c r="N13" t="s">
        <v>6427</v>
      </c>
      <c r="O13" t="s">
        <v>6288</v>
      </c>
      <c r="P13">
        <v>139640</v>
      </c>
      <c r="Q13">
        <v>480360</v>
      </c>
      <c r="R13" s="16" t="s">
        <v>8532</v>
      </c>
      <c r="S13" s="16" t="s">
        <v>8237</v>
      </c>
      <c r="T13" s="4" t="s">
        <v>5747</v>
      </c>
      <c r="U13">
        <v>1</v>
      </c>
    </row>
    <row r="14" spans="1:21">
      <c r="A14">
        <v>22</v>
      </c>
      <c r="B14" s="4" t="s">
        <v>9350</v>
      </c>
      <c r="C14">
        <v>1142</v>
      </c>
      <c r="D14">
        <v>1142</v>
      </c>
      <c r="E14">
        <v>12</v>
      </c>
      <c r="F14" t="s">
        <v>5739</v>
      </c>
      <c r="G14" t="s">
        <v>5655</v>
      </c>
      <c r="I14" t="s">
        <v>6081</v>
      </c>
      <c r="J14" s="5" t="s">
        <v>9099</v>
      </c>
      <c r="K14" s="11"/>
      <c r="L14">
        <v>1</v>
      </c>
      <c r="M14" t="s">
        <v>6426</v>
      </c>
      <c r="N14" t="s">
        <v>6427</v>
      </c>
      <c r="O14" t="s">
        <v>6288</v>
      </c>
      <c r="P14">
        <v>141990</v>
      </c>
      <c r="Q14">
        <v>480970</v>
      </c>
      <c r="R14" s="16" t="s">
        <v>8533</v>
      </c>
      <c r="S14" s="16" t="s">
        <v>8238</v>
      </c>
      <c r="T14" s="4" t="s">
        <v>5738</v>
      </c>
      <c r="U14">
        <v>1</v>
      </c>
    </row>
    <row r="15" spans="1:21">
      <c r="A15">
        <v>23</v>
      </c>
      <c r="B15" s="4" t="s">
        <v>9351</v>
      </c>
      <c r="C15" t="s">
        <v>5716</v>
      </c>
      <c r="D15">
        <v>1216</v>
      </c>
      <c r="E15">
        <v>13</v>
      </c>
      <c r="F15" t="s">
        <v>5739</v>
      </c>
      <c r="G15" t="s">
        <v>5655</v>
      </c>
      <c r="I15" t="s">
        <v>6082</v>
      </c>
      <c r="J15" s="5" t="s">
        <v>9099</v>
      </c>
      <c r="K15" s="11"/>
      <c r="L15">
        <v>1</v>
      </c>
      <c r="M15" t="s">
        <v>6426</v>
      </c>
      <c r="N15" t="s">
        <v>6427</v>
      </c>
      <c r="O15" t="s">
        <v>6288</v>
      </c>
      <c r="P15">
        <v>141990</v>
      </c>
      <c r="Q15">
        <v>480970</v>
      </c>
      <c r="R15" s="16" t="s">
        <v>8533</v>
      </c>
      <c r="S15" s="16" t="s">
        <v>8238</v>
      </c>
      <c r="T15" s="4" t="s">
        <v>5738</v>
      </c>
      <c r="U15">
        <v>1</v>
      </c>
    </row>
    <row r="16" spans="1:21">
      <c r="A16">
        <v>25</v>
      </c>
      <c r="B16" s="4" t="s">
        <v>9352</v>
      </c>
      <c r="C16">
        <v>1244</v>
      </c>
      <c r="D16">
        <v>1244</v>
      </c>
      <c r="E16">
        <v>13</v>
      </c>
      <c r="F16" t="s">
        <v>5731</v>
      </c>
      <c r="G16" t="s">
        <v>5655</v>
      </c>
      <c r="I16" t="s">
        <v>6090</v>
      </c>
      <c r="J16" s="5" t="s">
        <v>8787</v>
      </c>
      <c r="K16" s="11" t="s">
        <v>8786</v>
      </c>
      <c r="L16">
        <v>0</v>
      </c>
      <c r="R16" s="16" t="s">
        <v>8064</v>
      </c>
      <c r="S16" s="16" t="s">
        <v>8064</v>
      </c>
      <c r="T16" s="4" t="s">
        <v>5756</v>
      </c>
      <c r="U16">
        <v>1</v>
      </c>
    </row>
    <row r="17" spans="1:21">
      <c r="A17">
        <v>28</v>
      </c>
      <c r="B17" s="4" t="s">
        <v>9353</v>
      </c>
      <c r="C17" t="s">
        <v>5764</v>
      </c>
      <c r="D17">
        <v>1268</v>
      </c>
      <c r="E17">
        <v>13</v>
      </c>
      <c r="F17" t="s">
        <v>5641</v>
      </c>
      <c r="G17" t="s">
        <v>5655</v>
      </c>
      <c r="I17" t="s">
        <v>6095</v>
      </c>
      <c r="J17" s="5" t="s">
        <v>8787</v>
      </c>
      <c r="K17" s="11"/>
      <c r="L17">
        <v>0</v>
      </c>
      <c r="R17" s="16" t="s">
        <v>8064</v>
      </c>
      <c r="S17" s="16" t="s">
        <v>8064</v>
      </c>
      <c r="T17" s="4" t="s">
        <v>5756</v>
      </c>
      <c r="U17">
        <v>1</v>
      </c>
    </row>
    <row r="18" spans="1:21">
      <c r="A18">
        <v>29</v>
      </c>
      <c r="B18" s="4" t="s">
        <v>5748</v>
      </c>
      <c r="C18">
        <v>1233</v>
      </c>
      <c r="D18">
        <v>1233</v>
      </c>
      <c r="E18">
        <v>13</v>
      </c>
      <c r="F18" t="s">
        <v>5729</v>
      </c>
      <c r="G18" t="s">
        <v>5655</v>
      </c>
      <c r="I18" t="s">
        <v>6089</v>
      </c>
      <c r="J18" s="5" t="s">
        <v>8785</v>
      </c>
      <c r="K18" s="11"/>
      <c r="L18">
        <v>0</v>
      </c>
      <c r="R18" s="16" t="s">
        <v>8064</v>
      </c>
      <c r="S18" s="16" t="s">
        <v>8064</v>
      </c>
      <c r="T18" s="4" t="s">
        <v>5748</v>
      </c>
      <c r="U18">
        <v>1</v>
      </c>
    </row>
    <row r="19" spans="1:21">
      <c r="A19">
        <v>31</v>
      </c>
      <c r="B19" s="4" t="s">
        <v>5752</v>
      </c>
      <c r="C19">
        <v>1233</v>
      </c>
      <c r="D19">
        <v>1233</v>
      </c>
      <c r="E19">
        <v>13</v>
      </c>
      <c r="F19" t="s">
        <v>5718</v>
      </c>
      <c r="G19" t="s">
        <v>5655</v>
      </c>
      <c r="I19" t="s">
        <v>6089</v>
      </c>
      <c r="J19" s="5" t="s">
        <v>9102</v>
      </c>
      <c r="K19" s="11"/>
      <c r="L19">
        <v>1</v>
      </c>
      <c r="M19" t="s">
        <v>6953</v>
      </c>
      <c r="N19" t="s">
        <v>6954</v>
      </c>
      <c r="O19" t="s">
        <v>6288</v>
      </c>
      <c r="P19" t="s">
        <v>6955</v>
      </c>
      <c r="Q19" t="s">
        <v>6956</v>
      </c>
      <c r="R19" s="16" t="s">
        <v>6955</v>
      </c>
      <c r="S19" s="16" t="s">
        <v>6956</v>
      </c>
      <c r="T19" s="4" t="s">
        <v>5752</v>
      </c>
      <c r="U19">
        <v>1</v>
      </c>
    </row>
    <row r="20" spans="1:21">
      <c r="A20">
        <v>13</v>
      </c>
      <c r="B20" s="4" t="s">
        <v>6014</v>
      </c>
      <c r="C20">
        <v>1212</v>
      </c>
      <c r="D20">
        <v>1212</v>
      </c>
      <c r="E20">
        <v>13</v>
      </c>
      <c r="F20" t="s">
        <v>5728</v>
      </c>
      <c r="G20" t="s">
        <v>5655</v>
      </c>
      <c r="I20" t="s">
        <v>6088</v>
      </c>
      <c r="J20" t="s">
        <v>8668</v>
      </c>
      <c r="L20">
        <v>0</v>
      </c>
      <c r="R20" s="16" t="s">
        <v>8064</v>
      </c>
      <c r="S20" s="16" t="s">
        <v>8064</v>
      </c>
      <c r="T20" s="4" t="s">
        <v>6014</v>
      </c>
      <c r="U20">
        <v>0</v>
      </c>
    </row>
    <row r="21" spans="1:21">
      <c r="A21">
        <v>6</v>
      </c>
      <c r="B21" s="4" t="s">
        <v>5737</v>
      </c>
      <c r="C21">
        <v>1134</v>
      </c>
      <c r="D21">
        <v>1134</v>
      </c>
      <c r="E21">
        <v>12</v>
      </c>
      <c r="F21" t="s">
        <v>5723</v>
      </c>
      <c r="G21" t="s">
        <v>5655</v>
      </c>
      <c r="I21" t="s">
        <v>6080</v>
      </c>
      <c r="J21" t="s">
        <v>8668</v>
      </c>
      <c r="K21" s="11"/>
      <c r="L21">
        <v>1</v>
      </c>
      <c r="M21" t="s">
        <v>5723</v>
      </c>
      <c r="N21" t="s">
        <v>6427</v>
      </c>
      <c r="O21" t="s">
        <v>6288</v>
      </c>
      <c r="P21" t="s">
        <v>6860</v>
      </c>
      <c r="Q21" t="s">
        <v>6861</v>
      </c>
      <c r="R21" s="16" t="s">
        <v>8529</v>
      </c>
      <c r="S21" s="16" t="s">
        <v>8234</v>
      </c>
      <c r="T21" s="4" t="s">
        <v>5737</v>
      </c>
      <c r="U21">
        <v>0</v>
      </c>
    </row>
    <row r="22" spans="1:21">
      <c r="A22">
        <v>18</v>
      </c>
      <c r="B22" s="4" t="s">
        <v>5749</v>
      </c>
      <c r="C22">
        <v>1247</v>
      </c>
      <c r="D22">
        <v>1247</v>
      </c>
      <c r="E22">
        <v>13</v>
      </c>
      <c r="F22" t="s">
        <v>4530</v>
      </c>
      <c r="G22" t="s">
        <v>5655</v>
      </c>
      <c r="I22" t="s">
        <v>6091</v>
      </c>
      <c r="J22" t="s">
        <v>8668</v>
      </c>
      <c r="K22" s="11"/>
      <c r="L22">
        <v>1</v>
      </c>
      <c r="M22" t="s">
        <v>4502</v>
      </c>
      <c r="N22" t="s">
        <v>6456</v>
      </c>
      <c r="O22" t="s">
        <v>104</v>
      </c>
      <c r="P22">
        <v>23522</v>
      </c>
      <c r="Q22">
        <v>488566</v>
      </c>
      <c r="R22" s="16" t="s">
        <v>8364</v>
      </c>
      <c r="S22" s="16" t="s">
        <v>8069</v>
      </c>
      <c r="T22" s="4" t="s">
        <v>5749</v>
      </c>
      <c r="U22">
        <v>0</v>
      </c>
    </row>
    <row r="23" spans="1:21">
      <c r="A23">
        <v>3</v>
      </c>
      <c r="B23" s="4" t="s">
        <v>5735</v>
      </c>
      <c r="C23" t="s">
        <v>5762</v>
      </c>
      <c r="D23">
        <v>1007</v>
      </c>
      <c r="E23">
        <v>11</v>
      </c>
      <c r="F23" t="s">
        <v>5719</v>
      </c>
      <c r="G23" t="s">
        <v>5655</v>
      </c>
      <c r="I23" t="s">
        <v>6077</v>
      </c>
      <c r="J23" t="s">
        <v>8668</v>
      </c>
      <c r="K23" s="11"/>
      <c r="L23">
        <v>1</v>
      </c>
      <c r="M23" t="s">
        <v>5719</v>
      </c>
      <c r="N23" t="s">
        <v>5719</v>
      </c>
      <c r="O23" t="s">
        <v>6288</v>
      </c>
      <c r="P23" t="s">
        <v>6808</v>
      </c>
      <c r="Q23" t="s">
        <v>6809</v>
      </c>
      <c r="R23" s="16" t="s">
        <v>6808</v>
      </c>
      <c r="S23" s="16" t="s">
        <v>6809</v>
      </c>
      <c r="T23" s="4" t="s">
        <v>5735</v>
      </c>
      <c r="U23">
        <v>0</v>
      </c>
    </row>
    <row r="24" spans="1:21">
      <c r="A24">
        <v>32</v>
      </c>
      <c r="B24" s="4" t="s">
        <v>5760</v>
      </c>
      <c r="C24" t="s">
        <v>5767</v>
      </c>
      <c r="D24">
        <v>1300</v>
      </c>
      <c r="E24">
        <v>13</v>
      </c>
      <c r="F24" t="s">
        <v>4502</v>
      </c>
      <c r="G24" t="s">
        <v>5655</v>
      </c>
      <c r="I24" t="s">
        <v>6105</v>
      </c>
      <c r="J24" t="s">
        <v>8668</v>
      </c>
      <c r="K24" s="11"/>
      <c r="L24">
        <v>1</v>
      </c>
      <c r="M24" t="s">
        <v>4502</v>
      </c>
      <c r="N24" t="s">
        <v>6456</v>
      </c>
      <c r="O24" t="s">
        <v>104</v>
      </c>
      <c r="P24">
        <v>23522</v>
      </c>
      <c r="Q24">
        <v>488566</v>
      </c>
      <c r="R24" s="16" t="s">
        <v>8364</v>
      </c>
      <c r="S24" s="16" t="s">
        <v>8069</v>
      </c>
      <c r="T24" s="4" t="s">
        <v>5760</v>
      </c>
      <c r="U24">
        <v>0</v>
      </c>
    </row>
    <row r="25" spans="1:21">
      <c r="A25">
        <v>26</v>
      </c>
      <c r="B25" s="4" t="s">
        <v>5757</v>
      </c>
      <c r="C25">
        <v>1289</v>
      </c>
      <c r="D25">
        <v>1289</v>
      </c>
      <c r="E25">
        <v>13</v>
      </c>
      <c r="F25" t="s">
        <v>5722</v>
      </c>
      <c r="G25" t="s">
        <v>5655</v>
      </c>
      <c r="I25" t="s">
        <v>6100</v>
      </c>
      <c r="J25" t="s">
        <v>8668</v>
      </c>
      <c r="K25" s="11"/>
      <c r="L25">
        <v>1</v>
      </c>
      <c r="M25" t="s">
        <v>5722</v>
      </c>
      <c r="N25" t="s">
        <v>6295</v>
      </c>
      <c r="O25" t="s">
        <v>11</v>
      </c>
      <c r="P25" t="s">
        <v>6881</v>
      </c>
      <c r="Q25" t="s">
        <v>6882</v>
      </c>
      <c r="R25" s="16" t="s">
        <v>8528</v>
      </c>
      <c r="S25" s="16" t="s">
        <v>8233</v>
      </c>
      <c r="T25" s="4" t="s">
        <v>5757</v>
      </c>
      <c r="U25">
        <v>0</v>
      </c>
    </row>
    <row r="26" spans="1:21">
      <c r="A26">
        <v>27</v>
      </c>
      <c r="B26" s="4" t="s">
        <v>5758</v>
      </c>
      <c r="C26">
        <v>1290</v>
      </c>
      <c r="D26">
        <v>1290</v>
      </c>
      <c r="E26">
        <v>13</v>
      </c>
      <c r="F26" t="s">
        <v>1444</v>
      </c>
      <c r="G26" t="s">
        <v>5655</v>
      </c>
      <c r="I26" t="s">
        <v>6101</v>
      </c>
      <c r="J26" t="s">
        <v>8668</v>
      </c>
      <c r="K26" s="11"/>
      <c r="L26">
        <v>0</v>
      </c>
      <c r="R26" s="16" t="s">
        <v>8064</v>
      </c>
      <c r="S26" s="16" t="s">
        <v>8064</v>
      </c>
      <c r="T26" s="4" t="s">
        <v>5758</v>
      </c>
      <c r="U26">
        <v>0</v>
      </c>
    </row>
    <row r="27" spans="1:21">
      <c r="A27">
        <v>30</v>
      </c>
      <c r="B27" s="4" t="s">
        <v>5753</v>
      </c>
      <c r="C27">
        <v>1300</v>
      </c>
      <c r="D27">
        <v>1300</v>
      </c>
      <c r="E27">
        <v>13</v>
      </c>
      <c r="F27" t="s">
        <v>5718</v>
      </c>
      <c r="G27" t="s">
        <v>5655</v>
      </c>
      <c r="I27" t="s">
        <v>6131</v>
      </c>
      <c r="J27" t="s">
        <v>8668</v>
      </c>
      <c r="L27">
        <v>1</v>
      </c>
      <c r="M27" t="s">
        <v>6953</v>
      </c>
      <c r="N27" t="s">
        <v>6954</v>
      </c>
      <c r="O27" t="s">
        <v>6288</v>
      </c>
      <c r="P27" t="s">
        <v>6955</v>
      </c>
      <c r="Q27" t="s">
        <v>6956</v>
      </c>
      <c r="R27" s="16" t="s">
        <v>6955</v>
      </c>
      <c r="S27" s="16" t="s">
        <v>6956</v>
      </c>
      <c r="T27" s="4" t="s">
        <v>5753</v>
      </c>
      <c r="U27">
        <v>0</v>
      </c>
    </row>
    <row r="28" spans="1:21">
      <c r="A28">
        <v>8</v>
      </c>
      <c r="B28" s="4" t="s">
        <v>5740</v>
      </c>
      <c r="C28">
        <v>1143</v>
      </c>
      <c r="D28">
        <v>1143</v>
      </c>
      <c r="E28">
        <v>12</v>
      </c>
      <c r="F28" t="s">
        <v>5724</v>
      </c>
      <c r="G28" t="s">
        <v>5655</v>
      </c>
      <c r="I28" t="s">
        <v>6083</v>
      </c>
      <c r="J28" t="s">
        <v>8668</v>
      </c>
      <c r="L28">
        <v>0</v>
      </c>
      <c r="R28" s="16" t="s">
        <v>8064</v>
      </c>
      <c r="S28" s="16" t="s">
        <v>8064</v>
      </c>
      <c r="T28" s="4" t="s">
        <v>5740</v>
      </c>
      <c r="U28">
        <v>0</v>
      </c>
    </row>
    <row r="29" spans="1:21">
      <c r="A29">
        <v>11</v>
      </c>
      <c r="B29" s="4" t="s">
        <v>5746</v>
      </c>
      <c r="C29">
        <v>1181</v>
      </c>
      <c r="D29">
        <v>1181</v>
      </c>
      <c r="E29">
        <v>12</v>
      </c>
      <c r="F29" t="s">
        <v>5721</v>
      </c>
      <c r="G29" t="s">
        <v>5655</v>
      </c>
      <c r="I29" t="s">
        <v>6086</v>
      </c>
      <c r="J29" t="s">
        <v>8668</v>
      </c>
      <c r="K29" s="11"/>
      <c r="L29">
        <v>1</v>
      </c>
      <c r="M29" t="s">
        <v>5721</v>
      </c>
      <c r="N29" t="s">
        <v>6427</v>
      </c>
      <c r="O29" t="s">
        <v>6288</v>
      </c>
      <c r="P29" t="s">
        <v>6544</v>
      </c>
      <c r="Q29" t="s">
        <v>6545</v>
      </c>
      <c r="R29" s="16" t="s">
        <v>8535</v>
      </c>
      <c r="S29" s="16" t="s">
        <v>8240</v>
      </c>
      <c r="T29" s="4" t="s">
        <v>5746</v>
      </c>
      <c r="U29">
        <v>0</v>
      </c>
    </row>
    <row r="30" spans="1:21">
      <c r="A30">
        <v>24</v>
      </c>
      <c r="B30" s="4" t="s">
        <v>5754</v>
      </c>
      <c r="C30">
        <v>1285</v>
      </c>
      <c r="D30">
        <v>1285</v>
      </c>
      <c r="E30">
        <v>13</v>
      </c>
      <c r="F30" t="s">
        <v>5732</v>
      </c>
      <c r="G30" t="s">
        <v>5655</v>
      </c>
      <c r="I30" t="s">
        <v>6098</v>
      </c>
      <c r="J30" t="s">
        <v>8668</v>
      </c>
      <c r="K30" s="11"/>
      <c r="L30">
        <v>1</v>
      </c>
      <c r="M30" t="s">
        <v>5732</v>
      </c>
      <c r="N30" t="s">
        <v>6287</v>
      </c>
      <c r="O30" t="s">
        <v>6288</v>
      </c>
      <c r="P30" t="s">
        <v>6926</v>
      </c>
      <c r="Q30" t="s">
        <v>6927</v>
      </c>
      <c r="R30" s="16" t="s">
        <v>8527</v>
      </c>
      <c r="S30" s="16" t="s">
        <v>8232</v>
      </c>
      <c r="T30" s="4" t="s">
        <v>5754</v>
      </c>
      <c r="U30">
        <v>0</v>
      </c>
    </row>
    <row r="31" spans="1:21">
      <c r="A31">
        <v>9</v>
      </c>
      <c r="B31" s="4" t="s">
        <v>5741</v>
      </c>
      <c r="C31">
        <v>1175</v>
      </c>
      <c r="D31">
        <v>1175</v>
      </c>
      <c r="E31">
        <v>12</v>
      </c>
      <c r="F31" t="s">
        <v>1444</v>
      </c>
      <c r="G31" t="s">
        <v>5655</v>
      </c>
      <c r="I31" t="s">
        <v>6084</v>
      </c>
      <c r="J31" t="s">
        <v>8668</v>
      </c>
      <c r="K31" s="11"/>
      <c r="L31">
        <v>0</v>
      </c>
      <c r="R31" s="16" t="s">
        <v>8064</v>
      </c>
      <c r="S31" s="16" t="s">
        <v>8064</v>
      </c>
      <c r="T31" s="4" t="s">
        <v>5741</v>
      </c>
      <c r="U31">
        <v>0</v>
      </c>
    </row>
    <row r="32" spans="1:21">
      <c r="A32">
        <v>2</v>
      </c>
      <c r="B32" s="4" t="s">
        <v>5734</v>
      </c>
      <c r="C32" t="s">
        <v>5761</v>
      </c>
      <c r="D32">
        <v>974</v>
      </c>
      <c r="E32">
        <v>10</v>
      </c>
      <c r="F32" t="s">
        <v>5719</v>
      </c>
      <c r="G32" t="s">
        <v>5655</v>
      </c>
      <c r="I32" t="s">
        <v>6076</v>
      </c>
      <c r="J32" t="s">
        <v>8668</v>
      </c>
      <c r="K32" s="11"/>
      <c r="L32">
        <v>1</v>
      </c>
      <c r="M32" t="s">
        <v>5719</v>
      </c>
      <c r="N32" t="s">
        <v>5719</v>
      </c>
      <c r="O32" t="s">
        <v>6288</v>
      </c>
      <c r="P32" t="s">
        <v>6808</v>
      </c>
      <c r="Q32" t="s">
        <v>6809</v>
      </c>
      <c r="R32" s="16" t="s">
        <v>6808</v>
      </c>
      <c r="S32" s="16" t="s">
        <v>6809</v>
      </c>
      <c r="T32" s="4" t="s">
        <v>5734</v>
      </c>
      <c r="U32">
        <v>0</v>
      </c>
    </row>
    <row r="33" spans="1:21">
      <c r="A33">
        <v>20</v>
      </c>
      <c r="B33" s="4" t="s">
        <v>5751</v>
      </c>
      <c r="C33">
        <v>1263</v>
      </c>
      <c r="D33">
        <v>1263</v>
      </c>
      <c r="E33">
        <v>13</v>
      </c>
      <c r="F33" t="s">
        <v>5731</v>
      </c>
      <c r="G33" t="s">
        <v>5655</v>
      </c>
      <c r="I33" t="s">
        <v>6093</v>
      </c>
      <c r="J33" t="s">
        <v>8668</v>
      </c>
      <c r="K33" s="11"/>
      <c r="L33">
        <v>0</v>
      </c>
      <c r="R33" s="16" t="s">
        <v>8064</v>
      </c>
      <c r="S33" s="16" t="s">
        <v>8064</v>
      </c>
      <c r="T33" s="4" t="s">
        <v>5751</v>
      </c>
      <c r="U33">
        <v>0</v>
      </c>
    </row>
    <row r="34" spans="1:21">
      <c r="A34">
        <v>35</v>
      </c>
      <c r="B34" s="4" t="s">
        <v>6019</v>
      </c>
      <c r="C34">
        <v>1280</v>
      </c>
      <c r="D34">
        <v>1280</v>
      </c>
      <c r="E34">
        <v>13</v>
      </c>
      <c r="F34" t="s">
        <v>4549</v>
      </c>
      <c r="G34" t="s">
        <v>6015</v>
      </c>
      <c r="I34" t="s">
        <v>6109</v>
      </c>
      <c r="J34" t="s">
        <v>8668</v>
      </c>
      <c r="L34">
        <v>1</v>
      </c>
      <c r="M34" t="s">
        <v>4549</v>
      </c>
      <c r="N34" t="s">
        <v>6345</v>
      </c>
      <c r="O34" t="s">
        <v>104</v>
      </c>
      <c r="P34">
        <v>38770</v>
      </c>
      <c r="Q34">
        <v>436110</v>
      </c>
      <c r="R34" s="16" t="s">
        <v>8538</v>
      </c>
      <c r="S34" s="16" t="s">
        <v>8243</v>
      </c>
      <c r="T34" s="4" t="s">
        <v>6019</v>
      </c>
      <c r="U34">
        <v>0</v>
      </c>
    </row>
    <row r="35" spans="1:21">
      <c r="A35">
        <v>34</v>
      </c>
      <c r="B35" s="4" t="s">
        <v>6018</v>
      </c>
      <c r="C35" t="s">
        <v>6016</v>
      </c>
      <c r="D35">
        <v>1180</v>
      </c>
      <c r="E35">
        <v>12</v>
      </c>
      <c r="F35" t="s">
        <v>6017</v>
      </c>
      <c r="G35" t="s">
        <v>6015</v>
      </c>
      <c r="I35" t="s">
        <v>6108</v>
      </c>
      <c r="J35" t="s">
        <v>8668</v>
      </c>
      <c r="L35">
        <v>1</v>
      </c>
      <c r="M35" t="s">
        <v>6017</v>
      </c>
      <c r="N35" t="s">
        <v>6287</v>
      </c>
      <c r="O35" t="s">
        <v>6288</v>
      </c>
      <c r="P35" t="s">
        <v>6843</v>
      </c>
      <c r="Q35" t="s">
        <v>6844</v>
      </c>
      <c r="R35" s="16" t="s">
        <v>8537</v>
      </c>
      <c r="S35" s="16" t="s">
        <v>8242</v>
      </c>
      <c r="T35" s="4" t="s">
        <v>6018</v>
      </c>
      <c r="U35">
        <v>0</v>
      </c>
    </row>
    <row r="36" spans="1:21">
      <c r="A36">
        <v>36</v>
      </c>
      <c r="B36" s="4" t="s">
        <v>6135</v>
      </c>
      <c r="C36" t="s">
        <v>6031</v>
      </c>
      <c r="D36">
        <v>1050</v>
      </c>
      <c r="E36">
        <v>11</v>
      </c>
      <c r="F36" t="s">
        <v>5719</v>
      </c>
      <c r="G36" t="s">
        <v>6030</v>
      </c>
      <c r="H36">
        <v>143</v>
      </c>
      <c r="I36" t="s">
        <v>6114</v>
      </c>
      <c r="J36" s="4" t="s">
        <v>8668</v>
      </c>
      <c r="K36" s="4"/>
      <c r="L36">
        <v>1</v>
      </c>
      <c r="M36" t="s">
        <v>5719</v>
      </c>
      <c r="N36" t="s">
        <v>5719</v>
      </c>
      <c r="O36" t="s">
        <v>6288</v>
      </c>
      <c r="P36" t="s">
        <v>6808</v>
      </c>
      <c r="Q36" t="s">
        <v>6809</v>
      </c>
      <c r="R36" s="16" t="s">
        <v>6808</v>
      </c>
      <c r="S36" s="16" t="s">
        <v>6809</v>
      </c>
      <c r="T36" s="4" t="s">
        <v>6135</v>
      </c>
      <c r="U36">
        <v>0</v>
      </c>
    </row>
    <row r="37" spans="1:21">
      <c r="A37">
        <v>37</v>
      </c>
      <c r="B37" s="4" t="s">
        <v>6134</v>
      </c>
      <c r="C37" t="s">
        <v>6032</v>
      </c>
      <c r="D37">
        <v>1160</v>
      </c>
      <c r="E37">
        <v>12</v>
      </c>
      <c r="F37" t="s">
        <v>5719</v>
      </c>
      <c r="G37" t="s">
        <v>6033</v>
      </c>
      <c r="H37">
        <v>144</v>
      </c>
      <c r="I37" t="s">
        <v>6111</v>
      </c>
      <c r="J37" t="s">
        <v>8668</v>
      </c>
      <c r="L37">
        <v>1</v>
      </c>
      <c r="M37" t="s">
        <v>5719</v>
      </c>
      <c r="N37" t="s">
        <v>5719</v>
      </c>
      <c r="O37" t="s">
        <v>6288</v>
      </c>
      <c r="P37" t="s">
        <v>6808</v>
      </c>
      <c r="Q37" t="s">
        <v>6809</v>
      </c>
      <c r="R37" s="16" t="s">
        <v>6808</v>
      </c>
      <c r="S37" s="16" t="s">
        <v>6809</v>
      </c>
      <c r="T37" s="4" t="s">
        <v>8021</v>
      </c>
      <c r="U37">
        <v>0</v>
      </c>
    </row>
    <row r="38" spans="1:21">
      <c r="A38">
        <v>38</v>
      </c>
      <c r="B38" s="4" t="s">
        <v>6133</v>
      </c>
      <c r="C38" t="s">
        <v>6026</v>
      </c>
      <c r="D38">
        <v>934</v>
      </c>
      <c r="E38">
        <v>10</v>
      </c>
      <c r="F38" t="s">
        <v>5719</v>
      </c>
      <c r="G38" t="s">
        <v>6027</v>
      </c>
      <c r="H38">
        <v>146</v>
      </c>
      <c r="I38" t="s">
        <v>6110</v>
      </c>
      <c r="J38" t="s">
        <v>8668</v>
      </c>
      <c r="L38">
        <v>1</v>
      </c>
      <c r="M38" t="s">
        <v>5719</v>
      </c>
      <c r="N38" t="s">
        <v>5719</v>
      </c>
      <c r="O38" t="s">
        <v>6288</v>
      </c>
      <c r="P38" t="s">
        <v>6808</v>
      </c>
      <c r="Q38" t="s">
        <v>6809</v>
      </c>
      <c r="R38" s="16" t="s">
        <v>6808</v>
      </c>
      <c r="S38" s="16" t="s">
        <v>6809</v>
      </c>
      <c r="T38" s="4" t="s">
        <v>6133</v>
      </c>
      <c r="U38">
        <v>0</v>
      </c>
    </row>
    <row r="39" spans="1:21">
      <c r="A39">
        <v>39</v>
      </c>
      <c r="B39" s="4" t="s">
        <v>6132</v>
      </c>
      <c r="C39" t="s">
        <v>6029</v>
      </c>
      <c r="D39">
        <v>969</v>
      </c>
      <c r="E39">
        <v>10</v>
      </c>
      <c r="F39" t="s">
        <v>5719</v>
      </c>
      <c r="G39" t="s">
        <v>6028</v>
      </c>
      <c r="H39">
        <v>147</v>
      </c>
      <c r="I39" t="s">
        <v>6113</v>
      </c>
      <c r="J39" t="s">
        <v>8668</v>
      </c>
      <c r="K39" s="4"/>
      <c r="L39">
        <v>1</v>
      </c>
      <c r="M39" t="s">
        <v>5719</v>
      </c>
      <c r="N39" t="s">
        <v>5719</v>
      </c>
      <c r="O39" t="s">
        <v>6288</v>
      </c>
      <c r="P39" t="s">
        <v>6808</v>
      </c>
      <c r="Q39" t="s">
        <v>6809</v>
      </c>
      <c r="R39" s="16" t="s">
        <v>6808</v>
      </c>
      <c r="S39" s="16" t="s">
        <v>6809</v>
      </c>
      <c r="T39" s="4" t="s">
        <v>8022</v>
      </c>
      <c r="U39">
        <v>0</v>
      </c>
    </row>
    <row r="40" spans="1:21">
      <c r="A40">
        <v>40</v>
      </c>
      <c r="B40" s="4" t="s">
        <v>7667</v>
      </c>
      <c r="C40">
        <v>1299</v>
      </c>
      <c r="D40">
        <v>1299</v>
      </c>
      <c r="E40">
        <v>13</v>
      </c>
      <c r="F40" t="s">
        <v>1444</v>
      </c>
      <c r="G40" t="s">
        <v>6034</v>
      </c>
      <c r="H40">
        <v>281</v>
      </c>
      <c r="I40" t="s">
        <v>6112</v>
      </c>
      <c r="J40" t="s">
        <v>8668</v>
      </c>
      <c r="L40">
        <v>0</v>
      </c>
      <c r="R40" s="16" t="s">
        <v>8064</v>
      </c>
      <c r="S40" s="16" t="s">
        <v>8064</v>
      </c>
      <c r="T40" s="4" t="s">
        <v>7667</v>
      </c>
      <c r="U40">
        <v>0</v>
      </c>
    </row>
    <row r="41" spans="1:21">
      <c r="A41">
        <v>41</v>
      </c>
      <c r="B41" s="4" t="s">
        <v>6022</v>
      </c>
      <c r="C41">
        <v>1225</v>
      </c>
      <c r="D41">
        <v>1225</v>
      </c>
      <c r="E41">
        <v>13</v>
      </c>
      <c r="F41" t="s">
        <v>6023</v>
      </c>
      <c r="G41" t="s">
        <v>6024</v>
      </c>
      <c r="I41" t="s">
        <v>6025</v>
      </c>
      <c r="J41" s="4" t="s">
        <v>5637</v>
      </c>
      <c r="K41" s="4"/>
      <c r="L41">
        <v>1</v>
      </c>
      <c r="M41" t="s">
        <v>6023</v>
      </c>
      <c r="N41" t="s">
        <v>6718</v>
      </c>
      <c r="O41" t="s">
        <v>6719</v>
      </c>
      <c r="P41" t="s">
        <v>6720</v>
      </c>
      <c r="Q41" t="s">
        <v>6721</v>
      </c>
      <c r="R41" s="16" t="s">
        <v>8539</v>
      </c>
      <c r="S41" s="16" t="s">
        <v>8244</v>
      </c>
      <c r="T41" s="4" t="s">
        <v>6022</v>
      </c>
      <c r="U41">
        <v>1</v>
      </c>
    </row>
    <row r="42" spans="1:21">
      <c r="A42">
        <v>42</v>
      </c>
      <c r="B42" s="4" t="s">
        <v>2253</v>
      </c>
      <c r="C42">
        <v>1296</v>
      </c>
      <c r="D42">
        <v>1296</v>
      </c>
      <c r="E42">
        <v>13</v>
      </c>
      <c r="F42" t="s">
        <v>6052</v>
      </c>
      <c r="G42" t="s">
        <v>5651</v>
      </c>
      <c r="I42" t="s">
        <v>6020</v>
      </c>
      <c r="J42" s="5" t="s">
        <v>5637</v>
      </c>
      <c r="K42" t="s">
        <v>5638</v>
      </c>
      <c r="L42">
        <v>0</v>
      </c>
      <c r="R42" s="16" t="s">
        <v>8064</v>
      </c>
      <c r="S42" s="16" t="s">
        <v>8064</v>
      </c>
      <c r="T42" s="4" t="s">
        <v>2253</v>
      </c>
      <c r="U42">
        <v>1</v>
      </c>
    </row>
    <row r="43" spans="1:21">
      <c r="A43">
        <v>43</v>
      </c>
      <c r="B43" s="4" t="s">
        <v>2254</v>
      </c>
      <c r="C43">
        <v>1216</v>
      </c>
      <c r="D43">
        <v>1216</v>
      </c>
      <c r="E43">
        <v>13</v>
      </c>
      <c r="F43" t="s">
        <v>5634</v>
      </c>
      <c r="G43" t="s">
        <v>5652</v>
      </c>
      <c r="I43" t="s">
        <v>6038</v>
      </c>
      <c r="J43" s="4" t="s">
        <v>5635</v>
      </c>
      <c r="K43" s="4"/>
      <c r="L43">
        <v>1</v>
      </c>
      <c r="M43" t="s">
        <v>5634</v>
      </c>
      <c r="N43" t="s">
        <v>6287</v>
      </c>
      <c r="O43" t="s">
        <v>6288</v>
      </c>
      <c r="P43" t="s">
        <v>6865</v>
      </c>
      <c r="Q43" t="s">
        <v>6866</v>
      </c>
      <c r="R43" s="16" t="s">
        <v>8540</v>
      </c>
      <c r="S43" s="16" t="s">
        <v>8245</v>
      </c>
      <c r="T43" s="4" t="s">
        <v>2254</v>
      </c>
      <c r="U43">
        <v>1</v>
      </c>
    </row>
    <row r="44" spans="1:21">
      <c r="A44">
        <v>47</v>
      </c>
      <c r="B44" s="4" t="s">
        <v>6136</v>
      </c>
      <c r="C44">
        <v>1285</v>
      </c>
      <c r="D44">
        <v>1285</v>
      </c>
      <c r="E44">
        <v>13</v>
      </c>
      <c r="F44" t="s">
        <v>6045</v>
      </c>
      <c r="G44" t="s">
        <v>6070</v>
      </c>
      <c r="H44">
        <v>16</v>
      </c>
      <c r="I44" t="s">
        <v>6128</v>
      </c>
      <c r="J44" t="s">
        <v>8668</v>
      </c>
      <c r="L44">
        <v>1</v>
      </c>
      <c r="M44" t="s">
        <v>6562</v>
      </c>
      <c r="N44" t="s">
        <v>6287</v>
      </c>
      <c r="O44" t="s">
        <v>6288</v>
      </c>
      <c r="P44" t="s">
        <v>6563</v>
      </c>
      <c r="Q44" t="s">
        <v>6564</v>
      </c>
      <c r="R44" s="16" t="s">
        <v>8542</v>
      </c>
      <c r="S44" s="16" t="s">
        <v>8248</v>
      </c>
      <c r="T44" s="4" t="s">
        <v>6136</v>
      </c>
      <c r="U44">
        <v>0</v>
      </c>
    </row>
    <row r="45" spans="1:21">
      <c r="A45">
        <v>44</v>
      </c>
      <c r="B45" s="4" t="s">
        <v>6138</v>
      </c>
      <c r="C45" t="s">
        <v>6040</v>
      </c>
      <c r="D45">
        <v>1155</v>
      </c>
      <c r="E45">
        <v>12</v>
      </c>
      <c r="F45" t="s">
        <v>5719</v>
      </c>
      <c r="G45" t="s">
        <v>6056</v>
      </c>
      <c r="H45">
        <v>10</v>
      </c>
      <c r="I45" t="s">
        <v>6118</v>
      </c>
      <c r="J45" s="5" t="s">
        <v>9105</v>
      </c>
      <c r="L45">
        <v>1</v>
      </c>
      <c r="M45" t="s">
        <v>5719</v>
      </c>
      <c r="N45" t="s">
        <v>5719</v>
      </c>
      <c r="O45" t="s">
        <v>6288</v>
      </c>
      <c r="P45" t="s">
        <v>6808</v>
      </c>
      <c r="Q45" t="s">
        <v>6809</v>
      </c>
      <c r="R45" s="16" t="s">
        <v>6808</v>
      </c>
      <c r="S45" s="16" t="s">
        <v>6809</v>
      </c>
      <c r="T45" s="4" t="s">
        <v>6138</v>
      </c>
      <c r="U45">
        <v>1</v>
      </c>
    </row>
    <row r="46" spans="1:21">
      <c r="A46">
        <v>45</v>
      </c>
      <c r="B46" s="4" t="s">
        <v>6150</v>
      </c>
      <c r="C46" t="s">
        <v>6040</v>
      </c>
      <c r="D46">
        <v>1155</v>
      </c>
      <c r="E46">
        <v>12</v>
      </c>
      <c r="F46" t="s">
        <v>5719</v>
      </c>
      <c r="G46" t="s">
        <v>6057</v>
      </c>
      <c r="H46">
        <v>11</v>
      </c>
      <c r="I46" t="s">
        <v>6120</v>
      </c>
      <c r="J46" s="5" t="s">
        <v>9106</v>
      </c>
      <c r="L46">
        <v>1</v>
      </c>
      <c r="M46" t="s">
        <v>5719</v>
      </c>
      <c r="N46" t="s">
        <v>5719</v>
      </c>
      <c r="O46" t="s">
        <v>6288</v>
      </c>
      <c r="P46" t="s">
        <v>6808</v>
      </c>
      <c r="Q46" t="s">
        <v>6809</v>
      </c>
      <c r="R46" s="16" t="s">
        <v>6808</v>
      </c>
      <c r="S46" s="16" t="s">
        <v>6809</v>
      </c>
      <c r="T46" s="4" t="s">
        <v>6150</v>
      </c>
      <c r="U46">
        <v>1</v>
      </c>
    </row>
    <row r="47" spans="1:21">
      <c r="A47">
        <v>52</v>
      </c>
      <c r="B47" s="4" t="s">
        <v>6145</v>
      </c>
      <c r="C47" t="s">
        <v>6042</v>
      </c>
      <c r="D47">
        <v>1193</v>
      </c>
      <c r="E47">
        <v>12</v>
      </c>
      <c r="F47" t="s">
        <v>5732</v>
      </c>
      <c r="G47" t="s">
        <v>6062</v>
      </c>
      <c r="H47">
        <v>260</v>
      </c>
      <c r="I47" t="s">
        <v>6119</v>
      </c>
      <c r="J47" t="s">
        <v>9107</v>
      </c>
      <c r="L47">
        <v>1</v>
      </c>
      <c r="M47" t="s">
        <v>5732</v>
      </c>
      <c r="N47" t="s">
        <v>6287</v>
      </c>
      <c r="O47" t="s">
        <v>6288</v>
      </c>
      <c r="P47" t="s">
        <v>6926</v>
      </c>
      <c r="Q47" t="s">
        <v>6927</v>
      </c>
      <c r="R47" s="16" t="s">
        <v>8527</v>
      </c>
      <c r="S47" s="16" t="s">
        <v>8232</v>
      </c>
      <c r="T47" s="4" t="s">
        <v>6145</v>
      </c>
      <c r="U47">
        <v>1</v>
      </c>
    </row>
    <row r="48" spans="1:21">
      <c r="A48">
        <v>54</v>
      </c>
      <c r="B48" s="4" t="s">
        <v>6137</v>
      </c>
      <c r="C48" t="s">
        <v>6048</v>
      </c>
      <c r="D48">
        <v>1205</v>
      </c>
      <c r="E48">
        <v>13</v>
      </c>
      <c r="F48" t="s">
        <v>5642</v>
      </c>
      <c r="G48" t="s">
        <v>6065</v>
      </c>
      <c r="H48">
        <v>27</v>
      </c>
      <c r="I48" t="s">
        <v>6123</v>
      </c>
      <c r="J48" s="5" t="s">
        <v>9108</v>
      </c>
      <c r="L48">
        <v>1</v>
      </c>
      <c r="M48" t="s">
        <v>5642</v>
      </c>
      <c r="N48" t="s">
        <v>6287</v>
      </c>
      <c r="O48" t="s">
        <v>6288</v>
      </c>
      <c r="P48">
        <v>144560</v>
      </c>
      <c r="Q48">
        <v>475790</v>
      </c>
      <c r="R48" s="16" t="s">
        <v>8543</v>
      </c>
      <c r="S48" s="16" t="s">
        <v>8249</v>
      </c>
      <c r="T48" s="4" t="s">
        <v>6137</v>
      </c>
      <c r="U48">
        <v>1</v>
      </c>
    </row>
    <row r="49" spans="1:21">
      <c r="A49">
        <v>55</v>
      </c>
      <c r="B49" s="4" t="s">
        <v>2250</v>
      </c>
      <c r="C49">
        <v>1162</v>
      </c>
      <c r="D49">
        <v>1162</v>
      </c>
      <c r="E49">
        <v>12</v>
      </c>
      <c r="F49" t="s">
        <v>5645</v>
      </c>
      <c r="G49" t="s">
        <v>6059</v>
      </c>
      <c r="H49">
        <v>40</v>
      </c>
      <c r="I49" t="s">
        <v>6036</v>
      </c>
      <c r="J49" s="5" t="s">
        <v>5646</v>
      </c>
      <c r="K49" t="s">
        <v>5647</v>
      </c>
      <c r="L49">
        <v>0</v>
      </c>
      <c r="R49" s="16" t="s">
        <v>8064</v>
      </c>
      <c r="S49" s="16" t="s">
        <v>8064</v>
      </c>
      <c r="T49" s="4" t="s">
        <v>2250</v>
      </c>
      <c r="U49">
        <v>1</v>
      </c>
    </row>
    <row r="50" spans="1:21">
      <c r="A50">
        <v>56</v>
      </c>
      <c r="B50" s="11" t="s">
        <v>2248</v>
      </c>
      <c r="C50">
        <v>1180</v>
      </c>
      <c r="D50">
        <v>1180</v>
      </c>
      <c r="E50">
        <v>12</v>
      </c>
      <c r="F50" t="s">
        <v>5642</v>
      </c>
      <c r="G50" t="s">
        <v>6061</v>
      </c>
      <c r="H50">
        <v>6</v>
      </c>
      <c r="I50" t="s">
        <v>6075</v>
      </c>
      <c r="J50" s="5" t="s">
        <v>5608</v>
      </c>
      <c r="K50" s="5" t="s">
        <v>5609</v>
      </c>
      <c r="L50">
        <v>1</v>
      </c>
      <c r="M50" t="s">
        <v>5642</v>
      </c>
      <c r="N50" t="s">
        <v>6287</v>
      </c>
      <c r="O50" t="s">
        <v>6288</v>
      </c>
      <c r="P50">
        <v>144560</v>
      </c>
      <c r="Q50">
        <v>475790</v>
      </c>
      <c r="R50" s="16" t="s">
        <v>8543</v>
      </c>
      <c r="S50" s="16" t="s">
        <v>8249</v>
      </c>
      <c r="T50" s="11" t="s">
        <v>2248</v>
      </c>
      <c r="U50">
        <v>1</v>
      </c>
    </row>
    <row r="51" spans="1:21">
      <c r="A51">
        <v>57</v>
      </c>
      <c r="B51" s="4" t="s">
        <v>6139</v>
      </c>
      <c r="C51" t="s">
        <v>6041</v>
      </c>
      <c r="D51">
        <v>1167</v>
      </c>
      <c r="E51">
        <v>12</v>
      </c>
      <c r="F51" t="s">
        <v>5642</v>
      </c>
      <c r="G51" t="s">
        <v>5650</v>
      </c>
      <c r="H51">
        <v>61</v>
      </c>
      <c r="I51" t="s">
        <v>6116</v>
      </c>
      <c r="J51" s="5" t="s">
        <v>9109</v>
      </c>
      <c r="L51">
        <v>1</v>
      </c>
      <c r="M51" t="s">
        <v>5642</v>
      </c>
      <c r="N51" t="s">
        <v>6287</v>
      </c>
      <c r="O51" t="s">
        <v>6288</v>
      </c>
      <c r="P51">
        <v>144560</v>
      </c>
      <c r="Q51">
        <v>475790</v>
      </c>
      <c r="R51" s="16" t="s">
        <v>8543</v>
      </c>
      <c r="S51" s="16" t="s">
        <v>8249</v>
      </c>
      <c r="T51" s="4" t="s">
        <v>6139</v>
      </c>
      <c r="U51">
        <v>1</v>
      </c>
    </row>
    <row r="52" spans="1:21">
      <c r="A52">
        <v>58</v>
      </c>
      <c r="B52" s="4" t="s">
        <v>6140</v>
      </c>
      <c r="C52" t="s">
        <v>6047</v>
      </c>
      <c r="D52">
        <v>1236</v>
      </c>
      <c r="E52">
        <v>13</v>
      </c>
      <c r="F52" t="s">
        <v>5642</v>
      </c>
      <c r="G52" t="s">
        <v>6068</v>
      </c>
      <c r="H52">
        <v>66</v>
      </c>
      <c r="I52" t="s">
        <v>6124</v>
      </c>
      <c r="J52" s="5" t="s">
        <v>9110</v>
      </c>
      <c r="L52">
        <v>1</v>
      </c>
      <c r="M52" t="s">
        <v>5642</v>
      </c>
      <c r="N52" t="s">
        <v>6287</v>
      </c>
      <c r="O52" t="s">
        <v>6288</v>
      </c>
      <c r="P52">
        <v>144560</v>
      </c>
      <c r="Q52">
        <v>475790</v>
      </c>
      <c r="R52" s="16" t="s">
        <v>8543</v>
      </c>
      <c r="S52" s="16" t="s">
        <v>8249</v>
      </c>
      <c r="T52" s="4" t="s">
        <v>7898</v>
      </c>
      <c r="U52">
        <v>1</v>
      </c>
    </row>
    <row r="53" spans="1:21">
      <c r="A53">
        <v>59</v>
      </c>
      <c r="B53" s="4" t="s">
        <v>9354</v>
      </c>
      <c r="C53">
        <v>1259</v>
      </c>
      <c r="D53">
        <v>1259</v>
      </c>
      <c r="E53">
        <v>13</v>
      </c>
      <c r="F53" t="s">
        <v>5642</v>
      </c>
      <c r="G53" t="s">
        <v>6068</v>
      </c>
      <c r="H53">
        <v>66</v>
      </c>
      <c r="I53" t="s">
        <v>6125</v>
      </c>
      <c r="J53" s="5" t="s">
        <v>9110</v>
      </c>
      <c r="L53">
        <v>1</v>
      </c>
      <c r="M53" t="s">
        <v>5642</v>
      </c>
      <c r="N53" t="s">
        <v>6287</v>
      </c>
      <c r="O53" t="s">
        <v>6288</v>
      </c>
      <c r="P53">
        <v>144560</v>
      </c>
      <c r="Q53">
        <v>475790</v>
      </c>
      <c r="R53" s="16" t="s">
        <v>8543</v>
      </c>
      <c r="S53" s="16" t="s">
        <v>8249</v>
      </c>
      <c r="T53" s="4" t="s">
        <v>7898</v>
      </c>
      <c r="U53">
        <v>1</v>
      </c>
    </row>
    <row r="54" spans="1:21">
      <c r="A54">
        <v>60</v>
      </c>
      <c r="B54" s="4" t="s">
        <v>2251</v>
      </c>
      <c r="C54">
        <v>1205</v>
      </c>
      <c r="D54">
        <v>1205</v>
      </c>
      <c r="E54">
        <v>13</v>
      </c>
      <c r="F54" t="s">
        <v>5642</v>
      </c>
      <c r="G54" t="s">
        <v>6066</v>
      </c>
      <c r="H54">
        <v>68</v>
      </c>
      <c r="I54" t="s">
        <v>6037</v>
      </c>
      <c r="J54" s="5" t="s">
        <v>5643</v>
      </c>
      <c r="K54" t="s">
        <v>5644</v>
      </c>
      <c r="L54">
        <v>1</v>
      </c>
      <c r="M54" t="s">
        <v>5642</v>
      </c>
      <c r="N54" t="s">
        <v>6287</v>
      </c>
      <c r="O54" t="s">
        <v>6288</v>
      </c>
      <c r="P54">
        <v>144560</v>
      </c>
      <c r="Q54">
        <v>475790</v>
      </c>
      <c r="R54" s="16" t="s">
        <v>8543</v>
      </c>
      <c r="S54" s="16" t="s">
        <v>8249</v>
      </c>
      <c r="T54" s="4" t="s">
        <v>2251</v>
      </c>
      <c r="U54">
        <v>1</v>
      </c>
    </row>
    <row r="55" spans="1:21">
      <c r="A55">
        <v>61</v>
      </c>
      <c r="B55" s="4" t="s">
        <v>6142</v>
      </c>
      <c r="C55" t="s">
        <v>6044</v>
      </c>
      <c r="D55">
        <v>1170</v>
      </c>
      <c r="E55">
        <v>12</v>
      </c>
      <c r="F55" t="s">
        <v>5642</v>
      </c>
      <c r="G55" t="s">
        <v>6060</v>
      </c>
      <c r="H55">
        <v>92</v>
      </c>
      <c r="I55" t="s">
        <v>6117</v>
      </c>
      <c r="J55" s="5" t="s">
        <v>9111</v>
      </c>
      <c r="L55">
        <v>1</v>
      </c>
      <c r="M55" t="s">
        <v>5642</v>
      </c>
      <c r="N55" t="s">
        <v>6287</v>
      </c>
      <c r="O55" t="s">
        <v>6288</v>
      </c>
      <c r="P55">
        <v>144560</v>
      </c>
      <c r="Q55">
        <v>475790</v>
      </c>
      <c r="R55" s="16" t="s">
        <v>8543</v>
      </c>
      <c r="S55" s="16" t="s">
        <v>8249</v>
      </c>
      <c r="T55" s="4" t="s">
        <v>6142</v>
      </c>
      <c r="U55">
        <v>1</v>
      </c>
    </row>
    <row r="56" spans="1:21">
      <c r="A56">
        <v>62</v>
      </c>
      <c r="B56" s="4" t="s">
        <v>2252</v>
      </c>
      <c r="C56">
        <v>1223</v>
      </c>
      <c r="D56">
        <v>1223</v>
      </c>
      <c r="E56">
        <v>13</v>
      </c>
      <c r="F56" t="s">
        <v>5641</v>
      </c>
      <c r="G56" t="s">
        <v>6067</v>
      </c>
      <c r="H56">
        <v>95</v>
      </c>
      <c r="I56" t="s">
        <v>6021</v>
      </c>
      <c r="J56" s="5" t="s">
        <v>5639</v>
      </c>
      <c r="K56" t="s">
        <v>5640</v>
      </c>
      <c r="L56">
        <v>0</v>
      </c>
      <c r="R56" s="16" t="s">
        <v>8064</v>
      </c>
      <c r="S56" s="16" t="s">
        <v>8064</v>
      </c>
      <c r="T56" s="4" t="s">
        <v>2252</v>
      </c>
      <c r="U56">
        <v>1</v>
      </c>
    </row>
    <row r="57" spans="1:21">
      <c r="A57">
        <v>63</v>
      </c>
      <c r="B57" s="4" t="s">
        <v>6143</v>
      </c>
      <c r="C57" t="s">
        <v>6039</v>
      </c>
      <c r="D57">
        <v>1112</v>
      </c>
      <c r="E57">
        <v>12</v>
      </c>
      <c r="F57" t="s">
        <v>5642</v>
      </c>
      <c r="G57" t="s">
        <v>6055</v>
      </c>
      <c r="H57">
        <v>97</v>
      </c>
      <c r="I57" t="s">
        <v>6115</v>
      </c>
      <c r="J57" s="5" t="s">
        <v>5608</v>
      </c>
      <c r="L57">
        <v>1</v>
      </c>
      <c r="M57" t="s">
        <v>5642</v>
      </c>
      <c r="N57" t="s">
        <v>6287</v>
      </c>
      <c r="O57" t="s">
        <v>6288</v>
      </c>
      <c r="P57">
        <v>144560</v>
      </c>
      <c r="Q57">
        <v>475790</v>
      </c>
      <c r="R57" s="16" t="s">
        <v>8543</v>
      </c>
      <c r="S57" s="16" t="s">
        <v>8249</v>
      </c>
      <c r="T57" s="4" t="s">
        <v>6143</v>
      </c>
      <c r="U57">
        <v>1</v>
      </c>
    </row>
    <row r="58" spans="1:21">
      <c r="A58">
        <v>46</v>
      </c>
      <c r="B58" s="4" t="s">
        <v>2257</v>
      </c>
      <c r="C58">
        <v>1172</v>
      </c>
      <c r="D58">
        <v>1172</v>
      </c>
      <c r="E58">
        <v>12</v>
      </c>
      <c r="F58" t="s">
        <v>5626</v>
      </c>
      <c r="G58" t="s">
        <v>5653</v>
      </c>
      <c r="H58">
        <v>111</v>
      </c>
      <c r="I58" t="s">
        <v>6074</v>
      </c>
      <c r="J58" t="s">
        <v>8668</v>
      </c>
      <c r="K58" t="s">
        <v>5628</v>
      </c>
      <c r="L58">
        <v>1</v>
      </c>
      <c r="M58" t="s">
        <v>6735</v>
      </c>
      <c r="N58" t="s">
        <v>6287</v>
      </c>
      <c r="O58" t="s">
        <v>6288</v>
      </c>
      <c r="P58" t="s">
        <v>6736</v>
      </c>
      <c r="Q58" t="s">
        <v>6737</v>
      </c>
      <c r="R58" s="16" t="s">
        <v>8541</v>
      </c>
      <c r="S58" s="16" t="s">
        <v>8246</v>
      </c>
      <c r="T58" s="4" t="s">
        <v>2257</v>
      </c>
      <c r="U58">
        <v>0</v>
      </c>
    </row>
    <row r="59" spans="1:21">
      <c r="A59">
        <v>48</v>
      </c>
      <c r="B59" s="4" t="s">
        <v>6147</v>
      </c>
      <c r="C59">
        <v>1197</v>
      </c>
      <c r="D59">
        <v>1197</v>
      </c>
      <c r="E59">
        <v>12</v>
      </c>
      <c r="F59" t="s">
        <v>6050</v>
      </c>
      <c r="G59" t="s">
        <v>6064</v>
      </c>
      <c r="H59">
        <v>215</v>
      </c>
      <c r="I59" t="s">
        <v>6122</v>
      </c>
      <c r="J59" t="s">
        <v>8668</v>
      </c>
      <c r="L59">
        <v>1</v>
      </c>
      <c r="M59" t="s">
        <v>5642</v>
      </c>
      <c r="N59" t="s">
        <v>6287</v>
      </c>
      <c r="O59" t="s">
        <v>6288</v>
      </c>
      <c r="P59">
        <v>144560</v>
      </c>
      <c r="Q59">
        <v>475790</v>
      </c>
      <c r="R59" s="16" t="s">
        <v>8543</v>
      </c>
      <c r="S59" s="16" t="s">
        <v>8249</v>
      </c>
      <c r="T59" s="4" t="s">
        <v>6147</v>
      </c>
      <c r="U59">
        <v>0</v>
      </c>
    </row>
    <row r="60" spans="1:21">
      <c r="A60">
        <v>49</v>
      </c>
      <c r="B60" s="4" t="s">
        <v>6148</v>
      </c>
      <c r="C60">
        <v>1282</v>
      </c>
      <c r="D60">
        <v>1282</v>
      </c>
      <c r="E60">
        <v>13</v>
      </c>
      <c r="F60" t="s">
        <v>6051</v>
      </c>
      <c r="G60" t="s">
        <v>6069</v>
      </c>
      <c r="H60">
        <v>219</v>
      </c>
      <c r="I60" t="s">
        <v>6126</v>
      </c>
      <c r="J60" t="s">
        <v>8668</v>
      </c>
      <c r="L60">
        <v>1</v>
      </c>
      <c r="M60" t="s">
        <v>6051</v>
      </c>
      <c r="N60" t="s">
        <v>6345</v>
      </c>
      <c r="O60" t="s">
        <v>104</v>
      </c>
      <c r="P60">
        <v>14360</v>
      </c>
      <c r="Q60">
        <v>444470</v>
      </c>
      <c r="R60" s="16" t="s">
        <v>8544</v>
      </c>
      <c r="S60" s="16" t="s">
        <v>8250</v>
      </c>
      <c r="T60" s="4" t="s">
        <v>6148</v>
      </c>
      <c r="U60">
        <v>0</v>
      </c>
    </row>
    <row r="61" spans="1:21">
      <c r="A61">
        <v>50</v>
      </c>
      <c r="B61" s="4" t="s">
        <v>6149</v>
      </c>
      <c r="C61">
        <v>1293</v>
      </c>
      <c r="D61">
        <v>1293</v>
      </c>
      <c r="E61">
        <v>13</v>
      </c>
      <c r="F61" t="s">
        <v>5730</v>
      </c>
      <c r="G61" t="s">
        <v>6071</v>
      </c>
      <c r="H61">
        <v>220</v>
      </c>
      <c r="I61" t="s">
        <v>6129</v>
      </c>
      <c r="J61" t="s">
        <v>8668</v>
      </c>
      <c r="L61">
        <v>1</v>
      </c>
      <c r="M61" t="s">
        <v>5719</v>
      </c>
      <c r="N61" t="s">
        <v>5719</v>
      </c>
      <c r="O61" t="s">
        <v>6288</v>
      </c>
      <c r="P61" t="s">
        <v>6808</v>
      </c>
      <c r="Q61" t="s">
        <v>6809</v>
      </c>
      <c r="R61" s="16" t="s">
        <v>6808</v>
      </c>
      <c r="S61" s="16" t="s">
        <v>6809</v>
      </c>
      <c r="T61" s="4" t="s">
        <v>6149</v>
      </c>
      <c r="U61">
        <v>0</v>
      </c>
    </row>
    <row r="62" spans="1:21">
      <c r="A62">
        <v>51</v>
      </c>
      <c r="B62" s="4" t="s">
        <v>6144</v>
      </c>
      <c r="C62" t="s">
        <v>6046</v>
      </c>
      <c r="D62">
        <v>1162</v>
      </c>
      <c r="E62">
        <v>12</v>
      </c>
      <c r="F62" t="s">
        <v>1444</v>
      </c>
      <c r="G62" t="s">
        <v>6058</v>
      </c>
      <c r="H62">
        <v>255</v>
      </c>
      <c r="I62" t="s">
        <v>6127</v>
      </c>
      <c r="J62" t="s">
        <v>8668</v>
      </c>
      <c r="L62">
        <v>0</v>
      </c>
      <c r="R62" s="16" t="s">
        <v>8064</v>
      </c>
      <c r="S62" s="16" t="s">
        <v>8064</v>
      </c>
      <c r="T62" s="4" t="s">
        <v>6144</v>
      </c>
      <c r="U62">
        <v>0</v>
      </c>
    </row>
    <row r="63" spans="1:21">
      <c r="A63">
        <v>53</v>
      </c>
      <c r="B63" s="4" t="s">
        <v>6146</v>
      </c>
      <c r="C63" t="s">
        <v>6042</v>
      </c>
      <c r="D63">
        <v>1193</v>
      </c>
      <c r="E63">
        <v>12</v>
      </c>
      <c r="F63" t="s">
        <v>6049</v>
      </c>
      <c r="G63" t="s">
        <v>6063</v>
      </c>
      <c r="H63">
        <v>261</v>
      </c>
      <c r="I63" t="s">
        <v>6121</v>
      </c>
      <c r="J63" t="s">
        <v>8668</v>
      </c>
      <c r="L63">
        <v>1</v>
      </c>
      <c r="M63" t="s">
        <v>6049</v>
      </c>
      <c r="N63" t="s">
        <v>6928</v>
      </c>
      <c r="O63" t="s">
        <v>6288</v>
      </c>
      <c r="P63" t="s">
        <v>6929</v>
      </c>
      <c r="Q63" t="s">
        <v>6930</v>
      </c>
      <c r="R63" s="16" t="s">
        <v>8543</v>
      </c>
      <c r="S63" s="16" t="s">
        <v>8249</v>
      </c>
      <c r="T63" s="4" t="s">
        <v>6146</v>
      </c>
      <c r="U63">
        <v>0</v>
      </c>
    </row>
    <row r="64" spans="1:21">
      <c r="A64">
        <v>85</v>
      </c>
      <c r="B64" t="s">
        <v>2465</v>
      </c>
      <c r="C64" t="s">
        <v>2466</v>
      </c>
      <c r="D64">
        <v>1133</v>
      </c>
      <c r="E64">
        <v>12</v>
      </c>
      <c r="F64" t="s">
        <v>5163</v>
      </c>
      <c r="G64" t="s">
        <v>2494</v>
      </c>
      <c r="H64">
        <v>3</v>
      </c>
      <c r="I64" t="s">
        <v>2521</v>
      </c>
      <c r="J64" t="s">
        <v>8668</v>
      </c>
      <c r="K64" s="5" t="s">
        <v>2556</v>
      </c>
      <c r="L64">
        <v>1</v>
      </c>
      <c r="M64" t="s">
        <v>6989</v>
      </c>
      <c r="N64" t="s">
        <v>6990</v>
      </c>
      <c r="O64" t="s">
        <v>6991</v>
      </c>
      <c r="P64">
        <v>41437</v>
      </c>
      <c r="Q64">
        <v>503861</v>
      </c>
      <c r="R64" s="16" t="s">
        <v>8546</v>
      </c>
      <c r="S64" s="16" t="s">
        <v>8252</v>
      </c>
      <c r="T64" t="s">
        <v>2465</v>
      </c>
      <c r="U64">
        <v>0</v>
      </c>
    </row>
    <row r="65" spans="1:21">
      <c r="A65">
        <v>86</v>
      </c>
      <c r="B65" t="s">
        <v>2467</v>
      </c>
      <c r="C65">
        <v>1139</v>
      </c>
      <c r="D65">
        <v>1139</v>
      </c>
      <c r="E65">
        <v>12</v>
      </c>
      <c r="F65" t="s">
        <v>1444</v>
      </c>
      <c r="G65" t="s">
        <v>2495</v>
      </c>
      <c r="H65">
        <v>4</v>
      </c>
      <c r="I65" t="s">
        <v>2522</v>
      </c>
      <c r="J65" t="s">
        <v>8668</v>
      </c>
      <c r="K65" t="s">
        <v>8794</v>
      </c>
      <c r="L65">
        <v>0</v>
      </c>
      <c r="R65" s="16" t="s">
        <v>8064</v>
      </c>
      <c r="S65" s="16" t="s">
        <v>8064</v>
      </c>
      <c r="T65" t="s">
        <v>2467</v>
      </c>
      <c r="U65">
        <v>0</v>
      </c>
    </row>
    <row r="66" spans="1:21">
      <c r="A66">
        <v>87</v>
      </c>
      <c r="B66" t="s">
        <v>2468</v>
      </c>
      <c r="C66">
        <v>1139</v>
      </c>
      <c r="D66">
        <v>1139</v>
      </c>
      <c r="E66">
        <v>12</v>
      </c>
      <c r="F66" t="s">
        <v>1444</v>
      </c>
      <c r="G66" t="s">
        <v>2496</v>
      </c>
      <c r="H66">
        <v>5</v>
      </c>
      <c r="I66" t="s">
        <v>2523</v>
      </c>
      <c r="J66" t="s">
        <v>8668</v>
      </c>
      <c r="K66" t="s">
        <v>2551</v>
      </c>
      <c r="L66">
        <v>0</v>
      </c>
      <c r="R66" s="16" t="s">
        <v>8064</v>
      </c>
      <c r="S66" s="16" t="s">
        <v>8064</v>
      </c>
      <c r="T66" t="s">
        <v>2468</v>
      </c>
      <c r="U66">
        <v>0</v>
      </c>
    </row>
    <row r="67" spans="1:21">
      <c r="A67">
        <v>88</v>
      </c>
      <c r="B67" t="s">
        <v>2469</v>
      </c>
      <c r="C67">
        <v>1155</v>
      </c>
      <c r="D67">
        <v>1155</v>
      </c>
      <c r="E67">
        <v>12</v>
      </c>
      <c r="F67" t="s">
        <v>1444</v>
      </c>
      <c r="G67" t="s">
        <v>2497</v>
      </c>
      <c r="H67">
        <v>6</v>
      </c>
      <c r="I67" t="s">
        <v>2524</v>
      </c>
      <c r="J67" t="s">
        <v>8668</v>
      </c>
      <c r="L67">
        <v>0</v>
      </c>
      <c r="R67" s="16" t="s">
        <v>8064</v>
      </c>
      <c r="S67" s="16" t="s">
        <v>8064</v>
      </c>
      <c r="T67" t="s">
        <v>2469</v>
      </c>
      <c r="U67">
        <v>0</v>
      </c>
    </row>
    <row r="68" spans="1:21">
      <c r="A68">
        <v>89</v>
      </c>
      <c r="B68" t="s">
        <v>2470</v>
      </c>
      <c r="C68">
        <v>1156</v>
      </c>
      <c r="D68">
        <v>1156</v>
      </c>
      <c r="E68">
        <v>12</v>
      </c>
      <c r="F68" t="s">
        <v>1444</v>
      </c>
      <c r="G68" t="s">
        <v>2498</v>
      </c>
      <c r="H68">
        <v>7</v>
      </c>
      <c r="I68" t="s">
        <v>2525</v>
      </c>
      <c r="J68" t="s">
        <v>8668</v>
      </c>
      <c r="K68" t="s">
        <v>2551</v>
      </c>
      <c r="L68">
        <v>0</v>
      </c>
      <c r="R68" s="16" t="s">
        <v>8064</v>
      </c>
      <c r="S68" s="16" t="s">
        <v>8064</v>
      </c>
      <c r="T68" t="s">
        <v>2470</v>
      </c>
      <c r="U68">
        <v>0</v>
      </c>
    </row>
    <row r="69" spans="1:21">
      <c r="A69">
        <v>90</v>
      </c>
      <c r="B69" t="s">
        <v>2471</v>
      </c>
      <c r="C69">
        <v>1236</v>
      </c>
      <c r="D69">
        <v>1236</v>
      </c>
      <c r="E69">
        <v>13</v>
      </c>
      <c r="F69" t="s">
        <v>1444</v>
      </c>
      <c r="G69" t="s">
        <v>2499</v>
      </c>
      <c r="H69">
        <v>8</v>
      </c>
      <c r="I69" t="s">
        <v>2526</v>
      </c>
      <c r="J69" t="s">
        <v>8668</v>
      </c>
      <c r="L69">
        <v>0</v>
      </c>
      <c r="R69" s="16" t="s">
        <v>8064</v>
      </c>
      <c r="S69" s="16" t="s">
        <v>8064</v>
      </c>
      <c r="T69" t="s">
        <v>2471</v>
      </c>
      <c r="U69">
        <v>0</v>
      </c>
    </row>
    <row r="70" spans="1:21">
      <c r="A70">
        <v>91</v>
      </c>
      <c r="B70" t="s">
        <v>2472</v>
      </c>
      <c r="C70" t="s">
        <v>2473</v>
      </c>
      <c r="D70">
        <v>1244</v>
      </c>
      <c r="E70">
        <v>13</v>
      </c>
      <c r="F70" t="s">
        <v>1444</v>
      </c>
      <c r="G70" t="s">
        <v>2500</v>
      </c>
      <c r="H70">
        <v>9</v>
      </c>
      <c r="I70" t="s">
        <v>2527</v>
      </c>
      <c r="J70" t="s">
        <v>8668</v>
      </c>
      <c r="L70">
        <v>0</v>
      </c>
      <c r="R70" s="16" t="s">
        <v>8064</v>
      </c>
      <c r="S70" s="16" t="s">
        <v>8064</v>
      </c>
      <c r="T70" t="s">
        <v>2472</v>
      </c>
      <c r="U70">
        <v>0</v>
      </c>
    </row>
    <row r="71" spans="1:21">
      <c r="A71">
        <v>64</v>
      </c>
      <c r="B71" t="s">
        <v>2550</v>
      </c>
      <c r="C71">
        <v>1248</v>
      </c>
      <c r="D71">
        <v>1248</v>
      </c>
      <c r="E71">
        <v>13</v>
      </c>
      <c r="F71" t="s">
        <v>1444</v>
      </c>
      <c r="G71" t="s">
        <v>2501</v>
      </c>
      <c r="H71">
        <v>10</v>
      </c>
      <c r="I71" t="s">
        <v>2528</v>
      </c>
      <c r="J71" t="s">
        <v>8668</v>
      </c>
      <c r="L71">
        <v>0</v>
      </c>
      <c r="R71" s="16" t="s">
        <v>8064</v>
      </c>
      <c r="S71" s="16" t="s">
        <v>8064</v>
      </c>
      <c r="T71" t="s">
        <v>2550</v>
      </c>
      <c r="U71">
        <v>0</v>
      </c>
    </row>
    <row r="72" spans="1:21">
      <c r="A72">
        <v>65</v>
      </c>
      <c r="B72" t="s">
        <v>2489</v>
      </c>
      <c r="C72">
        <v>1255</v>
      </c>
      <c r="D72">
        <v>1255</v>
      </c>
      <c r="E72">
        <v>13</v>
      </c>
      <c r="F72" t="s">
        <v>1444</v>
      </c>
      <c r="G72" t="s">
        <v>2502</v>
      </c>
      <c r="H72">
        <v>11</v>
      </c>
      <c r="I72" t="s">
        <v>2529</v>
      </c>
      <c r="J72" t="s">
        <v>8668</v>
      </c>
      <c r="K72" t="s">
        <v>2551</v>
      </c>
      <c r="L72">
        <v>0</v>
      </c>
      <c r="R72" s="16" t="s">
        <v>8064</v>
      </c>
      <c r="S72" s="16" t="s">
        <v>8064</v>
      </c>
      <c r="T72" t="s">
        <v>7899</v>
      </c>
      <c r="U72">
        <v>0</v>
      </c>
    </row>
    <row r="73" spans="1:21">
      <c r="A73">
        <v>66</v>
      </c>
      <c r="B73" t="s">
        <v>2474</v>
      </c>
      <c r="C73">
        <v>1263</v>
      </c>
      <c r="D73">
        <v>1263</v>
      </c>
      <c r="E73">
        <v>13</v>
      </c>
      <c r="F73" t="s">
        <v>1444</v>
      </c>
      <c r="G73" t="s">
        <v>2503</v>
      </c>
      <c r="H73">
        <v>12</v>
      </c>
      <c r="I73" t="s">
        <v>2530</v>
      </c>
      <c r="J73" t="s">
        <v>8668</v>
      </c>
      <c r="L73">
        <v>0</v>
      </c>
      <c r="R73" s="16" t="s">
        <v>8064</v>
      </c>
      <c r="S73" s="16" t="s">
        <v>8064</v>
      </c>
      <c r="T73" t="s">
        <v>2474</v>
      </c>
      <c r="U73">
        <v>0</v>
      </c>
    </row>
    <row r="74" spans="1:21">
      <c r="A74">
        <v>67</v>
      </c>
      <c r="B74" t="s">
        <v>2490</v>
      </c>
      <c r="C74">
        <v>1265</v>
      </c>
      <c r="D74">
        <v>1265</v>
      </c>
      <c r="E74">
        <v>13</v>
      </c>
      <c r="F74" t="s">
        <v>1444</v>
      </c>
      <c r="G74" t="s">
        <v>2504</v>
      </c>
      <c r="H74">
        <v>13</v>
      </c>
      <c r="I74" t="s">
        <v>2531</v>
      </c>
      <c r="J74" t="s">
        <v>8668</v>
      </c>
      <c r="K74" t="s">
        <v>2551</v>
      </c>
      <c r="L74">
        <v>0</v>
      </c>
      <c r="R74" s="16" t="s">
        <v>8064</v>
      </c>
      <c r="S74" s="16" t="s">
        <v>8064</v>
      </c>
      <c r="T74" t="s">
        <v>7900</v>
      </c>
      <c r="U74">
        <v>0</v>
      </c>
    </row>
    <row r="75" spans="1:21">
      <c r="A75">
        <v>68</v>
      </c>
      <c r="B75" t="s">
        <v>2476</v>
      </c>
      <c r="C75">
        <v>1269</v>
      </c>
      <c r="D75">
        <v>1269</v>
      </c>
      <c r="E75">
        <v>13</v>
      </c>
      <c r="F75" t="s">
        <v>5164</v>
      </c>
      <c r="G75" t="s">
        <v>2505</v>
      </c>
      <c r="H75">
        <v>14</v>
      </c>
      <c r="I75" t="s">
        <v>2532</v>
      </c>
      <c r="J75" t="s">
        <v>8668</v>
      </c>
      <c r="K75" t="s">
        <v>2552</v>
      </c>
      <c r="L75">
        <v>1</v>
      </c>
      <c r="M75" t="s">
        <v>6613</v>
      </c>
      <c r="N75" t="s">
        <v>6461</v>
      </c>
      <c r="O75" t="s">
        <v>104</v>
      </c>
      <c r="P75" t="s">
        <v>6614</v>
      </c>
      <c r="Q75" t="s">
        <v>6615</v>
      </c>
      <c r="R75" s="16" t="s">
        <v>8545</v>
      </c>
      <c r="S75" s="16" t="s">
        <v>8251</v>
      </c>
      <c r="T75" t="s">
        <v>2476</v>
      </c>
      <c r="U75">
        <v>0</v>
      </c>
    </row>
    <row r="76" spans="1:21">
      <c r="A76">
        <v>70</v>
      </c>
      <c r="B76" t="s">
        <v>2491</v>
      </c>
      <c r="C76">
        <v>1274</v>
      </c>
      <c r="D76">
        <v>1274</v>
      </c>
      <c r="E76">
        <v>13</v>
      </c>
      <c r="F76" t="s">
        <v>1444</v>
      </c>
      <c r="G76" t="s">
        <v>2507</v>
      </c>
      <c r="H76">
        <v>16</v>
      </c>
      <c r="I76" t="s">
        <v>2534</v>
      </c>
      <c r="J76" t="s">
        <v>8668</v>
      </c>
      <c r="K76" t="s">
        <v>2551</v>
      </c>
      <c r="L76">
        <v>0</v>
      </c>
      <c r="R76" s="16" t="s">
        <v>8064</v>
      </c>
      <c r="S76" s="16" t="s">
        <v>8064</v>
      </c>
      <c r="T76" t="s">
        <v>7901</v>
      </c>
      <c r="U76">
        <v>0</v>
      </c>
    </row>
    <row r="77" spans="1:21">
      <c r="A77">
        <v>71</v>
      </c>
      <c r="B77" t="s">
        <v>2477</v>
      </c>
      <c r="C77">
        <v>1277</v>
      </c>
      <c r="D77">
        <v>1277</v>
      </c>
      <c r="E77">
        <v>13</v>
      </c>
      <c r="F77" t="s">
        <v>1444</v>
      </c>
      <c r="G77" t="s">
        <v>2508</v>
      </c>
      <c r="H77">
        <v>17</v>
      </c>
      <c r="I77" t="s">
        <v>2535</v>
      </c>
      <c r="J77" t="s">
        <v>8668</v>
      </c>
      <c r="K77" t="s">
        <v>2551</v>
      </c>
      <c r="L77">
        <v>0</v>
      </c>
      <c r="R77" s="16" t="s">
        <v>8064</v>
      </c>
      <c r="S77" s="16" t="s">
        <v>8064</v>
      </c>
      <c r="T77" t="s">
        <v>2477</v>
      </c>
      <c r="U77">
        <v>0</v>
      </c>
    </row>
    <row r="78" spans="1:21">
      <c r="A78">
        <v>72</v>
      </c>
      <c r="B78" t="s">
        <v>2492</v>
      </c>
      <c r="C78">
        <v>1277</v>
      </c>
      <c r="D78">
        <v>1277</v>
      </c>
      <c r="E78">
        <v>13</v>
      </c>
      <c r="F78" t="s">
        <v>1444</v>
      </c>
      <c r="G78" t="s">
        <v>2509</v>
      </c>
      <c r="H78">
        <v>18</v>
      </c>
      <c r="I78" t="s">
        <v>2536</v>
      </c>
      <c r="J78" t="s">
        <v>8668</v>
      </c>
      <c r="K78" t="s">
        <v>2551</v>
      </c>
      <c r="L78">
        <v>0</v>
      </c>
      <c r="R78" s="16" t="s">
        <v>8064</v>
      </c>
      <c r="S78" s="16" t="s">
        <v>8064</v>
      </c>
      <c r="T78" t="s">
        <v>7902</v>
      </c>
      <c r="U78">
        <v>0</v>
      </c>
    </row>
    <row r="79" spans="1:21">
      <c r="A79">
        <v>73</v>
      </c>
      <c r="B79" t="s">
        <v>2478</v>
      </c>
      <c r="C79">
        <v>1283</v>
      </c>
      <c r="D79">
        <v>1283</v>
      </c>
      <c r="E79">
        <v>13</v>
      </c>
      <c r="F79" t="s">
        <v>1444</v>
      </c>
      <c r="G79" t="s">
        <v>2510</v>
      </c>
      <c r="H79">
        <v>19</v>
      </c>
      <c r="I79" t="s">
        <v>2537</v>
      </c>
      <c r="J79" t="s">
        <v>8668</v>
      </c>
      <c r="K79" t="s">
        <v>2551</v>
      </c>
      <c r="L79">
        <v>0</v>
      </c>
      <c r="R79" s="16" t="s">
        <v>8064</v>
      </c>
      <c r="S79" s="16" t="s">
        <v>8064</v>
      </c>
      <c r="T79" t="s">
        <v>7903</v>
      </c>
      <c r="U79">
        <v>0</v>
      </c>
    </row>
    <row r="80" spans="1:21">
      <c r="A80">
        <v>76</v>
      </c>
      <c r="B80" t="s">
        <v>2480</v>
      </c>
      <c r="C80">
        <v>1284</v>
      </c>
      <c r="D80">
        <v>1284</v>
      </c>
      <c r="E80">
        <v>13</v>
      </c>
      <c r="F80" t="s">
        <v>1444</v>
      </c>
      <c r="G80" t="s">
        <v>2512</v>
      </c>
      <c r="H80">
        <v>21</v>
      </c>
      <c r="I80" t="s">
        <v>2539</v>
      </c>
      <c r="J80" t="s">
        <v>8668</v>
      </c>
      <c r="K80" t="s">
        <v>2551</v>
      </c>
      <c r="L80">
        <v>0</v>
      </c>
      <c r="R80" s="16" t="s">
        <v>8064</v>
      </c>
      <c r="S80" s="16" t="s">
        <v>8064</v>
      </c>
      <c r="T80" t="s">
        <v>2480</v>
      </c>
      <c r="U80">
        <v>0</v>
      </c>
    </row>
    <row r="81" spans="1:21">
      <c r="A81">
        <v>77</v>
      </c>
      <c r="B81" t="s">
        <v>2481</v>
      </c>
      <c r="C81">
        <v>1286</v>
      </c>
      <c r="D81">
        <v>1286</v>
      </c>
      <c r="E81">
        <v>13</v>
      </c>
      <c r="F81" t="s">
        <v>1444</v>
      </c>
      <c r="G81" t="s">
        <v>2513</v>
      </c>
      <c r="H81">
        <v>22</v>
      </c>
      <c r="I81" t="s">
        <v>2540</v>
      </c>
      <c r="J81" t="s">
        <v>8668</v>
      </c>
      <c r="K81" t="s">
        <v>2551</v>
      </c>
      <c r="L81">
        <v>0</v>
      </c>
      <c r="R81" s="16" t="s">
        <v>8064</v>
      </c>
      <c r="S81" s="16" t="s">
        <v>8064</v>
      </c>
      <c r="T81" t="s">
        <v>7904</v>
      </c>
      <c r="U81">
        <v>0</v>
      </c>
    </row>
    <row r="82" spans="1:21">
      <c r="A82">
        <v>78</v>
      </c>
      <c r="B82" t="s">
        <v>2483</v>
      </c>
      <c r="C82">
        <v>1290</v>
      </c>
      <c r="D82">
        <v>1290</v>
      </c>
      <c r="E82">
        <v>13</v>
      </c>
      <c r="F82" t="s">
        <v>1444</v>
      </c>
      <c r="G82" t="s">
        <v>2514</v>
      </c>
      <c r="H82">
        <v>23</v>
      </c>
      <c r="I82" t="s">
        <v>2541</v>
      </c>
      <c r="J82" t="s">
        <v>8668</v>
      </c>
      <c r="K82" t="s">
        <v>2551</v>
      </c>
      <c r="L82">
        <v>0</v>
      </c>
      <c r="R82" s="16" t="s">
        <v>8064</v>
      </c>
      <c r="S82" s="16" t="s">
        <v>8064</v>
      </c>
      <c r="T82" t="s">
        <v>9356</v>
      </c>
      <c r="U82">
        <v>0</v>
      </c>
    </row>
    <row r="83" spans="1:21">
      <c r="A83">
        <v>79</v>
      </c>
      <c r="B83" t="s">
        <v>2482</v>
      </c>
      <c r="C83">
        <v>1290</v>
      </c>
      <c r="D83">
        <v>1290</v>
      </c>
      <c r="E83">
        <v>13</v>
      </c>
      <c r="F83" t="s">
        <v>1444</v>
      </c>
      <c r="G83" t="s">
        <v>2514</v>
      </c>
      <c r="H83">
        <v>23</v>
      </c>
      <c r="I83" t="s">
        <v>2541</v>
      </c>
      <c r="J83" t="s">
        <v>8668</v>
      </c>
      <c r="K83" t="s">
        <v>2553</v>
      </c>
      <c r="L83">
        <v>0</v>
      </c>
      <c r="R83" s="16" t="s">
        <v>8064</v>
      </c>
      <c r="S83" s="16" t="s">
        <v>8064</v>
      </c>
      <c r="T83" t="s">
        <v>2482</v>
      </c>
      <c r="U83">
        <v>0</v>
      </c>
    </row>
    <row r="84" spans="1:21">
      <c r="A84">
        <v>80</v>
      </c>
      <c r="B84" t="s">
        <v>2484</v>
      </c>
      <c r="C84">
        <v>1290</v>
      </c>
      <c r="D84">
        <v>1290</v>
      </c>
      <c r="E84">
        <v>13</v>
      </c>
      <c r="F84" t="s">
        <v>5168</v>
      </c>
      <c r="G84" t="s">
        <v>2515</v>
      </c>
      <c r="H84">
        <v>24</v>
      </c>
      <c r="I84" t="s">
        <v>2542</v>
      </c>
      <c r="J84" t="s">
        <v>8668</v>
      </c>
      <c r="K84" t="s">
        <v>2554</v>
      </c>
      <c r="L84">
        <v>1</v>
      </c>
      <c r="M84" t="s">
        <v>4684</v>
      </c>
      <c r="N84" t="s">
        <v>6305</v>
      </c>
      <c r="O84" t="s">
        <v>104</v>
      </c>
      <c r="P84">
        <v>32340</v>
      </c>
      <c r="Q84">
        <v>501750</v>
      </c>
      <c r="R84" s="16" t="s">
        <v>8461</v>
      </c>
      <c r="S84" s="16" t="s">
        <v>8165</v>
      </c>
      <c r="T84" t="s">
        <v>2484</v>
      </c>
      <c r="U84">
        <v>0</v>
      </c>
    </row>
    <row r="85" spans="1:21">
      <c r="A85">
        <v>81</v>
      </c>
      <c r="B85" t="s">
        <v>2485</v>
      </c>
      <c r="C85">
        <v>1290</v>
      </c>
      <c r="D85">
        <v>1290</v>
      </c>
      <c r="E85">
        <v>13</v>
      </c>
      <c r="F85" t="s">
        <v>1444</v>
      </c>
      <c r="G85" t="s">
        <v>2516</v>
      </c>
      <c r="H85">
        <v>25</v>
      </c>
      <c r="I85" t="s">
        <v>2543</v>
      </c>
      <c r="J85" t="s">
        <v>8668</v>
      </c>
      <c r="K85" t="s">
        <v>2551</v>
      </c>
      <c r="L85">
        <v>0</v>
      </c>
      <c r="R85" s="16" t="s">
        <v>8064</v>
      </c>
      <c r="S85" s="16" t="s">
        <v>8064</v>
      </c>
      <c r="T85" t="s">
        <v>7905</v>
      </c>
      <c r="U85">
        <v>0</v>
      </c>
    </row>
    <row r="86" spans="1:21">
      <c r="A86">
        <v>82</v>
      </c>
      <c r="B86" t="s">
        <v>2486</v>
      </c>
      <c r="C86">
        <v>1293</v>
      </c>
      <c r="D86">
        <v>1293</v>
      </c>
      <c r="E86">
        <v>13</v>
      </c>
      <c r="F86" t="s">
        <v>1218</v>
      </c>
      <c r="G86" t="s">
        <v>2517</v>
      </c>
      <c r="H86">
        <v>26</v>
      </c>
      <c r="I86" t="s">
        <v>2544</v>
      </c>
      <c r="J86" t="s">
        <v>8668</v>
      </c>
      <c r="K86" t="s">
        <v>2555</v>
      </c>
      <c r="L86">
        <v>1</v>
      </c>
      <c r="M86" t="s">
        <v>4646</v>
      </c>
      <c r="N86" t="s">
        <v>6295</v>
      </c>
      <c r="O86" t="s">
        <v>11</v>
      </c>
      <c r="P86">
        <v>124964</v>
      </c>
      <c r="Q86">
        <v>419028</v>
      </c>
      <c r="R86" s="16" t="s">
        <v>8368</v>
      </c>
      <c r="S86" s="16" t="s">
        <v>8073</v>
      </c>
      <c r="T86" t="s">
        <v>7906</v>
      </c>
      <c r="U86">
        <v>0</v>
      </c>
    </row>
    <row r="87" spans="1:21">
      <c r="A87">
        <v>69</v>
      </c>
      <c r="B87" t="s">
        <v>5165</v>
      </c>
      <c r="C87">
        <v>1271</v>
      </c>
      <c r="D87">
        <v>1271</v>
      </c>
      <c r="E87">
        <v>13</v>
      </c>
      <c r="F87" t="s">
        <v>1444</v>
      </c>
      <c r="G87" t="s">
        <v>2506</v>
      </c>
      <c r="H87">
        <v>15</v>
      </c>
      <c r="I87" t="s">
        <v>2533</v>
      </c>
      <c r="J87" s="5" t="s">
        <v>8784</v>
      </c>
      <c r="K87" s="5" t="s">
        <v>5166</v>
      </c>
      <c r="L87">
        <v>0</v>
      </c>
      <c r="R87" s="16" t="s">
        <v>8064</v>
      </c>
      <c r="S87" s="16" t="s">
        <v>8064</v>
      </c>
      <c r="T87" t="s">
        <v>5165</v>
      </c>
      <c r="U87">
        <v>1</v>
      </c>
    </row>
    <row r="88" spans="1:21">
      <c r="A88">
        <v>74</v>
      </c>
      <c r="B88" t="s">
        <v>2464</v>
      </c>
      <c r="C88">
        <v>1084</v>
      </c>
      <c r="D88">
        <v>1084</v>
      </c>
      <c r="E88">
        <v>11</v>
      </c>
      <c r="F88" t="s">
        <v>5162</v>
      </c>
      <c r="G88" t="s">
        <v>2493</v>
      </c>
      <c r="H88">
        <v>2</v>
      </c>
      <c r="I88" s="7" t="s">
        <v>2520</v>
      </c>
      <c r="J88" t="s">
        <v>9097</v>
      </c>
      <c r="K88" t="s">
        <v>2547</v>
      </c>
      <c r="L88">
        <v>1</v>
      </c>
      <c r="M88" t="s">
        <v>5162</v>
      </c>
      <c r="N88" t="s">
        <v>6594</v>
      </c>
      <c r="O88" t="s">
        <v>4016</v>
      </c>
      <c r="P88" t="s">
        <v>6595</v>
      </c>
      <c r="Q88" t="s">
        <v>6596</v>
      </c>
      <c r="R88" s="16" t="s">
        <v>8448</v>
      </c>
      <c r="S88" s="16" t="s">
        <v>8152</v>
      </c>
      <c r="T88" t="s">
        <v>2464</v>
      </c>
      <c r="U88">
        <v>1</v>
      </c>
    </row>
    <row r="89" spans="1:21">
      <c r="A89">
        <v>75</v>
      </c>
      <c r="B89" t="s">
        <v>2479</v>
      </c>
      <c r="C89">
        <v>1283</v>
      </c>
      <c r="D89">
        <v>1283</v>
      </c>
      <c r="E89">
        <v>13</v>
      </c>
      <c r="F89" t="s">
        <v>5167</v>
      </c>
      <c r="G89" t="s">
        <v>2511</v>
      </c>
      <c r="H89">
        <v>20</v>
      </c>
      <c r="I89" t="s">
        <v>2538</v>
      </c>
      <c r="J89" t="s">
        <v>8929</v>
      </c>
      <c r="K89" s="5" t="s">
        <v>2549</v>
      </c>
      <c r="L89">
        <v>1</v>
      </c>
      <c r="M89" t="s">
        <v>6335</v>
      </c>
      <c r="N89" t="s">
        <v>6336</v>
      </c>
      <c r="O89" t="s">
        <v>4016</v>
      </c>
      <c r="P89">
        <v>32247</v>
      </c>
      <c r="Q89">
        <v>512093</v>
      </c>
      <c r="R89" s="16" t="s">
        <v>8652</v>
      </c>
      <c r="S89" s="16" t="s">
        <v>8354</v>
      </c>
      <c r="T89" t="s">
        <v>9355</v>
      </c>
      <c r="U89">
        <v>1</v>
      </c>
    </row>
    <row r="90" spans="1:21">
      <c r="A90">
        <v>83</v>
      </c>
      <c r="B90" t="s">
        <v>2487</v>
      </c>
      <c r="C90">
        <v>1294</v>
      </c>
      <c r="D90">
        <v>1294</v>
      </c>
      <c r="E90">
        <v>13</v>
      </c>
      <c r="F90" t="s">
        <v>5169</v>
      </c>
      <c r="G90" t="s">
        <v>2518</v>
      </c>
      <c r="H90">
        <v>27</v>
      </c>
      <c r="I90" t="s">
        <v>2545</v>
      </c>
      <c r="J90" s="5" t="s">
        <v>2548</v>
      </c>
      <c r="L90">
        <v>0</v>
      </c>
      <c r="R90" s="16" t="s">
        <v>8064</v>
      </c>
      <c r="S90" s="16" t="s">
        <v>8064</v>
      </c>
      <c r="T90" t="s">
        <v>7907</v>
      </c>
      <c r="U90">
        <v>1</v>
      </c>
    </row>
    <row r="91" spans="1:21">
      <c r="A91">
        <v>84</v>
      </c>
      <c r="B91" t="s">
        <v>2488</v>
      </c>
      <c r="C91">
        <v>1295</v>
      </c>
      <c r="D91">
        <v>1295</v>
      </c>
      <c r="E91">
        <v>13</v>
      </c>
      <c r="F91" t="s">
        <v>5170</v>
      </c>
      <c r="G91" t="s">
        <v>2519</v>
      </c>
      <c r="H91">
        <v>28</v>
      </c>
      <c r="I91" t="s">
        <v>2546</v>
      </c>
      <c r="J91" t="s">
        <v>2548</v>
      </c>
      <c r="L91">
        <v>0</v>
      </c>
      <c r="R91" s="16" t="s">
        <v>8064</v>
      </c>
      <c r="S91" s="16" t="s">
        <v>8064</v>
      </c>
      <c r="T91" t="s">
        <v>7907</v>
      </c>
      <c r="U91">
        <v>1</v>
      </c>
    </row>
    <row r="92" spans="1:21">
      <c r="A92">
        <v>133</v>
      </c>
      <c r="B92" t="s">
        <v>7083</v>
      </c>
      <c r="C92" t="s">
        <v>407</v>
      </c>
      <c r="D92">
        <v>1278</v>
      </c>
      <c r="E92">
        <v>13</v>
      </c>
      <c r="F92" t="s">
        <v>4066</v>
      </c>
      <c r="G92" t="s">
        <v>253</v>
      </c>
      <c r="H92">
        <v>47</v>
      </c>
      <c r="I92" t="s">
        <v>765</v>
      </c>
      <c r="J92" t="s">
        <v>8668</v>
      </c>
      <c r="L92">
        <v>1</v>
      </c>
      <c r="M92" t="s">
        <v>6535</v>
      </c>
      <c r="N92" t="s">
        <v>6505</v>
      </c>
      <c r="O92" t="s">
        <v>104</v>
      </c>
      <c r="P92" t="s">
        <v>6536</v>
      </c>
      <c r="Q92" t="s">
        <v>6537</v>
      </c>
      <c r="R92" s="16" t="s">
        <v>8409</v>
      </c>
      <c r="S92" s="16" t="s">
        <v>8112</v>
      </c>
      <c r="T92" t="s">
        <v>7747</v>
      </c>
      <c r="U92">
        <v>0</v>
      </c>
    </row>
    <row r="93" spans="1:21">
      <c r="A93">
        <v>92</v>
      </c>
      <c r="B93" t="s">
        <v>7043</v>
      </c>
      <c r="C93" t="s">
        <v>454</v>
      </c>
      <c r="D93">
        <v>1140</v>
      </c>
      <c r="E93">
        <v>12</v>
      </c>
      <c r="F93" t="s">
        <v>3999</v>
      </c>
      <c r="G93" t="s">
        <v>595</v>
      </c>
      <c r="H93">
        <v>103</v>
      </c>
      <c r="I93" t="s">
        <v>596</v>
      </c>
      <c r="J93" s="5" t="s">
        <v>8704</v>
      </c>
      <c r="L93">
        <v>1</v>
      </c>
      <c r="M93" t="s">
        <v>6693</v>
      </c>
      <c r="N93" t="s">
        <v>6397</v>
      </c>
      <c r="O93" t="s">
        <v>12</v>
      </c>
      <c r="P93" t="s">
        <v>6694</v>
      </c>
      <c r="Q93" t="s">
        <v>6695</v>
      </c>
      <c r="R93" s="16" t="s">
        <v>8384</v>
      </c>
      <c r="S93" s="16" t="s">
        <v>8088</v>
      </c>
      <c r="T93" t="s">
        <v>7043</v>
      </c>
      <c r="U93">
        <v>1</v>
      </c>
    </row>
    <row r="94" spans="1:21">
      <c r="A94">
        <v>95</v>
      </c>
      <c r="B94" t="s">
        <v>7046</v>
      </c>
      <c r="C94" t="s">
        <v>599</v>
      </c>
      <c r="D94">
        <v>1142</v>
      </c>
      <c r="E94">
        <v>12</v>
      </c>
      <c r="F94" t="s">
        <v>4005</v>
      </c>
      <c r="G94" t="s">
        <v>600</v>
      </c>
      <c r="H94">
        <v>143</v>
      </c>
      <c r="I94" t="s">
        <v>601</v>
      </c>
      <c r="J94" t="s">
        <v>8931</v>
      </c>
      <c r="L94">
        <v>1</v>
      </c>
      <c r="M94" t="s">
        <v>6368</v>
      </c>
      <c r="N94" t="s">
        <v>6369</v>
      </c>
      <c r="O94" t="s">
        <v>104</v>
      </c>
      <c r="P94">
        <v>50860</v>
      </c>
      <c r="Q94">
        <v>472440</v>
      </c>
      <c r="R94" s="16" t="s">
        <v>8386</v>
      </c>
      <c r="S94" s="16" t="s">
        <v>8090</v>
      </c>
      <c r="T94" t="s">
        <v>7742</v>
      </c>
      <c r="U94">
        <v>1</v>
      </c>
    </row>
    <row r="95" spans="1:21">
      <c r="A95">
        <v>188</v>
      </c>
      <c r="B95" t="s">
        <v>7136</v>
      </c>
      <c r="C95" t="s">
        <v>438</v>
      </c>
      <c r="D95">
        <v>1091</v>
      </c>
      <c r="E95">
        <v>11</v>
      </c>
      <c r="F95" t="s">
        <v>4147</v>
      </c>
      <c r="G95" t="s">
        <v>546</v>
      </c>
      <c r="H95">
        <v>61</v>
      </c>
      <c r="I95" t="s">
        <v>547</v>
      </c>
      <c r="J95" t="s">
        <v>8668</v>
      </c>
      <c r="L95">
        <v>1</v>
      </c>
      <c r="M95" t="s">
        <v>6483</v>
      </c>
      <c r="N95" t="s">
        <v>6484</v>
      </c>
      <c r="O95" t="s">
        <v>6290</v>
      </c>
      <c r="P95">
        <v>-38090</v>
      </c>
      <c r="Q95">
        <v>423540</v>
      </c>
      <c r="R95" s="16" t="s">
        <v>8425</v>
      </c>
      <c r="S95" s="16" t="s">
        <v>8129</v>
      </c>
      <c r="T95" t="s">
        <v>7136</v>
      </c>
      <c r="U95">
        <v>0</v>
      </c>
    </row>
    <row r="96" spans="1:21">
      <c r="A96">
        <v>97</v>
      </c>
      <c r="B96" t="s">
        <v>7048</v>
      </c>
      <c r="C96" t="s">
        <v>451</v>
      </c>
      <c r="D96">
        <v>1130</v>
      </c>
      <c r="E96">
        <v>12</v>
      </c>
      <c r="F96" t="s">
        <v>4008</v>
      </c>
      <c r="G96" t="s">
        <v>580</v>
      </c>
      <c r="H96">
        <v>168</v>
      </c>
      <c r="I96" t="s">
        <v>581</v>
      </c>
      <c r="J96" s="5" t="s">
        <v>8705</v>
      </c>
      <c r="L96">
        <v>1</v>
      </c>
      <c r="M96" t="s">
        <v>6862</v>
      </c>
      <c r="N96" t="s">
        <v>6770</v>
      </c>
      <c r="O96" t="s">
        <v>104</v>
      </c>
      <c r="P96" t="s">
        <v>6863</v>
      </c>
      <c r="Q96" t="s">
        <v>6864</v>
      </c>
      <c r="R96" s="16" t="s">
        <v>8387</v>
      </c>
      <c r="S96" s="16" t="s">
        <v>8091</v>
      </c>
      <c r="T96" t="s">
        <v>7048</v>
      </c>
      <c r="U96">
        <v>1</v>
      </c>
    </row>
    <row r="97" spans="1:21">
      <c r="A97">
        <v>98</v>
      </c>
      <c r="B97" t="s">
        <v>7049</v>
      </c>
      <c r="C97" t="s">
        <v>738</v>
      </c>
      <c r="D97">
        <v>1260</v>
      </c>
      <c r="E97">
        <v>13</v>
      </c>
      <c r="F97" t="s">
        <v>4010</v>
      </c>
      <c r="G97" t="s">
        <v>739</v>
      </c>
      <c r="H97">
        <v>169</v>
      </c>
      <c r="I97" t="s">
        <v>740</v>
      </c>
      <c r="J97" t="s">
        <v>9112</v>
      </c>
      <c r="L97">
        <v>1</v>
      </c>
      <c r="M97" t="s">
        <v>4010</v>
      </c>
      <c r="N97" t="s">
        <v>6291</v>
      </c>
      <c r="O97" t="s">
        <v>3995</v>
      </c>
      <c r="P97" t="s">
        <v>6823</v>
      </c>
      <c r="Q97" t="s">
        <v>6824</v>
      </c>
      <c r="R97" s="16" t="s">
        <v>8388</v>
      </c>
      <c r="S97" s="16" t="s">
        <v>8092</v>
      </c>
      <c r="T97" t="s">
        <v>7049</v>
      </c>
      <c r="U97">
        <v>1</v>
      </c>
    </row>
    <row r="98" spans="1:21">
      <c r="A98">
        <v>99</v>
      </c>
      <c r="B98" t="s">
        <v>7050</v>
      </c>
      <c r="C98" t="s">
        <v>473</v>
      </c>
      <c r="D98">
        <v>1205</v>
      </c>
      <c r="E98">
        <v>13</v>
      </c>
      <c r="F98" t="s">
        <v>4012</v>
      </c>
      <c r="G98" t="s">
        <v>664</v>
      </c>
      <c r="H98">
        <v>171</v>
      </c>
      <c r="I98" t="s">
        <v>665</v>
      </c>
      <c r="J98" t="s">
        <v>8705</v>
      </c>
      <c r="L98">
        <v>1</v>
      </c>
      <c r="M98" t="s">
        <v>6407</v>
      </c>
      <c r="N98" t="s">
        <v>6408</v>
      </c>
      <c r="O98" t="s">
        <v>4016</v>
      </c>
      <c r="P98">
        <v>37200</v>
      </c>
      <c r="Q98">
        <v>510530</v>
      </c>
      <c r="R98" s="16" t="s">
        <v>8389</v>
      </c>
      <c r="S98" s="16" t="s">
        <v>8093</v>
      </c>
      <c r="T98" t="s">
        <v>7743</v>
      </c>
      <c r="U98">
        <v>1</v>
      </c>
    </row>
    <row r="99" spans="1:21">
      <c r="A99">
        <v>100</v>
      </c>
      <c r="B99" t="s">
        <v>7051</v>
      </c>
      <c r="C99" t="s">
        <v>577</v>
      </c>
      <c r="D99">
        <v>1129</v>
      </c>
      <c r="E99">
        <v>12</v>
      </c>
      <c r="F99" t="s">
        <v>4008</v>
      </c>
      <c r="G99" t="s">
        <v>578</v>
      </c>
      <c r="H99">
        <v>174</v>
      </c>
      <c r="I99" t="s">
        <v>579</v>
      </c>
      <c r="J99" s="5" t="s">
        <v>8705</v>
      </c>
      <c r="L99">
        <v>1</v>
      </c>
      <c r="M99" t="s">
        <v>6862</v>
      </c>
      <c r="N99" t="s">
        <v>6770</v>
      </c>
      <c r="O99" t="s">
        <v>104</v>
      </c>
      <c r="P99" t="s">
        <v>6863</v>
      </c>
      <c r="Q99" t="s">
        <v>6864</v>
      </c>
      <c r="R99" s="16" t="s">
        <v>8387</v>
      </c>
      <c r="S99" s="16" t="s">
        <v>8091</v>
      </c>
      <c r="T99" t="s">
        <v>7051</v>
      </c>
      <c r="U99">
        <v>1</v>
      </c>
    </row>
    <row r="100" spans="1:21">
      <c r="A100">
        <v>105</v>
      </c>
      <c r="B100" t="s">
        <v>7056</v>
      </c>
      <c r="C100" t="s">
        <v>387</v>
      </c>
      <c r="D100">
        <v>1236</v>
      </c>
      <c r="E100">
        <v>13</v>
      </c>
      <c r="F100" t="s">
        <v>4020</v>
      </c>
      <c r="G100" t="s">
        <v>690</v>
      </c>
      <c r="H100">
        <v>220</v>
      </c>
      <c r="I100" t="s">
        <v>691</v>
      </c>
      <c r="J100" t="s">
        <v>8707</v>
      </c>
      <c r="L100">
        <v>1</v>
      </c>
      <c r="M100" t="s">
        <v>4020</v>
      </c>
      <c r="N100" t="s">
        <v>6291</v>
      </c>
      <c r="O100" t="s">
        <v>3995</v>
      </c>
      <c r="P100" t="s">
        <v>6676</v>
      </c>
      <c r="Q100" t="s">
        <v>6677</v>
      </c>
      <c r="R100" s="16" t="s">
        <v>8391</v>
      </c>
      <c r="S100" s="16" t="s">
        <v>8095</v>
      </c>
      <c r="T100" t="s">
        <v>7056</v>
      </c>
      <c r="U100">
        <v>1</v>
      </c>
    </row>
    <row r="101" spans="1:21">
      <c r="A101">
        <v>106</v>
      </c>
      <c r="B101" t="s">
        <v>7057</v>
      </c>
      <c r="C101" t="s">
        <v>418</v>
      </c>
      <c r="D101">
        <v>971</v>
      </c>
      <c r="E101">
        <v>10</v>
      </c>
      <c r="F101" t="s">
        <v>4022</v>
      </c>
      <c r="G101" t="s">
        <v>491</v>
      </c>
      <c r="H101">
        <v>278</v>
      </c>
      <c r="I101" t="s">
        <v>492</v>
      </c>
      <c r="J101" s="5" t="s">
        <v>8707</v>
      </c>
      <c r="L101">
        <v>1</v>
      </c>
      <c r="M101" t="s">
        <v>6372</v>
      </c>
      <c r="N101" t="s">
        <v>6373</v>
      </c>
      <c r="O101" t="s">
        <v>104</v>
      </c>
      <c r="P101">
        <v>46540</v>
      </c>
      <c r="Q101">
        <v>464340</v>
      </c>
      <c r="R101" s="16" t="s">
        <v>8392</v>
      </c>
      <c r="S101" s="16" t="s">
        <v>8096</v>
      </c>
      <c r="T101" t="s">
        <v>7057</v>
      </c>
      <c r="U101">
        <v>1</v>
      </c>
    </row>
    <row r="102" spans="1:21">
      <c r="A102">
        <v>113</v>
      </c>
      <c r="B102" t="s">
        <v>7064</v>
      </c>
      <c r="C102" t="s">
        <v>434</v>
      </c>
      <c r="D102">
        <v>1059</v>
      </c>
      <c r="E102">
        <v>11</v>
      </c>
      <c r="F102" t="s">
        <v>258</v>
      </c>
      <c r="G102" t="s">
        <v>530</v>
      </c>
      <c r="H102">
        <v>322</v>
      </c>
      <c r="I102" t="s">
        <v>531</v>
      </c>
      <c r="J102" t="s">
        <v>8706</v>
      </c>
      <c r="L102">
        <v>1</v>
      </c>
      <c r="M102" t="s">
        <v>6396</v>
      </c>
      <c r="N102" t="s">
        <v>6397</v>
      </c>
      <c r="O102" t="s">
        <v>12</v>
      </c>
      <c r="P102">
        <v>-35330</v>
      </c>
      <c r="Q102">
        <v>507180</v>
      </c>
      <c r="R102" s="16" t="s">
        <v>8359</v>
      </c>
      <c r="S102" s="16" t="s">
        <v>8062</v>
      </c>
      <c r="T102" t="s">
        <v>7064</v>
      </c>
      <c r="U102">
        <v>1</v>
      </c>
    </row>
    <row r="103" spans="1:21">
      <c r="A103">
        <v>117</v>
      </c>
      <c r="B103" t="s">
        <v>7068</v>
      </c>
      <c r="C103" t="s">
        <v>458</v>
      </c>
      <c r="D103">
        <v>1174</v>
      </c>
      <c r="E103">
        <v>12</v>
      </c>
      <c r="F103" t="s">
        <v>4042</v>
      </c>
      <c r="G103" t="s">
        <v>615</v>
      </c>
      <c r="H103">
        <v>370</v>
      </c>
      <c r="I103" t="s">
        <v>616</v>
      </c>
      <c r="J103" t="s">
        <v>8708</v>
      </c>
      <c r="L103">
        <v>1</v>
      </c>
      <c r="M103" t="s">
        <v>6387</v>
      </c>
      <c r="N103" t="s">
        <v>6388</v>
      </c>
      <c r="O103" t="s">
        <v>12</v>
      </c>
      <c r="P103">
        <v>-15770</v>
      </c>
      <c r="Q103">
        <v>547750</v>
      </c>
      <c r="R103" s="16" t="s">
        <v>8398</v>
      </c>
      <c r="S103" s="16" t="s">
        <v>8102</v>
      </c>
      <c r="T103" t="s">
        <v>7068</v>
      </c>
      <c r="U103">
        <v>1</v>
      </c>
    </row>
    <row r="104" spans="1:21">
      <c r="A104">
        <v>118</v>
      </c>
      <c r="B104" t="s">
        <v>7069</v>
      </c>
      <c r="C104" t="s">
        <v>408</v>
      </c>
      <c r="D104">
        <v>1281</v>
      </c>
      <c r="E104">
        <v>13</v>
      </c>
      <c r="F104" t="s">
        <v>4043</v>
      </c>
      <c r="G104" t="s">
        <v>769</v>
      </c>
      <c r="H104">
        <v>378</v>
      </c>
      <c r="I104" t="s">
        <v>770</v>
      </c>
      <c r="J104" t="s">
        <v>8932</v>
      </c>
      <c r="L104">
        <v>1</v>
      </c>
      <c r="M104" t="s">
        <v>6845</v>
      </c>
      <c r="N104" t="s">
        <v>6846</v>
      </c>
      <c r="O104" t="s">
        <v>12</v>
      </c>
      <c r="P104" t="s">
        <v>6847</v>
      </c>
      <c r="Q104" t="s">
        <v>6848</v>
      </c>
      <c r="R104" s="16" t="s">
        <v>8399</v>
      </c>
      <c r="S104" s="16" t="s">
        <v>8103</v>
      </c>
      <c r="T104" t="s">
        <v>7744</v>
      </c>
      <c r="U104">
        <v>1</v>
      </c>
    </row>
    <row r="105" spans="1:21">
      <c r="A105">
        <v>119</v>
      </c>
      <c r="B105" t="s">
        <v>7070</v>
      </c>
      <c r="C105" t="s">
        <v>479</v>
      </c>
      <c r="D105">
        <v>993</v>
      </c>
      <c r="E105">
        <v>10</v>
      </c>
      <c r="F105" t="s">
        <v>13</v>
      </c>
      <c r="G105" t="s">
        <v>501</v>
      </c>
      <c r="H105">
        <v>381</v>
      </c>
      <c r="I105" t="s">
        <v>502</v>
      </c>
      <c r="J105" t="s">
        <v>8709</v>
      </c>
      <c r="L105">
        <v>1</v>
      </c>
      <c r="M105" t="s">
        <v>6348</v>
      </c>
      <c r="N105" t="s">
        <v>6349</v>
      </c>
      <c r="O105" t="s">
        <v>12</v>
      </c>
      <c r="P105">
        <v>10810</v>
      </c>
      <c r="Q105">
        <v>512810</v>
      </c>
      <c r="R105" s="16" t="s">
        <v>8360</v>
      </c>
      <c r="S105" s="16" t="s">
        <v>8063</v>
      </c>
      <c r="T105" t="s">
        <v>7070</v>
      </c>
      <c r="U105">
        <v>1</v>
      </c>
    </row>
    <row r="106" spans="1:21">
      <c r="A106">
        <v>120</v>
      </c>
      <c r="B106" t="s">
        <v>7071</v>
      </c>
      <c r="C106" t="s">
        <v>466</v>
      </c>
      <c r="D106">
        <v>1196</v>
      </c>
      <c r="E106">
        <v>12</v>
      </c>
      <c r="F106" t="s">
        <v>4044</v>
      </c>
      <c r="G106" t="s">
        <v>640</v>
      </c>
      <c r="H106">
        <v>393</v>
      </c>
      <c r="I106" t="s">
        <v>641</v>
      </c>
      <c r="J106" t="s">
        <v>8709</v>
      </c>
      <c r="L106">
        <v>1</v>
      </c>
      <c r="M106" t="s">
        <v>6330</v>
      </c>
      <c r="N106" t="s">
        <v>6331</v>
      </c>
      <c r="O106" t="s">
        <v>12</v>
      </c>
      <c r="P106" t="s">
        <v>6332</v>
      </c>
      <c r="Q106">
        <v>527760</v>
      </c>
      <c r="R106" s="16" t="s">
        <v>8400</v>
      </c>
      <c r="S106" s="16" t="s">
        <v>8104</v>
      </c>
      <c r="T106" t="s">
        <v>7071</v>
      </c>
      <c r="U106">
        <v>1</v>
      </c>
    </row>
    <row r="107" spans="1:21">
      <c r="A107">
        <v>122</v>
      </c>
      <c r="B107" t="s">
        <v>7073</v>
      </c>
      <c r="C107" t="s">
        <v>441</v>
      </c>
      <c r="D107">
        <v>1100</v>
      </c>
      <c r="E107">
        <v>12</v>
      </c>
      <c r="F107" t="s">
        <v>4047</v>
      </c>
      <c r="G107" t="s">
        <v>555</v>
      </c>
      <c r="H107">
        <v>400</v>
      </c>
      <c r="I107" t="s">
        <v>556</v>
      </c>
      <c r="J107" t="s">
        <v>8933</v>
      </c>
      <c r="L107">
        <v>1</v>
      </c>
      <c r="M107" t="s">
        <v>6886</v>
      </c>
      <c r="N107" t="s">
        <v>6346</v>
      </c>
      <c r="O107" t="s">
        <v>12</v>
      </c>
      <c r="P107" t="s">
        <v>6727</v>
      </c>
      <c r="Q107" t="s">
        <v>6887</v>
      </c>
      <c r="R107" s="16" t="s">
        <v>8402</v>
      </c>
      <c r="S107" s="16" t="s">
        <v>8106</v>
      </c>
      <c r="T107" t="s">
        <v>7745</v>
      </c>
      <c r="U107">
        <v>1</v>
      </c>
    </row>
    <row r="108" spans="1:21">
      <c r="A108">
        <v>123</v>
      </c>
      <c r="B108" t="s">
        <v>7074</v>
      </c>
      <c r="C108" t="s">
        <v>471</v>
      </c>
      <c r="D108">
        <v>1195</v>
      </c>
      <c r="E108">
        <v>12</v>
      </c>
      <c r="F108" t="s">
        <v>248</v>
      </c>
      <c r="G108" t="s">
        <v>660</v>
      </c>
      <c r="H108">
        <v>401</v>
      </c>
      <c r="I108" t="s">
        <v>661</v>
      </c>
      <c r="J108" t="s">
        <v>8934</v>
      </c>
      <c r="L108">
        <v>1</v>
      </c>
      <c r="M108" t="s">
        <v>1</v>
      </c>
      <c r="N108" t="s">
        <v>6445</v>
      </c>
      <c r="O108" t="s">
        <v>12</v>
      </c>
      <c r="P108" t="s">
        <v>6446</v>
      </c>
      <c r="Q108">
        <v>515074</v>
      </c>
      <c r="R108" s="16" t="s">
        <v>6446</v>
      </c>
      <c r="S108" s="16" t="s">
        <v>8068</v>
      </c>
      <c r="T108" t="s">
        <v>7074</v>
      </c>
      <c r="U108">
        <v>1</v>
      </c>
    </row>
    <row r="109" spans="1:21">
      <c r="A109">
        <v>124</v>
      </c>
      <c r="B109" t="s">
        <v>7075</v>
      </c>
      <c r="C109" t="s">
        <v>465</v>
      </c>
      <c r="D109">
        <v>1182</v>
      </c>
      <c r="E109">
        <v>12</v>
      </c>
      <c r="F109" t="s">
        <v>4048</v>
      </c>
      <c r="G109" t="s">
        <v>638</v>
      </c>
      <c r="H109">
        <v>415</v>
      </c>
      <c r="I109" t="s">
        <v>639</v>
      </c>
      <c r="J109" t="s">
        <v>8710</v>
      </c>
      <c r="L109">
        <v>1</v>
      </c>
      <c r="M109" t="s">
        <v>6743</v>
      </c>
      <c r="N109" t="s">
        <v>6482</v>
      </c>
      <c r="O109" t="s">
        <v>12</v>
      </c>
      <c r="P109" t="s">
        <v>6744</v>
      </c>
      <c r="Q109" t="s">
        <v>6745</v>
      </c>
      <c r="R109" s="16" t="s">
        <v>8403</v>
      </c>
      <c r="S109" s="16" t="s">
        <v>8107</v>
      </c>
      <c r="T109" t="s">
        <v>7075</v>
      </c>
      <c r="U109">
        <v>1</v>
      </c>
    </row>
    <row r="110" spans="1:21">
      <c r="A110">
        <v>125</v>
      </c>
      <c r="B110" t="s">
        <v>7076</v>
      </c>
      <c r="C110" t="s">
        <v>455</v>
      </c>
      <c r="D110">
        <v>1146</v>
      </c>
      <c r="E110">
        <v>12</v>
      </c>
      <c r="F110" t="s">
        <v>4049</v>
      </c>
      <c r="G110" t="s">
        <v>602</v>
      </c>
      <c r="H110">
        <v>417</v>
      </c>
      <c r="I110" t="s">
        <v>603</v>
      </c>
      <c r="J110" t="s">
        <v>8710</v>
      </c>
      <c r="L110">
        <v>1</v>
      </c>
      <c r="M110" t="s">
        <v>4364</v>
      </c>
      <c r="N110" t="s">
        <v>6355</v>
      </c>
      <c r="O110" t="s">
        <v>12</v>
      </c>
      <c r="P110" t="s">
        <v>6833</v>
      </c>
      <c r="Q110" t="s">
        <v>6834</v>
      </c>
      <c r="R110" s="16" t="s">
        <v>8404</v>
      </c>
      <c r="S110" s="16" t="s">
        <v>8108</v>
      </c>
      <c r="T110" t="s">
        <v>7076</v>
      </c>
      <c r="U110">
        <v>1</v>
      </c>
    </row>
    <row r="111" spans="1:21">
      <c r="A111">
        <v>130</v>
      </c>
      <c r="B111" t="s">
        <v>7081</v>
      </c>
      <c r="C111" t="s">
        <v>552</v>
      </c>
      <c r="D111">
        <v>1099</v>
      </c>
      <c r="E111">
        <v>11</v>
      </c>
      <c r="F111" t="s">
        <v>40</v>
      </c>
      <c r="G111" t="s">
        <v>553</v>
      </c>
      <c r="H111">
        <v>436</v>
      </c>
      <c r="I111" t="s">
        <v>554</v>
      </c>
      <c r="J111" t="s">
        <v>8711</v>
      </c>
      <c r="L111">
        <v>1</v>
      </c>
      <c r="M111" t="s">
        <v>6419</v>
      </c>
      <c r="N111" t="s">
        <v>6420</v>
      </c>
      <c r="O111" t="s">
        <v>12</v>
      </c>
      <c r="P111">
        <v>-13160</v>
      </c>
      <c r="Q111">
        <v>510600</v>
      </c>
      <c r="R111" s="16" t="s">
        <v>8408</v>
      </c>
      <c r="S111" s="16" t="s">
        <v>8059</v>
      </c>
      <c r="T111" t="s">
        <v>7746</v>
      </c>
      <c r="U111">
        <v>1</v>
      </c>
    </row>
    <row r="112" spans="1:21">
      <c r="A112">
        <v>131</v>
      </c>
      <c r="B112" t="s">
        <v>8702</v>
      </c>
      <c r="C112" t="s">
        <v>427</v>
      </c>
      <c r="D112">
        <v>1017</v>
      </c>
      <c r="E112">
        <v>11</v>
      </c>
      <c r="F112" t="s">
        <v>13</v>
      </c>
      <c r="G112" t="s">
        <v>513</v>
      </c>
      <c r="H112">
        <v>447</v>
      </c>
      <c r="I112" t="s">
        <v>514</v>
      </c>
      <c r="J112" s="5" t="s">
        <v>8703</v>
      </c>
      <c r="L112">
        <v>1</v>
      </c>
      <c r="M112" t="s">
        <v>6348</v>
      </c>
      <c r="N112" t="s">
        <v>6349</v>
      </c>
      <c r="O112" t="s">
        <v>12</v>
      </c>
      <c r="P112">
        <v>10810</v>
      </c>
      <c r="Q112">
        <v>512810</v>
      </c>
      <c r="R112" s="16" t="s">
        <v>8360</v>
      </c>
      <c r="S112" s="16" t="s">
        <v>8063</v>
      </c>
      <c r="T112" t="s">
        <v>7908</v>
      </c>
      <c r="U112">
        <v>1</v>
      </c>
    </row>
    <row r="113" spans="1:21">
      <c r="A113">
        <v>134</v>
      </c>
      <c r="B113" t="s">
        <v>7084</v>
      </c>
      <c r="C113" t="s">
        <v>773</v>
      </c>
      <c r="D113">
        <v>1284</v>
      </c>
      <c r="E113">
        <v>13</v>
      </c>
      <c r="F113" t="s">
        <v>4068</v>
      </c>
      <c r="G113" t="s">
        <v>774</v>
      </c>
      <c r="H113">
        <v>483</v>
      </c>
      <c r="I113" t="s">
        <v>775</v>
      </c>
      <c r="J113" t="s">
        <v>8711</v>
      </c>
      <c r="L113">
        <v>1</v>
      </c>
      <c r="M113" t="s">
        <v>6471</v>
      </c>
      <c r="N113" t="s">
        <v>6359</v>
      </c>
      <c r="O113" t="s">
        <v>104</v>
      </c>
      <c r="P113">
        <v>19090</v>
      </c>
      <c r="Q113">
        <v>479020</v>
      </c>
      <c r="R113" s="16" t="s">
        <v>8369</v>
      </c>
      <c r="S113" s="16" t="s">
        <v>8074</v>
      </c>
      <c r="T113" t="s">
        <v>7748</v>
      </c>
      <c r="U113">
        <v>1</v>
      </c>
    </row>
    <row r="114" spans="1:21">
      <c r="A114">
        <v>136</v>
      </c>
      <c r="B114" t="s">
        <v>7086</v>
      </c>
      <c r="C114" t="s">
        <v>437</v>
      </c>
      <c r="D114">
        <v>1073</v>
      </c>
      <c r="E114">
        <v>11</v>
      </c>
      <c r="F114" t="s">
        <v>13</v>
      </c>
      <c r="G114" t="s">
        <v>544</v>
      </c>
      <c r="H114">
        <v>517</v>
      </c>
      <c r="I114" t="s">
        <v>545</v>
      </c>
      <c r="J114" t="s">
        <v>8712</v>
      </c>
      <c r="L114">
        <v>1</v>
      </c>
      <c r="M114" t="s">
        <v>6348</v>
      </c>
      <c r="N114" t="s">
        <v>6349</v>
      </c>
      <c r="O114" t="s">
        <v>12</v>
      </c>
      <c r="P114">
        <v>10810</v>
      </c>
      <c r="Q114">
        <v>512810</v>
      </c>
      <c r="R114" s="16" t="s">
        <v>8360</v>
      </c>
      <c r="S114" s="16" t="s">
        <v>8063</v>
      </c>
      <c r="T114" t="s">
        <v>7750</v>
      </c>
      <c r="U114">
        <v>1</v>
      </c>
    </row>
    <row r="115" spans="1:21">
      <c r="A115">
        <v>137</v>
      </c>
      <c r="B115" t="s">
        <v>7087</v>
      </c>
      <c r="C115" t="s">
        <v>426</v>
      </c>
      <c r="D115">
        <v>1015</v>
      </c>
      <c r="E115">
        <v>11</v>
      </c>
      <c r="F115" t="s">
        <v>4077</v>
      </c>
      <c r="G115" t="s">
        <v>511</v>
      </c>
      <c r="H115">
        <v>518</v>
      </c>
      <c r="I115" t="s">
        <v>512</v>
      </c>
      <c r="J115" t="s">
        <v>8713</v>
      </c>
      <c r="L115">
        <v>1</v>
      </c>
      <c r="M115" t="s">
        <v>6497</v>
      </c>
      <c r="N115" t="s">
        <v>6385</v>
      </c>
      <c r="O115" t="s">
        <v>12</v>
      </c>
      <c r="P115">
        <v>-22210</v>
      </c>
      <c r="Q115">
        <v>521920</v>
      </c>
      <c r="R115" s="16" t="s">
        <v>8358</v>
      </c>
      <c r="S115" s="16" t="s">
        <v>8061</v>
      </c>
      <c r="T115" t="s">
        <v>7751</v>
      </c>
      <c r="U115">
        <v>1</v>
      </c>
    </row>
    <row r="116" spans="1:21">
      <c r="A116">
        <v>138</v>
      </c>
      <c r="B116" t="s">
        <v>7088</v>
      </c>
      <c r="C116" t="s">
        <v>628</v>
      </c>
      <c r="D116">
        <v>1171</v>
      </c>
      <c r="E116">
        <v>12</v>
      </c>
      <c r="F116" t="s">
        <v>12</v>
      </c>
      <c r="G116" t="s">
        <v>629</v>
      </c>
      <c r="H116">
        <v>519</v>
      </c>
      <c r="I116" t="s">
        <v>630</v>
      </c>
      <c r="J116" t="s">
        <v>8795</v>
      </c>
      <c r="L116">
        <v>0</v>
      </c>
      <c r="R116" s="16" t="s">
        <v>8064</v>
      </c>
      <c r="S116" s="16" t="s">
        <v>8064</v>
      </c>
      <c r="T116" t="s">
        <v>7752</v>
      </c>
      <c r="U116">
        <v>1</v>
      </c>
    </row>
    <row r="117" spans="1:21">
      <c r="A117">
        <v>139</v>
      </c>
      <c r="B117" t="s">
        <v>7089</v>
      </c>
      <c r="C117" t="s">
        <v>400</v>
      </c>
      <c r="D117">
        <v>1257</v>
      </c>
      <c r="E117">
        <v>13</v>
      </c>
      <c r="F117" t="s">
        <v>27</v>
      </c>
      <c r="G117" t="s">
        <v>732</v>
      </c>
      <c r="H117">
        <v>520</v>
      </c>
      <c r="I117" t="s">
        <v>733</v>
      </c>
      <c r="J117" t="s">
        <v>8714</v>
      </c>
      <c r="L117">
        <v>1</v>
      </c>
      <c r="M117" t="s">
        <v>6486</v>
      </c>
      <c r="N117" t="s">
        <v>6487</v>
      </c>
      <c r="O117" t="s">
        <v>12</v>
      </c>
      <c r="P117" t="s">
        <v>6488</v>
      </c>
      <c r="Q117">
        <v>517520</v>
      </c>
      <c r="R117" s="16" t="s">
        <v>8357</v>
      </c>
      <c r="S117" s="16" t="s">
        <v>8060</v>
      </c>
      <c r="T117" t="s">
        <v>7753</v>
      </c>
      <c r="U117">
        <v>1</v>
      </c>
    </row>
    <row r="118" spans="1:21">
      <c r="A118">
        <v>140</v>
      </c>
      <c r="B118" t="s">
        <v>7090</v>
      </c>
      <c r="C118" t="s">
        <v>472</v>
      </c>
      <c r="D118">
        <v>1198</v>
      </c>
      <c r="E118">
        <v>12</v>
      </c>
      <c r="F118" t="s">
        <v>12</v>
      </c>
      <c r="G118" t="s">
        <v>662</v>
      </c>
      <c r="H118">
        <v>521</v>
      </c>
      <c r="I118" t="s">
        <v>663</v>
      </c>
      <c r="J118" t="s">
        <v>8796</v>
      </c>
      <c r="L118">
        <v>0</v>
      </c>
      <c r="R118" s="16" t="s">
        <v>8064</v>
      </c>
      <c r="S118" s="16" t="s">
        <v>8064</v>
      </c>
      <c r="T118" t="s">
        <v>7754</v>
      </c>
      <c r="U118">
        <v>1</v>
      </c>
    </row>
    <row r="119" spans="1:21">
      <c r="A119">
        <v>141</v>
      </c>
      <c r="B119" t="s">
        <v>7091</v>
      </c>
      <c r="C119" t="s">
        <v>398</v>
      </c>
      <c r="D119">
        <v>1253</v>
      </c>
      <c r="E119">
        <v>13</v>
      </c>
      <c r="F119" t="s">
        <v>4083</v>
      </c>
      <c r="G119" t="s">
        <v>726</v>
      </c>
      <c r="H119">
        <v>522</v>
      </c>
      <c r="I119" t="s">
        <v>727</v>
      </c>
      <c r="J119" t="s">
        <v>8714</v>
      </c>
      <c r="L119">
        <v>1</v>
      </c>
      <c r="M119" t="s">
        <v>6883</v>
      </c>
      <c r="N119" t="s">
        <v>6367</v>
      </c>
      <c r="O119" t="s">
        <v>12</v>
      </c>
      <c r="P119" t="s">
        <v>6884</v>
      </c>
      <c r="Q119" t="s">
        <v>6885</v>
      </c>
      <c r="R119" s="16" t="s">
        <v>8410</v>
      </c>
      <c r="S119" s="16" t="s">
        <v>8113</v>
      </c>
      <c r="T119" t="s">
        <v>7755</v>
      </c>
      <c r="U119">
        <v>1</v>
      </c>
    </row>
    <row r="120" spans="1:21">
      <c r="A120">
        <v>143</v>
      </c>
      <c r="B120" t="s">
        <v>7093</v>
      </c>
      <c r="C120" t="s">
        <v>434</v>
      </c>
      <c r="D120">
        <v>1059</v>
      </c>
      <c r="E120">
        <v>11</v>
      </c>
      <c r="F120" t="s">
        <v>258</v>
      </c>
      <c r="G120" t="s">
        <v>532</v>
      </c>
      <c r="H120">
        <v>524</v>
      </c>
      <c r="I120" t="s">
        <v>533</v>
      </c>
      <c r="J120" t="s">
        <v>8715</v>
      </c>
      <c r="L120">
        <v>1</v>
      </c>
      <c r="M120" t="s">
        <v>6396</v>
      </c>
      <c r="N120" t="s">
        <v>6397</v>
      </c>
      <c r="O120" t="s">
        <v>12</v>
      </c>
      <c r="P120">
        <v>-35330</v>
      </c>
      <c r="Q120">
        <v>507180</v>
      </c>
      <c r="R120" s="16" t="s">
        <v>8359</v>
      </c>
      <c r="S120" s="16" t="s">
        <v>8062</v>
      </c>
      <c r="T120" t="s">
        <v>7757</v>
      </c>
      <c r="U120">
        <v>1</v>
      </c>
    </row>
    <row r="121" spans="1:21">
      <c r="A121">
        <v>155</v>
      </c>
      <c r="B121" t="s">
        <v>7104</v>
      </c>
      <c r="C121" t="s">
        <v>402</v>
      </c>
      <c r="D121">
        <v>1261</v>
      </c>
      <c r="E121">
        <v>13</v>
      </c>
      <c r="F121" t="s">
        <v>4102</v>
      </c>
      <c r="G121" t="s">
        <v>743</v>
      </c>
      <c r="H121">
        <v>536</v>
      </c>
      <c r="I121" t="s">
        <v>744</v>
      </c>
      <c r="J121" t="s">
        <v>8716</v>
      </c>
      <c r="L121">
        <v>1</v>
      </c>
      <c r="M121" t="s">
        <v>6752</v>
      </c>
      <c r="N121" t="s">
        <v>6752</v>
      </c>
      <c r="O121" t="s">
        <v>6753</v>
      </c>
      <c r="P121" t="s">
        <v>6754</v>
      </c>
      <c r="Q121" t="s">
        <v>6755</v>
      </c>
      <c r="R121" s="16" t="s">
        <v>8415</v>
      </c>
      <c r="S121" s="16" t="s">
        <v>8119</v>
      </c>
      <c r="T121" t="s">
        <v>7765</v>
      </c>
      <c r="U121">
        <v>1</v>
      </c>
    </row>
    <row r="122" spans="1:21">
      <c r="A122">
        <v>156</v>
      </c>
      <c r="B122" t="s">
        <v>7105</v>
      </c>
      <c r="C122" t="s">
        <v>425</v>
      </c>
      <c r="D122">
        <v>1013</v>
      </c>
      <c r="E122">
        <v>11</v>
      </c>
      <c r="F122" t="s">
        <v>4077</v>
      </c>
      <c r="G122" t="s">
        <v>509</v>
      </c>
      <c r="H122">
        <v>538</v>
      </c>
      <c r="I122" t="s">
        <v>510</v>
      </c>
      <c r="J122" t="s">
        <v>8717</v>
      </c>
      <c r="L122">
        <v>1</v>
      </c>
      <c r="M122" t="s">
        <v>6497</v>
      </c>
      <c r="N122" t="s">
        <v>6385</v>
      </c>
      <c r="O122" t="s">
        <v>12</v>
      </c>
      <c r="P122">
        <v>-22210</v>
      </c>
      <c r="Q122">
        <v>521920</v>
      </c>
      <c r="R122" s="16" t="s">
        <v>8358</v>
      </c>
      <c r="S122" s="16" t="s">
        <v>8061</v>
      </c>
      <c r="T122" t="s">
        <v>7766</v>
      </c>
      <c r="U122">
        <v>1</v>
      </c>
    </row>
    <row r="123" spans="1:21">
      <c r="A123">
        <v>157</v>
      </c>
      <c r="B123" t="s">
        <v>7106</v>
      </c>
      <c r="C123" t="s">
        <v>480</v>
      </c>
      <c r="D123">
        <v>1137</v>
      </c>
      <c r="E123">
        <v>12</v>
      </c>
      <c r="F123" t="s">
        <v>3993</v>
      </c>
      <c r="G123" t="s">
        <v>573</v>
      </c>
      <c r="H123">
        <v>539</v>
      </c>
      <c r="I123" t="s">
        <v>574</v>
      </c>
      <c r="J123" t="s">
        <v>8935</v>
      </c>
      <c r="L123">
        <v>1</v>
      </c>
      <c r="M123" t="s">
        <v>6960</v>
      </c>
      <c r="N123" t="s">
        <v>6420</v>
      </c>
      <c r="O123" t="s">
        <v>12</v>
      </c>
      <c r="P123" t="s">
        <v>6961</v>
      </c>
      <c r="Q123" t="s">
        <v>6962</v>
      </c>
      <c r="R123" s="16" t="s">
        <v>8356</v>
      </c>
      <c r="S123" s="16" t="s">
        <v>8059</v>
      </c>
      <c r="T123" t="s">
        <v>7106</v>
      </c>
      <c r="U123">
        <v>1</v>
      </c>
    </row>
    <row r="124" spans="1:21">
      <c r="A124">
        <v>158</v>
      </c>
      <c r="B124" t="s">
        <v>7107</v>
      </c>
      <c r="C124" t="s">
        <v>444</v>
      </c>
      <c r="D124">
        <v>1105</v>
      </c>
      <c r="E124">
        <v>12</v>
      </c>
      <c r="F124" t="s">
        <v>4106</v>
      </c>
      <c r="G124" t="s">
        <v>561</v>
      </c>
      <c r="H124">
        <v>540</v>
      </c>
      <c r="I124" t="s">
        <v>562</v>
      </c>
      <c r="J124" t="s">
        <v>8718</v>
      </c>
      <c r="L124">
        <v>1</v>
      </c>
      <c r="M124" t="s">
        <v>6497</v>
      </c>
      <c r="N124" t="s">
        <v>6385</v>
      </c>
      <c r="O124" t="s">
        <v>12</v>
      </c>
      <c r="P124">
        <v>-22210</v>
      </c>
      <c r="Q124">
        <v>521920</v>
      </c>
      <c r="R124" s="16" t="s">
        <v>8358</v>
      </c>
      <c r="S124" s="16" t="s">
        <v>8061</v>
      </c>
      <c r="T124" t="s">
        <v>7767</v>
      </c>
      <c r="U124">
        <v>1</v>
      </c>
    </row>
    <row r="125" spans="1:21">
      <c r="A125">
        <v>159</v>
      </c>
      <c r="B125" t="s">
        <v>7108</v>
      </c>
      <c r="C125" t="s">
        <v>454</v>
      </c>
      <c r="D125">
        <v>1140</v>
      </c>
      <c r="E125">
        <v>12</v>
      </c>
      <c r="F125" t="s">
        <v>4108</v>
      </c>
      <c r="G125" t="s">
        <v>597</v>
      </c>
      <c r="H125">
        <v>541</v>
      </c>
      <c r="I125" t="s">
        <v>598</v>
      </c>
      <c r="J125" t="s">
        <v>8718</v>
      </c>
      <c r="L125">
        <v>1</v>
      </c>
      <c r="M125" t="s">
        <v>6348</v>
      </c>
      <c r="N125" t="s">
        <v>6349</v>
      </c>
      <c r="O125" t="s">
        <v>12</v>
      </c>
      <c r="P125">
        <v>10810</v>
      </c>
      <c r="Q125">
        <v>512810</v>
      </c>
      <c r="R125" s="16" t="s">
        <v>8360</v>
      </c>
      <c r="S125" s="16" t="s">
        <v>8063</v>
      </c>
      <c r="T125" t="s">
        <v>7768</v>
      </c>
      <c r="U125">
        <v>1</v>
      </c>
    </row>
    <row r="126" spans="1:21">
      <c r="A126">
        <v>165</v>
      </c>
      <c r="B126" t="s">
        <v>7113</v>
      </c>
      <c r="C126" t="s">
        <v>421</v>
      </c>
      <c r="D126">
        <v>978</v>
      </c>
      <c r="E126">
        <v>10</v>
      </c>
      <c r="F126" t="s">
        <v>4118</v>
      </c>
      <c r="G126" t="s">
        <v>499</v>
      </c>
      <c r="H126">
        <v>549</v>
      </c>
      <c r="I126" t="s">
        <v>500</v>
      </c>
      <c r="J126" t="s">
        <v>8936</v>
      </c>
      <c r="L126">
        <v>1</v>
      </c>
      <c r="M126" t="s">
        <v>6285</v>
      </c>
      <c r="N126" t="s">
        <v>6286</v>
      </c>
      <c r="O126" t="s">
        <v>12</v>
      </c>
      <c r="P126">
        <v>-12833</v>
      </c>
      <c r="Q126">
        <v>516700</v>
      </c>
      <c r="R126" s="16" t="s">
        <v>8418</v>
      </c>
      <c r="S126" s="16" t="s">
        <v>8122</v>
      </c>
      <c r="T126" t="s">
        <v>7773</v>
      </c>
      <c r="U126">
        <v>1</v>
      </c>
    </row>
    <row r="127" spans="1:21">
      <c r="A127">
        <v>166</v>
      </c>
      <c r="B127" t="s">
        <v>7114</v>
      </c>
      <c r="C127" t="s">
        <v>421</v>
      </c>
      <c r="D127">
        <v>978</v>
      </c>
      <c r="E127">
        <v>10</v>
      </c>
      <c r="F127" t="s">
        <v>4118</v>
      </c>
      <c r="G127" t="s">
        <v>499</v>
      </c>
      <c r="H127">
        <v>549</v>
      </c>
      <c r="I127" t="s">
        <v>500</v>
      </c>
      <c r="J127" t="s">
        <v>8719</v>
      </c>
      <c r="L127">
        <v>1</v>
      </c>
      <c r="M127" t="s">
        <v>6285</v>
      </c>
      <c r="N127" t="s">
        <v>6286</v>
      </c>
      <c r="O127" t="s">
        <v>12</v>
      </c>
      <c r="P127">
        <v>-12833</v>
      </c>
      <c r="Q127">
        <v>516700</v>
      </c>
      <c r="R127" s="16" t="s">
        <v>8418</v>
      </c>
      <c r="S127" s="16" t="s">
        <v>8122</v>
      </c>
      <c r="T127" t="s">
        <v>7774</v>
      </c>
      <c r="U127">
        <v>1</v>
      </c>
    </row>
    <row r="128" spans="1:21">
      <c r="A128">
        <v>167</v>
      </c>
      <c r="B128" t="s">
        <v>7115</v>
      </c>
      <c r="C128" t="s">
        <v>428</v>
      </c>
      <c r="D128">
        <v>1016</v>
      </c>
      <c r="E128">
        <v>11</v>
      </c>
      <c r="F128" t="s">
        <v>34</v>
      </c>
      <c r="G128" t="s">
        <v>515</v>
      </c>
      <c r="H128">
        <v>550</v>
      </c>
      <c r="I128" t="s">
        <v>516</v>
      </c>
      <c r="J128" t="s">
        <v>8720</v>
      </c>
      <c r="L128">
        <v>1</v>
      </c>
      <c r="M128" t="s">
        <v>6497</v>
      </c>
      <c r="N128" t="s">
        <v>6385</v>
      </c>
      <c r="O128" t="s">
        <v>12</v>
      </c>
      <c r="P128" t="s">
        <v>6968</v>
      </c>
      <c r="Q128" t="s">
        <v>6969</v>
      </c>
      <c r="R128" s="16" t="s">
        <v>8358</v>
      </c>
      <c r="S128" s="16" t="s">
        <v>8061</v>
      </c>
      <c r="T128" t="s">
        <v>7775</v>
      </c>
      <c r="U128">
        <v>1</v>
      </c>
    </row>
    <row r="129" spans="1:21">
      <c r="A129">
        <v>168</v>
      </c>
      <c r="B129" t="s">
        <v>7116</v>
      </c>
      <c r="C129" t="s">
        <v>440</v>
      </c>
      <c r="D129">
        <v>1096</v>
      </c>
      <c r="E129">
        <v>11</v>
      </c>
      <c r="F129" t="s">
        <v>34</v>
      </c>
      <c r="G129" t="s">
        <v>550</v>
      </c>
      <c r="H129">
        <v>551</v>
      </c>
      <c r="I129" t="s">
        <v>551</v>
      </c>
      <c r="J129" t="s">
        <v>8720</v>
      </c>
      <c r="L129">
        <v>1</v>
      </c>
      <c r="M129" t="s">
        <v>6497</v>
      </c>
      <c r="N129" t="s">
        <v>6385</v>
      </c>
      <c r="O129" t="s">
        <v>12</v>
      </c>
      <c r="P129" t="s">
        <v>6968</v>
      </c>
      <c r="Q129" t="s">
        <v>6969</v>
      </c>
      <c r="R129" s="16" t="s">
        <v>8358</v>
      </c>
      <c r="S129" s="16" t="s">
        <v>8061</v>
      </c>
      <c r="T129" t="s">
        <v>7775</v>
      </c>
      <c r="U129">
        <v>1</v>
      </c>
    </row>
    <row r="130" spans="1:21">
      <c r="A130">
        <v>170</v>
      </c>
      <c r="B130" t="s">
        <v>7118</v>
      </c>
      <c r="C130" t="s">
        <v>385</v>
      </c>
      <c r="D130">
        <v>1221</v>
      </c>
      <c r="E130">
        <v>13</v>
      </c>
      <c r="F130" t="s">
        <v>4124</v>
      </c>
      <c r="G130" t="s">
        <v>686</v>
      </c>
      <c r="H130">
        <v>554</v>
      </c>
      <c r="I130" t="s">
        <v>687</v>
      </c>
      <c r="J130" t="s">
        <v>8937</v>
      </c>
      <c r="L130">
        <v>1</v>
      </c>
      <c r="M130" t="s">
        <v>6391</v>
      </c>
      <c r="N130" t="s">
        <v>6346</v>
      </c>
      <c r="O130" t="s">
        <v>12</v>
      </c>
      <c r="P130" t="s">
        <v>6392</v>
      </c>
      <c r="Q130">
        <v>523970</v>
      </c>
      <c r="R130" s="16" t="s">
        <v>8419</v>
      </c>
      <c r="S130" s="16" t="s">
        <v>8123</v>
      </c>
      <c r="T130" t="s">
        <v>7777</v>
      </c>
      <c r="U130">
        <v>1</v>
      </c>
    </row>
    <row r="131" spans="1:21">
      <c r="A131">
        <v>173</v>
      </c>
      <c r="B131" t="s">
        <v>7121</v>
      </c>
      <c r="C131" t="s">
        <v>450</v>
      </c>
      <c r="D131">
        <v>1128</v>
      </c>
      <c r="E131">
        <v>12</v>
      </c>
      <c r="F131" t="s">
        <v>112</v>
      </c>
      <c r="G131" t="s">
        <v>575</v>
      </c>
      <c r="H131">
        <v>559</v>
      </c>
      <c r="I131" t="s">
        <v>576</v>
      </c>
      <c r="J131" t="s">
        <v>8938</v>
      </c>
      <c r="L131">
        <v>1</v>
      </c>
      <c r="M131" t="s">
        <v>6684</v>
      </c>
      <c r="N131" t="s">
        <v>6346</v>
      </c>
      <c r="O131" t="s">
        <v>12</v>
      </c>
      <c r="P131" t="s">
        <v>6685</v>
      </c>
      <c r="Q131" t="s">
        <v>6686</v>
      </c>
      <c r="R131" s="16" t="s">
        <v>8420</v>
      </c>
      <c r="S131" s="16" t="s">
        <v>8124</v>
      </c>
      <c r="T131" t="s">
        <v>7780</v>
      </c>
      <c r="U131">
        <v>1</v>
      </c>
    </row>
    <row r="132" spans="1:21">
      <c r="A132">
        <v>174</v>
      </c>
      <c r="B132" t="s">
        <v>7122</v>
      </c>
      <c r="C132" t="s">
        <v>450</v>
      </c>
      <c r="D132">
        <v>1128</v>
      </c>
      <c r="E132">
        <v>12</v>
      </c>
      <c r="F132" t="s">
        <v>112</v>
      </c>
      <c r="G132" t="s">
        <v>575</v>
      </c>
      <c r="H132">
        <v>559</v>
      </c>
      <c r="I132" t="s">
        <v>576</v>
      </c>
      <c r="J132" t="s">
        <v>8939</v>
      </c>
      <c r="L132">
        <v>1</v>
      </c>
      <c r="M132" t="s">
        <v>6684</v>
      </c>
      <c r="N132" t="s">
        <v>6346</v>
      </c>
      <c r="O132" t="s">
        <v>12</v>
      </c>
      <c r="P132" t="s">
        <v>6685</v>
      </c>
      <c r="Q132" t="s">
        <v>6686</v>
      </c>
      <c r="R132" s="16" t="s">
        <v>8420</v>
      </c>
      <c r="S132" s="16" t="s">
        <v>8124</v>
      </c>
      <c r="T132" t="s">
        <v>7122</v>
      </c>
      <c r="U132">
        <v>1</v>
      </c>
    </row>
    <row r="133" spans="1:21">
      <c r="A133">
        <v>175</v>
      </c>
      <c r="B133" t="s">
        <v>7123</v>
      </c>
      <c r="C133" t="s">
        <v>467</v>
      </c>
      <c r="D133">
        <v>1181</v>
      </c>
      <c r="E133">
        <v>12</v>
      </c>
      <c r="F133" t="s">
        <v>4131</v>
      </c>
      <c r="G133" t="s">
        <v>649</v>
      </c>
      <c r="H133">
        <v>560</v>
      </c>
      <c r="I133" t="s">
        <v>650</v>
      </c>
      <c r="J133" t="s">
        <v>8940</v>
      </c>
      <c r="L133">
        <v>1</v>
      </c>
      <c r="M133" t="s">
        <v>6957</v>
      </c>
      <c r="N133" t="s">
        <v>6367</v>
      </c>
      <c r="O133" t="s">
        <v>12</v>
      </c>
      <c r="P133" t="s">
        <v>6958</v>
      </c>
      <c r="Q133" t="s">
        <v>6959</v>
      </c>
      <c r="R133" s="16" t="s">
        <v>8421</v>
      </c>
      <c r="S133" s="16" t="s">
        <v>8125</v>
      </c>
      <c r="T133" t="s">
        <v>7781</v>
      </c>
      <c r="U133">
        <v>1</v>
      </c>
    </row>
    <row r="134" spans="1:21">
      <c r="A134">
        <v>176</v>
      </c>
      <c r="B134" t="s">
        <v>7124</v>
      </c>
      <c r="C134" t="s">
        <v>430</v>
      </c>
      <c r="D134">
        <v>1027</v>
      </c>
      <c r="E134">
        <v>11</v>
      </c>
      <c r="F134" t="s">
        <v>40</v>
      </c>
      <c r="G134" t="s">
        <v>519</v>
      </c>
      <c r="H134">
        <v>561</v>
      </c>
      <c r="I134" t="s">
        <v>520</v>
      </c>
      <c r="J134" t="s">
        <v>8941</v>
      </c>
      <c r="L134">
        <v>1</v>
      </c>
      <c r="M134" t="s">
        <v>6419</v>
      </c>
      <c r="N134" t="s">
        <v>6420</v>
      </c>
      <c r="O134" t="s">
        <v>12</v>
      </c>
      <c r="P134">
        <v>-13160</v>
      </c>
      <c r="Q134">
        <v>510600</v>
      </c>
      <c r="R134" s="16" t="s">
        <v>8408</v>
      </c>
      <c r="S134" s="16" t="s">
        <v>8059</v>
      </c>
      <c r="T134" t="s">
        <v>7124</v>
      </c>
      <c r="U134">
        <v>1</v>
      </c>
    </row>
    <row r="135" spans="1:21">
      <c r="A135">
        <v>177</v>
      </c>
      <c r="B135" t="s">
        <v>7125</v>
      </c>
      <c r="C135" t="s">
        <v>430</v>
      </c>
      <c r="D135">
        <v>1027</v>
      </c>
      <c r="E135">
        <v>11</v>
      </c>
      <c r="F135" t="s">
        <v>40</v>
      </c>
      <c r="G135" t="s">
        <v>519</v>
      </c>
      <c r="H135">
        <v>561</v>
      </c>
      <c r="I135" t="s">
        <v>520</v>
      </c>
      <c r="J135" t="s">
        <v>8942</v>
      </c>
      <c r="L135">
        <v>1</v>
      </c>
      <c r="M135" t="s">
        <v>6419</v>
      </c>
      <c r="N135" t="s">
        <v>6420</v>
      </c>
      <c r="O135" t="s">
        <v>12</v>
      </c>
      <c r="P135">
        <v>-13160</v>
      </c>
      <c r="Q135">
        <v>510600</v>
      </c>
      <c r="R135" s="16" t="s">
        <v>8408</v>
      </c>
      <c r="S135" s="16" t="s">
        <v>8059</v>
      </c>
      <c r="T135" t="s">
        <v>7125</v>
      </c>
      <c r="U135">
        <v>1</v>
      </c>
    </row>
    <row r="136" spans="1:21">
      <c r="A136">
        <v>183</v>
      </c>
      <c r="B136" t="s">
        <v>7131</v>
      </c>
      <c r="C136" t="s">
        <v>457</v>
      </c>
      <c r="D136">
        <v>1151</v>
      </c>
      <c r="E136">
        <v>12</v>
      </c>
      <c r="F136" t="s">
        <v>4140</v>
      </c>
      <c r="G136" t="s">
        <v>613</v>
      </c>
      <c r="H136">
        <v>574</v>
      </c>
      <c r="I136" t="s">
        <v>614</v>
      </c>
      <c r="J136" t="s">
        <v>8943</v>
      </c>
      <c r="L136">
        <v>1</v>
      </c>
      <c r="M136" t="s">
        <v>4463</v>
      </c>
      <c r="N136" t="s">
        <v>6364</v>
      </c>
      <c r="O136" t="s">
        <v>12</v>
      </c>
      <c r="P136" t="s">
        <v>6365</v>
      </c>
      <c r="Q136">
        <v>508360</v>
      </c>
      <c r="R136" s="16" t="s">
        <v>8423</v>
      </c>
      <c r="S136" s="16" t="s">
        <v>8127</v>
      </c>
      <c r="T136" t="s">
        <v>7787</v>
      </c>
      <c r="U136">
        <v>1</v>
      </c>
    </row>
    <row r="137" spans="1:21">
      <c r="A137">
        <v>184</v>
      </c>
      <c r="B137" t="s">
        <v>7132</v>
      </c>
      <c r="C137" t="s">
        <v>436</v>
      </c>
      <c r="D137">
        <v>1074</v>
      </c>
      <c r="E137">
        <v>11</v>
      </c>
      <c r="F137" t="s">
        <v>4142</v>
      </c>
      <c r="G137" t="s">
        <v>542</v>
      </c>
      <c r="H137">
        <v>575</v>
      </c>
      <c r="I137" t="s">
        <v>543</v>
      </c>
      <c r="J137" t="s">
        <v>8944</v>
      </c>
      <c r="L137">
        <v>1</v>
      </c>
      <c r="M137" t="s">
        <v>6496</v>
      </c>
      <c r="N137" t="s">
        <v>6413</v>
      </c>
      <c r="O137" t="s">
        <v>12</v>
      </c>
      <c r="P137">
        <v>-21170</v>
      </c>
      <c r="Q137">
        <v>512090</v>
      </c>
      <c r="R137" s="16" t="s">
        <v>8424</v>
      </c>
      <c r="S137" s="16" t="s">
        <v>8128</v>
      </c>
      <c r="T137" t="s">
        <v>7132</v>
      </c>
      <c r="U137">
        <v>1</v>
      </c>
    </row>
    <row r="138" spans="1:21">
      <c r="A138">
        <v>194</v>
      </c>
      <c r="B138" t="s">
        <v>7142</v>
      </c>
      <c r="C138" t="s">
        <v>468</v>
      </c>
      <c r="D138">
        <v>1192</v>
      </c>
      <c r="E138">
        <v>12</v>
      </c>
      <c r="F138" t="s">
        <v>29</v>
      </c>
      <c r="G138" t="s">
        <v>651</v>
      </c>
      <c r="H138">
        <v>620</v>
      </c>
      <c r="I138" t="s">
        <v>652</v>
      </c>
      <c r="J138" t="s">
        <v>8945</v>
      </c>
      <c r="L138">
        <v>1</v>
      </c>
      <c r="M138" t="s">
        <v>6729</v>
      </c>
      <c r="N138" t="s">
        <v>6730</v>
      </c>
      <c r="O138" t="s">
        <v>12</v>
      </c>
      <c r="P138" t="s">
        <v>6731</v>
      </c>
      <c r="Q138" t="s">
        <v>6732</v>
      </c>
      <c r="R138" s="16" t="s">
        <v>8422</v>
      </c>
      <c r="S138" s="16" t="s">
        <v>8126</v>
      </c>
      <c r="T138" t="s">
        <v>7142</v>
      </c>
      <c r="U138">
        <v>1</v>
      </c>
    </row>
    <row r="139" spans="1:21">
      <c r="A139">
        <v>199</v>
      </c>
      <c r="B139" t="s">
        <v>7147</v>
      </c>
      <c r="C139" t="s">
        <v>447</v>
      </c>
      <c r="D139">
        <v>1132</v>
      </c>
      <c r="E139">
        <v>12</v>
      </c>
      <c r="F139" t="s">
        <v>27</v>
      </c>
      <c r="G139" t="s">
        <v>567</v>
      </c>
      <c r="H139">
        <v>627</v>
      </c>
      <c r="I139" t="s">
        <v>568</v>
      </c>
      <c r="J139" t="s">
        <v>8946</v>
      </c>
      <c r="L139">
        <v>1</v>
      </c>
      <c r="M139" t="s">
        <v>6486</v>
      </c>
      <c r="N139" t="s">
        <v>6487</v>
      </c>
      <c r="O139" t="s">
        <v>12</v>
      </c>
      <c r="P139" t="s">
        <v>6488</v>
      </c>
      <c r="Q139">
        <v>517520</v>
      </c>
      <c r="R139" s="16" t="s">
        <v>8357</v>
      </c>
      <c r="S139" s="16" t="s">
        <v>8060</v>
      </c>
      <c r="T139" t="s">
        <v>7147</v>
      </c>
      <c r="U139">
        <v>1</v>
      </c>
    </row>
    <row r="140" spans="1:21">
      <c r="A140">
        <v>205</v>
      </c>
      <c r="B140" t="s">
        <v>7153</v>
      </c>
      <c r="C140" t="s">
        <v>466</v>
      </c>
      <c r="D140">
        <v>1196</v>
      </c>
      <c r="E140">
        <v>12</v>
      </c>
      <c r="F140" t="s">
        <v>258</v>
      </c>
      <c r="G140" t="s">
        <v>536</v>
      </c>
      <c r="H140">
        <v>638</v>
      </c>
      <c r="I140" t="s">
        <v>644</v>
      </c>
      <c r="J140" t="s">
        <v>8947</v>
      </c>
      <c r="L140">
        <v>1</v>
      </c>
      <c r="M140" t="s">
        <v>6396</v>
      </c>
      <c r="N140" t="s">
        <v>6397</v>
      </c>
      <c r="O140" t="s">
        <v>12</v>
      </c>
      <c r="P140">
        <v>-35330</v>
      </c>
      <c r="Q140">
        <v>507180</v>
      </c>
      <c r="R140" s="16" t="s">
        <v>8359</v>
      </c>
      <c r="S140" s="16" t="s">
        <v>8062</v>
      </c>
      <c r="T140" t="s">
        <v>7794</v>
      </c>
      <c r="U140">
        <v>1</v>
      </c>
    </row>
    <row r="141" spans="1:21">
      <c r="A141">
        <v>94</v>
      </c>
      <c r="B141" t="s">
        <v>7045</v>
      </c>
      <c r="C141" t="s">
        <v>619</v>
      </c>
      <c r="D141">
        <v>1163</v>
      </c>
      <c r="E141">
        <v>12</v>
      </c>
      <c r="F141" t="s">
        <v>4003</v>
      </c>
      <c r="G141" t="s">
        <v>620</v>
      </c>
      <c r="H141">
        <v>125</v>
      </c>
      <c r="I141" t="s">
        <v>621</v>
      </c>
      <c r="J141" t="s">
        <v>8668</v>
      </c>
      <c r="L141">
        <v>0</v>
      </c>
      <c r="R141" s="16" t="s">
        <v>8064</v>
      </c>
      <c r="S141" s="16" t="s">
        <v>8064</v>
      </c>
      <c r="T141" t="s">
        <v>7045</v>
      </c>
      <c r="U141">
        <v>0</v>
      </c>
    </row>
    <row r="142" spans="1:21">
      <c r="A142">
        <v>206</v>
      </c>
      <c r="B142" t="s">
        <v>7154</v>
      </c>
      <c r="C142" t="s">
        <v>434</v>
      </c>
      <c r="D142">
        <v>1059</v>
      </c>
      <c r="E142">
        <v>11</v>
      </c>
      <c r="F142" t="s">
        <v>258</v>
      </c>
      <c r="G142" t="s">
        <v>536</v>
      </c>
      <c r="H142">
        <v>638</v>
      </c>
      <c r="I142" t="s">
        <v>537</v>
      </c>
      <c r="J142" t="s">
        <v>8947</v>
      </c>
      <c r="L142">
        <v>1</v>
      </c>
      <c r="M142" t="s">
        <v>6396</v>
      </c>
      <c r="N142" t="s">
        <v>6397</v>
      </c>
      <c r="O142" t="s">
        <v>12</v>
      </c>
      <c r="P142">
        <v>-35330</v>
      </c>
      <c r="Q142">
        <v>507180</v>
      </c>
      <c r="R142" s="16" t="s">
        <v>8359</v>
      </c>
      <c r="S142" s="16" t="s">
        <v>8062</v>
      </c>
      <c r="T142" t="s">
        <v>7794</v>
      </c>
      <c r="U142">
        <v>1</v>
      </c>
    </row>
    <row r="143" spans="1:21">
      <c r="A143">
        <v>208</v>
      </c>
      <c r="B143" t="s">
        <v>7156</v>
      </c>
      <c r="C143" t="s">
        <v>470</v>
      </c>
      <c r="D143">
        <v>1197</v>
      </c>
      <c r="E143">
        <v>12</v>
      </c>
      <c r="F143" t="s">
        <v>4176</v>
      </c>
      <c r="G143" t="s">
        <v>658</v>
      </c>
      <c r="H143">
        <v>641</v>
      </c>
      <c r="I143" t="s">
        <v>659</v>
      </c>
      <c r="J143" t="s">
        <v>8948</v>
      </c>
      <c r="L143">
        <v>1</v>
      </c>
      <c r="M143" t="s">
        <v>6935</v>
      </c>
      <c r="N143" t="s">
        <v>6936</v>
      </c>
      <c r="O143" t="s">
        <v>12</v>
      </c>
      <c r="P143" t="s">
        <v>6937</v>
      </c>
      <c r="Q143" t="s">
        <v>6938</v>
      </c>
      <c r="R143" s="16" t="s">
        <v>8434</v>
      </c>
      <c r="S143" s="16" t="s">
        <v>8138</v>
      </c>
      <c r="T143" t="s">
        <v>7156</v>
      </c>
      <c r="U143">
        <v>1</v>
      </c>
    </row>
    <row r="144" spans="1:21">
      <c r="A144">
        <v>218</v>
      </c>
      <c r="B144" t="s">
        <v>7166</v>
      </c>
      <c r="C144" t="s">
        <v>434</v>
      </c>
      <c r="D144">
        <v>1059</v>
      </c>
      <c r="E144">
        <v>11</v>
      </c>
      <c r="F144" t="s">
        <v>258</v>
      </c>
      <c r="G144" t="s">
        <v>538</v>
      </c>
      <c r="H144">
        <v>718</v>
      </c>
      <c r="I144" t="s">
        <v>539</v>
      </c>
      <c r="J144" t="s">
        <v>8722</v>
      </c>
      <c r="L144">
        <v>1</v>
      </c>
      <c r="M144" t="s">
        <v>6396</v>
      </c>
      <c r="N144" t="s">
        <v>6397</v>
      </c>
      <c r="O144" t="s">
        <v>12</v>
      </c>
      <c r="P144">
        <v>-35330</v>
      </c>
      <c r="Q144">
        <v>507180</v>
      </c>
      <c r="R144" s="16" t="s">
        <v>8359</v>
      </c>
      <c r="S144" s="16" t="s">
        <v>8062</v>
      </c>
      <c r="T144" t="s">
        <v>7166</v>
      </c>
      <c r="U144">
        <v>1</v>
      </c>
    </row>
    <row r="145" spans="1:21">
      <c r="A145">
        <v>226</v>
      </c>
      <c r="B145" t="s">
        <v>7174</v>
      </c>
      <c r="C145" t="s">
        <v>442</v>
      </c>
      <c r="D145">
        <v>1100</v>
      </c>
      <c r="E145">
        <v>12</v>
      </c>
      <c r="F145" t="s">
        <v>1444</v>
      </c>
      <c r="G145" t="s">
        <v>557</v>
      </c>
      <c r="H145">
        <v>792</v>
      </c>
      <c r="I145" t="s">
        <v>558</v>
      </c>
      <c r="J145" t="s">
        <v>8797</v>
      </c>
      <c r="L145">
        <v>0</v>
      </c>
      <c r="R145" s="16" t="s">
        <v>8064</v>
      </c>
      <c r="S145" s="16" t="s">
        <v>8064</v>
      </c>
      <c r="T145" t="s">
        <v>7174</v>
      </c>
      <c r="U145">
        <v>1</v>
      </c>
    </row>
    <row r="146" spans="1:21">
      <c r="A146">
        <v>236</v>
      </c>
      <c r="B146" t="s">
        <v>7184</v>
      </c>
      <c r="C146" t="s">
        <v>666</v>
      </c>
      <c r="D146">
        <v>1202</v>
      </c>
      <c r="E146">
        <v>13</v>
      </c>
      <c r="F146" t="s">
        <v>41</v>
      </c>
      <c r="G146" t="s">
        <v>667</v>
      </c>
      <c r="H146">
        <v>870</v>
      </c>
      <c r="I146" t="s">
        <v>668</v>
      </c>
      <c r="J146" t="s">
        <v>8949</v>
      </c>
      <c r="L146">
        <v>1</v>
      </c>
      <c r="M146" t="s">
        <v>6746</v>
      </c>
      <c r="N146" t="s">
        <v>6349</v>
      </c>
      <c r="O146" t="s">
        <v>12</v>
      </c>
      <c r="P146" t="s">
        <v>6747</v>
      </c>
      <c r="Q146" t="s">
        <v>6748</v>
      </c>
      <c r="R146" s="16" t="s">
        <v>8447</v>
      </c>
      <c r="S146" s="16" t="s">
        <v>8151</v>
      </c>
      <c r="T146" t="s">
        <v>7800</v>
      </c>
      <c r="U146">
        <v>1</v>
      </c>
    </row>
    <row r="147" spans="1:21">
      <c r="A147">
        <v>239</v>
      </c>
      <c r="B147" t="s">
        <v>7187</v>
      </c>
      <c r="C147" t="s">
        <v>445</v>
      </c>
      <c r="D147">
        <v>1111</v>
      </c>
      <c r="E147">
        <v>12</v>
      </c>
      <c r="F147" t="s">
        <v>41</v>
      </c>
      <c r="G147" t="s">
        <v>563</v>
      </c>
      <c r="H147">
        <v>875</v>
      </c>
      <c r="I147" t="s">
        <v>564</v>
      </c>
      <c r="J147" t="s">
        <v>8723</v>
      </c>
      <c r="L147">
        <v>1</v>
      </c>
      <c r="M147" t="s">
        <v>6746</v>
      </c>
      <c r="N147" t="s">
        <v>6349</v>
      </c>
      <c r="O147" t="s">
        <v>12</v>
      </c>
      <c r="P147" t="s">
        <v>6747</v>
      </c>
      <c r="Q147" t="s">
        <v>6748</v>
      </c>
      <c r="R147" s="16" t="s">
        <v>8447</v>
      </c>
      <c r="S147" s="16" t="s">
        <v>8151</v>
      </c>
      <c r="T147" t="s">
        <v>7187</v>
      </c>
      <c r="U147">
        <v>1</v>
      </c>
    </row>
    <row r="148" spans="1:21">
      <c r="A148">
        <v>240</v>
      </c>
      <c r="B148" t="s">
        <v>7188</v>
      </c>
      <c r="C148" t="s">
        <v>422</v>
      </c>
      <c r="D148">
        <v>990</v>
      </c>
      <c r="E148">
        <v>10</v>
      </c>
      <c r="F148" t="s">
        <v>4221</v>
      </c>
      <c r="G148" t="s">
        <v>503</v>
      </c>
      <c r="H148">
        <v>877</v>
      </c>
      <c r="I148" t="s">
        <v>504</v>
      </c>
      <c r="J148" t="s">
        <v>8724</v>
      </c>
      <c r="L148">
        <v>1</v>
      </c>
      <c r="M148" t="s">
        <v>6354</v>
      </c>
      <c r="N148" t="s">
        <v>6355</v>
      </c>
      <c r="O148" t="s">
        <v>12</v>
      </c>
      <c r="P148">
        <v>-24700</v>
      </c>
      <c r="Q148">
        <v>507750</v>
      </c>
      <c r="R148" s="16" t="s">
        <v>8449</v>
      </c>
      <c r="S148" s="16" t="s">
        <v>8153</v>
      </c>
      <c r="T148" t="s">
        <v>7188</v>
      </c>
      <c r="U148">
        <v>1</v>
      </c>
    </row>
    <row r="149" spans="1:21">
      <c r="A149">
        <v>242</v>
      </c>
      <c r="B149" t="s">
        <v>7190</v>
      </c>
      <c r="C149" t="s">
        <v>456</v>
      </c>
      <c r="D149">
        <v>1161</v>
      </c>
      <c r="E149">
        <v>12</v>
      </c>
      <c r="F149" t="s">
        <v>198</v>
      </c>
      <c r="G149" t="s">
        <v>606</v>
      </c>
      <c r="H149">
        <v>879</v>
      </c>
      <c r="I149" t="s">
        <v>607</v>
      </c>
      <c r="J149" t="s">
        <v>8950</v>
      </c>
      <c r="L149">
        <v>1</v>
      </c>
      <c r="M149" t="s">
        <v>6366</v>
      </c>
      <c r="N149" t="s">
        <v>6367</v>
      </c>
      <c r="O149" t="s">
        <v>12</v>
      </c>
      <c r="P149">
        <v>-19680</v>
      </c>
      <c r="Q149">
        <v>517120</v>
      </c>
      <c r="R149" s="16" t="s">
        <v>8445</v>
      </c>
      <c r="S149" s="16" t="s">
        <v>8149</v>
      </c>
      <c r="T149" t="s">
        <v>7190</v>
      </c>
      <c r="U149">
        <v>1</v>
      </c>
    </row>
    <row r="150" spans="1:21">
      <c r="A150">
        <v>248</v>
      </c>
      <c r="B150" t="s">
        <v>7196</v>
      </c>
      <c r="C150" t="s">
        <v>403</v>
      </c>
      <c r="D150">
        <v>1265</v>
      </c>
      <c r="E150">
        <v>13</v>
      </c>
      <c r="F150" t="s">
        <v>22</v>
      </c>
      <c r="G150" t="s">
        <v>745</v>
      </c>
      <c r="H150">
        <v>98</v>
      </c>
      <c r="I150" t="s">
        <v>746</v>
      </c>
      <c r="J150" t="s">
        <v>8704</v>
      </c>
      <c r="L150">
        <v>1</v>
      </c>
      <c r="M150" t="s">
        <v>4502</v>
      </c>
      <c r="N150" t="s">
        <v>6456</v>
      </c>
      <c r="O150" t="s">
        <v>104</v>
      </c>
      <c r="P150">
        <v>23522</v>
      </c>
      <c r="Q150">
        <v>488566</v>
      </c>
      <c r="R150" s="16" t="s">
        <v>8364</v>
      </c>
      <c r="S150" s="16" t="s">
        <v>8069</v>
      </c>
      <c r="T150" t="s">
        <v>7196</v>
      </c>
      <c r="U150">
        <v>1</v>
      </c>
    </row>
    <row r="151" spans="1:21">
      <c r="A151">
        <v>96</v>
      </c>
      <c r="B151" t="s">
        <v>7047</v>
      </c>
      <c r="C151" t="s">
        <v>783</v>
      </c>
      <c r="D151">
        <v>1292</v>
      </c>
      <c r="E151">
        <v>13</v>
      </c>
      <c r="F151" t="s">
        <v>1444</v>
      </c>
      <c r="G151" t="s">
        <v>784</v>
      </c>
      <c r="H151">
        <v>150</v>
      </c>
      <c r="I151" t="s">
        <v>785</v>
      </c>
      <c r="J151" t="s">
        <v>8668</v>
      </c>
      <c r="L151">
        <v>0</v>
      </c>
      <c r="R151" s="16" t="s">
        <v>8064</v>
      </c>
      <c r="S151" s="16" t="s">
        <v>8064</v>
      </c>
      <c r="T151" t="s">
        <v>7047</v>
      </c>
      <c r="U151">
        <v>0</v>
      </c>
    </row>
    <row r="152" spans="1:21">
      <c r="A152">
        <v>101</v>
      </c>
      <c r="B152" t="s">
        <v>7052</v>
      </c>
      <c r="C152" t="s">
        <v>475</v>
      </c>
      <c r="D152">
        <v>1209</v>
      </c>
      <c r="E152">
        <v>13</v>
      </c>
      <c r="F152" t="s">
        <v>4015</v>
      </c>
      <c r="G152" t="s">
        <v>671</v>
      </c>
      <c r="H152">
        <v>182</v>
      </c>
      <c r="I152" t="s">
        <v>672</v>
      </c>
      <c r="J152" t="s">
        <v>8668</v>
      </c>
      <c r="L152">
        <v>1</v>
      </c>
      <c r="M152" t="s">
        <v>6435</v>
      </c>
      <c r="N152" t="s">
        <v>6436</v>
      </c>
      <c r="O152" t="s">
        <v>4016</v>
      </c>
      <c r="P152">
        <v>55670</v>
      </c>
      <c r="Q152">
        <v>506330</v>
      </c>
      <c r="R152" s="16" t="s">
        <v>8390</v>
      </c>
      <c r="S152" s="16" t="s">
        <v>8094</v>
      </c>
      <c r="T152" t="s">
        <v>7052</v>
      </c>
      <c r="U152">
        <v>0</v>
      </c>
    </row>
    <row r="153" spans="1:21">
      <c r="A153">
        <v>102</v>
      </c>
      <c r="B153" t="s">
        <v>7053</v>
      </c>
      <c r="C153" t="s">
        <v>459</v>
      </c>
      <c r="D153">
        <v>1155</v>
      </c>
      <c r="E153">
        <v>12</v>
      </c>
      <c r="F153" t="s">
        <v>4016</v>
      </c>
      <c r="G153" t="s">
        <v>617</v>
      </c>
      <c r="H153">
        <v>194</v>
      </c>
      <c r="I153" t="s">
        <v>618</v>
      </c>
      <c r="J153" t="s">
        <v>8668</v>
      </c>
      <c r="L153">
        <v>0</v>
      </c>
      <c r="R153" s="16" t="s">
        <v>8064</v>
      </c>
      <c r="S153" s="16" t="s">
        <v>8064</v>
      </c>
      <c r="T153" t="s">
        <v>7053</v>
      </c>
      <c r="U153">
        <v>0</v>
      </c>
    </row>
    <row r="154" spans="1:21">
      <c r="A154">
        <v>103</v>
      </c>
      <c r="B154" t="s">
        <v>7054</v>
      </c>
      <c r="C154" t="s">
        <v>459</v>
      </c>
      <c r="D154">
        <v>1155</v>
      </c>
      <c r="E154">
        <v>12</v>
      </c>
      <c r="F154" t="s">
        <v>4016</v>
      </c>
      <c r="G154" t="s">
        <v>617</v>
      </c>
      <c r="H154">
        <v>194</v>
      </c>
      <c r="I154" t="s">
        <v>618</v>
      </c>
      <c r="J154" t="s">
        <v>8668</v>
      </c>
      <c r="L154">
        <v>0</v>
      </c>
      <c r="R154" s="16" t="s">
        <v>8064</v>
      </c>
      <c r="S154" s="16" t="s">
        <v>8064</v>
      </c>
      <c r="T154" t="s">
        <v>7054</v>
      </c>
      <c r="U154">
        <v>0</v>
      </c>
    </row>
    <row r="155" spans="1:21">
      <c r="A155">
        <v>104</v>
      </c>
      <c r="B155" t="s">
        <v>7055</v>
      </c>
      <c r="C155" t="s">
        <v>683</v>
      </c>
      <c r="D155">
        <v>1218</v>
      </c>
      <c r="E155">
        <v>13</v>
      </c>
      <c r="F155" t="s">
        <v>4018</v>
      </c>
      <c r="G155" t="s">
        <v>684</v>
      </c>
      <c r="H155">
        <v>195</v>
      </c>
      <c r="I155" t="s">
        <v>685</v>
      </c>
      <c r="J155" t="s">
        <v>8668</v>
      </c>
      <c r="L155">
        <v>0</v>
      </c>
      <c r="R155" s="16" t="s">
        <v>8064</v>
      </c>
      <c r="S155" s="16" t="s">
        <v>8064</v>
      </c>
      <c r="T155" t="s">
        <v>7055</v>
      </c>
      <c r="U155">
        <v>0</v>
      </c>
    </row>
    <row r="156" spans="1:21">
      <c r="A156">
        <v>107</v>
      </c>
      <c r="B156" t="s">
        <v>7058</v>
      </c>
      <c r="C156" t="s">
        <v>397</v>
      </c>
      <c r="D156">
        <v>1252</v>
      </c>
      <c r="E156">
        <v>13</v>
      </c>
      <c r="F156" t="s">
        <v>4024</v>
      </c>
      <c r="G156" t="s">
        <v>724</v>
      </c>
      <c r="H156">
        <v>290</v>
      </c>
      <c r="I156" t="s">
        <v>725</v>
      </c>
      <c r="J156" t="s">
        <v>8668</v>
      </c>
      <c r="L156">
        <v>1</v>
      </c>
      <c r="M156" t="s">
        <v>6526</v>
      </c>
      <c r="N156" t="s">
        <v>6305</v>
      </c>
      <c r="O156" t="s">
        <v>104</v>
      </c>
      <c r="P156" t="s">
        <v>6527</v>
      </c>
      <c r="Q156" t="s">
        <v>6528</v>
      </c>
      <c r="R156" s="16" t="s">
        <v>8393</v>
      </c>
      <c r="S156" s="16" t="s">
        <v>8097</v>
      </c>
      <c r="T156" t="s">
        <v>7058</v>
      </c>
      <c r="U156">
        <v>0</v>
      </c>
    </row>
    <row r="157" spans="1:21">
      <c r="A157">
        <v>108</v>
      </c>
      <c r="B157" t="s">
        <v>7059</v>
      </c>
      <c r="C157" t="s">
        <v>738</v>
      </c>
      <c r="D157">
        <v>1260</v>
      </c>
      <c r="E157">
        <v>13</v>
      </c>
      <c r="F157" t="s">
        <v>104</v>
      </c>
      <c r="G157" t="s">
        <v>741</v>
      </c>
      <c r="H157">
        <v>292</v>
      </c>
      <c r="I157" t="s">
        <v>742</v>
      </c>
      <c r="J157" t="s">
        <v>8668</v>
      </c>
      <c r="L157">
        <v>0</v>
      </c>
      <c r="R157" s="16" t="s">
        <v>8064</v>
      </c>
      <c r="S157" s="16" t="s">
        <v>8064</v>
      </c>
      <c r="T157" t="s">
        <v>7059</v>
      </c>
      <c r="U157">
        <v>0</v>
      </c>
    </row>
    <row r="158" spans="1:21">
      <c r="A158">
        <v>109</v>
      </c>
      <c r="B158" t="s">
        <v>7060</v>
      </c>
      <c r="C158" t="s">
        <v>410</v>
      </c>
      <c r="D158">
        <v>1284</v>
      </c>
      <c r="E158">
        <v>13</v>
      </c>
      <c r="F158" t="s">
        <v>248</v>
      </c>
      <c r="G158" t="s">
        <v>776</v>
      </c>
      <c r="H158">
        <v>296</v>
      </c>
      <c r="I158" t="s">
        <v>777</v>
      </c>
      <c r="J158" t="s">
        <v>8668</v>
      </c>
      <c r="L158">
        <v>1</v>
      </c>
      <c r="M158" t="s">
        <v>1</v>
      </c>
      <c r="N158" t="s">
        <v>6445</v>
      </c>
      <c r="O158" t="s">
        <v>12</v>
      </c>
      <c r="P158" t="s">
        <v>6446</v>
      </c>
      <c r="Q158">
        <v>515074</v>
      </c>
      <c r="R158" s="16" t="s">
        <v>6446</v>
      </c>
      <c r="S158" s="16" t="s">
        <v>8068</v>
      </c>
      <c r="T158" t="s">
        <v>7060</v>
      </c>
      <c r="U158">
        <v>0</v>
      </c>
    </row>
    <row r="159" spans="1:21">
      <c r="A159">
        <v>110</v>
      </c>
      <c r="B159" t="s">
        <v>7061</v>
      </c>
      <c r="C159" t="s">
        <v>488</v>
      </c>
      <c r="D159">
        <v>919</v>
      </c>
      <c r="E159">
        <v>10</v>
      </c>
      <c r="F159" t="s">
        <v>4029</v>
      </c>
      <c r="G159" t="s">
        <v>489</v>
      </c>
      <c r="H159">
        <v>305</v>
      </c>
      <c r="I159" t="s">
        <v>490</v>
      </c>
      <c r="J159" t="s">
        <v>8668</v>
      </c>
      <c r="L159">
        <v>1</v>
      </c>
      <c r="M159" t="s">
        <v>6992</v>
      </c>
      <c r="N159" t="s">
        <v>6993</v>
      </c>
      <c r="O159" t="s">
        <v>6994</v>
      </c>
      <c r="P159">
        <v>-40111</v>
      </c>
      <c r="Q159">
        <v>381139</v>
      </c>
      <c r="R159" s="16" t="s">
        <v>8394</v>
      </c>
      <c r="S159" s="16" t="s">
        <v>8098</v>
      </c>
      <c r="T159" t="s">
        <v>7061</v>
      </c>
      <c r="U159">
        <v>0</v>
      </c>
    </row>
    <row r="160" spans="1:21">
      <c r="A160">
        <v>111</v>
      </c>
      <c r="B160" t="s">
        <v>7062</v>
      </c>
      <c r="C160" t="s">
        <v>439</v>
      </c>
      <c r="D160">
        <v>1095</v>
      </c>
      <c r="E160">
        <v>11</v>
      </c>
      <c r="F160" t="s">
        <v>4031</v>
      </c>
      <c r="G160" t="s">
        <v>548</v>
      </c>
      <c r="H160">
        <v>321</v>
      </c>
      <c r="I160" t="s">
        <v>549</v>
      </c>
      <c r="J160" t="s">
        <v>8668</v>
      </c>
      <c r="L160">
        <v>1</v>
      </c>
      <c r="M160" t="s">
        <v>6873</v>
      </c>
      <c r="N160" t="s">
        <v>6874</v>
      </c>
      <c r="O160" t="s">
        <v>4016</v>
      </c>
      <c r="P160" t="s">
        <v>6875</v>
      </c>
      <c r="Q160" t="s">
        <v>6876</v>
      </c>
      <c r="R160" s="16" t="s">
        <v>8395</v>
      </c>
      <c r="S160" s="16" t="s">
        <v>8099</v>
      </c>
      <c r="T160" t="s">
        <v>7062</v>
      </c>
      <c r="U160">
        <v>0</v>
      </c>
    </row>
    <row r="161" spans="1:21">
      <c r="A161">
        <v>112</v>
      </c>
      <c r="B161" t="s">
        <v>7063</v>
      </c>
      <c r="C161" t="s">
        <v>439</v>
      </c>
      <c r="D161">
        <v>1095</v>
      </c>
      <c r="E161">
        <v>11</v>
      </c>
      <c r="F161" t="s">
        <v>4031</v>
      </c>
      <c r="G161" t="s">
        <v>548</v>
      </c>
      <c r="H161">
        <v>321</v>
      </c>
      <c r="I161" t="s">
        <v>549</v>
      </c>
      <c r="J161" t="s">
        <v>8668</v>
      </c>
      <c r="L161">
        <v>1</v>
      </c>
      <c r="M161" t="s">
        <v>6873</v>
      </c>
      <c r="N161" t="s">
        <v>6874</v>
      </c>
      <c r="O161" t="s">
        <v>4016</v>
      </c>
      <c r="P161" t="s">
        <v>6875</v>
      </c>
      <c r="Q161" t="s">
        <v>6876</v>
      </c>
      <c r="R161" s="16" t="s">
        <v>8395</v>
      </c>
      <c r="S161" s="16" t="s">
        <v>8099</v>
      </c>
      <c r="T161" t="s">
        <v>7063</v>
      </c>
      <c r="U161">
        <v>0</v>
      </c>
    </row>
    <row r="162" spans="1:21">
      <c r="A162">
        <v>114</v>
      </c>
      <c r="B162" t="s">
        <v>7065</v>
      </c>
      <c r="C162" t="s">
        <v>432</v>
      </c>
      <c r="D162">
        <v>1040</v>
      </c>
      <c r="E162">
        <v>11</v>
      </c>
      <c r="F162" t="s">
        <v>4037</v>
      </c>
      <c r="G162" t="s">
        <v>526</v>
      </c>
      <c r="H162">
        <v>342</v>
      </c>
      <c r="I162" t="s">
        <v>527</v>
      </c>
      <c r="J162" t="s">
        <v>8668</v>
      </c>
      <c r="L162">
        <v>1</v>
      </c>
      <c r="M162" t="s">
        <v>5689</v>
      </c>
      <c r="N162" t="s">
        <v>6418</v>
      </c>
      <c r="O162" t="s">
        <v>3995</v>
      </c>
      <c r="P162">
        <v>91750</v>
      </c>
      <c r="Q162">
        <v>476770</v>
      </c>
      <c r="R162" s="16" t="s">
        <v>8396</v>
      </c>
      <c r="S162" s="16" t="s">
        <v>8100</v>
      </c>
      <c r="T162" t="s">
        <v>7065</v>
      </c>
      <c r="U162">
        <v>0</v>
      </c>
    </row>
    <row r="163" spans="1:21">
      <c r="A163">
        <v>115</v>
      </c>
      <c r="B163" t="s">
        <v>7066</v>
      </c>
      <c r="C163" t="s">
        <v>399</v>
      </c>
      <c r="D163">
        <v>1256</v>
      </c>
      <c r="E163">
        <v>13</v>
      </c>
      <c r="F163" t="s">
        <v>4039</v>
      </c>
      <c r="G163" t="s">
        <v>728</v>
      </c>
      <c r="H163">
        <v>348</v>
      </c>
      <c r="I163" t="s">
        <v>729</v>
      </c>
      <c r="J163" t="s">
        <v>8668</v>
      </c>
      <c r="L163">
        <v>1</v>
      </c>
      <c r="M163" t="s">
        <v>4601</v>
      </c>
      <c r="N163" t="s">
        <v>6460</v>
      </c>
      <c r="O163" t="s">
        <v>11</v>
      </c>
      <c r="P163">
        <v>142681</v>
      </c>
      <c r="Q163">
        <v>408518</v>
      </c>
      <c r="R163" s="16" t="s">
        <v>8397</v>
      </c>
      <c r="S163" s="16" t="s">
        <v>8101</v>
      </c>
      <c r="T163" t="s">
        <v>7066</v>
      </c>
      <c r="U163">
        <v>0</v>
      </c>
    </row>
    <row r="164" spans="1:21">
      <c r="A164">
        <v>116</v>
      </c>
      <c r="B164" t="s">
        <v>7067</v>
      </c>
      <c r="C164" t="s">
        <v>655</v>
      </c>
      <c r="D164">
        <v>1192</v>
      </c>
      <c r="E164">
        <v>12</v>
      </c>
      <c r="F164" t="s">
        <v>1444</v>
      </c>
      <c r="G164" t="s">
        <v>656</v>
      </c>
      <c r="H164">
        <v>369</v>
      </c>
      <c r="I164" t="s">
        <v>657</v>
      </c>
      <c r="J164" t="s">
        <v>8668</v>
      </c>
      <c r="L164">
        <v>0</v>
      </c>
      <c r="R164" s="16" t="s">
        <v>8064</v>
      </c>
      <c r="S164" s="16" t="s">
        <v>8064</v>
      </c>
      <c r="T164" t="s">
        <v>7067</v>
      </c>
      <c r="U164">
        <v>0</v>
      </c>
    </row>
    <row r="165" spans="1:21">
      <c r="A165">
        <v>121</v>
      </c>
      <c r="B165" t="s">
        <v>7072</v>
      </c>
      <c r="C165" t="s">
        <v>401</v>
      </c>
      <c r="D165">
        <v>1260</v>
      </c>
      <c r="E165">
        <v>13</v>
      </c>
      <c r="F165" t="s">
        <v>4045</v>
      </c>
      <c r="G165" t="s">
        <v>734</v>
      </c>
      <c r="H165">
        <v>395</v>
      </c>
      <c r="I165" t="s">
        <v>735</v>
      </c>
      <c r="J165" t="s">
        <v>8668</v>
      </c>
      <c r="L165">
        <v>1</v>
      </c>
      <c r="M165" t="s">
        <v>7018</v>
      </c>
      <c r="N165" t="s">
        <v>7019</v>
      </c>
      <c r="O165" t="s">
        <v>6991</v>
      </c>
      <c r="P165">
        <v>48000</v>
      </c>
      <c r="Q165">
        <v>506500</v>
      </c>
      <c r="R165" s="16" t="s">
        <v>8401</v>
      </c>
      <c r="S165" s="16" t="s">
        <v>8105</v>
      </c>
      <c r="T165" t="s">
        <v>7072</v>
      </c>
      <c r="U165">
        <v>0</v>
      </c>
    </row>
    <row r="166" spans="1:21">
      <c r="A166">
        <v>126</v>
      </c>
      <c r="B166" t="s">
        <v>7077</v>
      </c>
      <c r="C166" t="s">
        <v>419</v>
      </c>
      <c r="D166">
        <v>972</v>
      </c>
      <c r="E166">
        <v>10</v>
      </c>
      <c r="F166" t="s">
        <v>3993</v>
      </c>
      <c r="G166" t="s">
        <v>493</v>
      </c>
      <c r="H166">
        <v>421</v>
      </c>
      <c r="I166" t="s">
        <v>494</v>
      </c>
      <c r="J166" t="s">
        <v>8668</v>
      </c>
      <c r="L166">
        <v>1</v>
      </c>
      <c r="M166" t="s">
        <v>6960</v>
      </c>
      <c r="N166" t="s">
        <v>6420</v>
      </c>
      <c r="O166" t="s">
        <v>12</v>
      </c>
      <c r="P166" t="s">
        <v>6961</v>
      </c>
      <c r="Q166" t="s">
        <v>6962</v>
      </c>
      <c r="R166" s="16" t="s">
        <v>8356</v>
      </c>
      <c r="S166" s="16" t="s">
        <v>8059</v>
      </c>
      <c r="T166" t="s">
        <v>7077</v>
      </c>
      <c r="U166">
        <v>0</v>
      </c>
    </row>
    <row r="167" spans="1:21">
      <c r="A167">
        <v>127</v>
      </c>
      <c r="B167" t="s">
        <v>7078</v>
      </c>
      <c r="C167" t="s">
        <v>760</v>
      </c>
      <c r="D167">
        <v>1273</v>
      </c>
      <c r="E167">
        <v>13</v>
      </c>
      <c r="F167" t="s">
        <v>4050</v>
      </c>
      <c r="G167" t="s">
        <v>761</v>
      </c>
      <c r="H167">
        <v>422</v>
      </c>
      <c r="I167" t="s">
        <v>762</v>
      </c>
      <c r="J167" t="s">
        <v>8668</v>
      </c>
      <c r="L167">
        <v>1</v>
      </c>
      <c r="M167" t="s">
        <v>6922</v>
      </c>
      <c r="N167" t="s">
        <v>6923</v>
      </c>
      <c r="O167" t="s">
        <v>6290</v>
      </c>
      <c r="P167" t="s">
        <v>6924</v>
      </c>
      <c r="Q167" t="s">
        <v>6925</v>
      </c>
      <c r="R167" s="16" t="s">
        <v>8405</v>
      </c>
      <c r="S167" s="16" t="s">
        <v>8109</v>
      </c>
      <c r="T167" t="s">
        <v>7078</v>
      </c>
      <c r="U167">
        <v>0</v>
      </c>
    </row>
    <row r="168" spans="1:21">
      <c r="A168">
        <v>128</v>
      </c>
      <c r="B168" t="s">
        <v>7079</v>
      </c>
      <c r="C168" t="s">
        <v>1260</v>
      </c>
      <c r="D168">
        <v>1259</v>
      </c>
      <c r="E168">
        <v>13</v>
      </c>
      <c r="F168" t="s">
        <v>4051</v>
      </c>
      <c r="G168" t="s">
        <v>736</v>
      </c>
      <c r="H168">
        <v>423</v>
      </c>
      <c r="I168" t="s">
        <v>737</v>
      </c>
      <c r="J168" t="s">
        <v>8668</v>
      </c>
      <c r="L168">
        <v>1</v>
      </c>
      <c r="M168" t="s">
        <v>7007</v>
      </c>
      <c r="N168" t="s">
        <v>7008</v>
      </c>
      <c r="O168" t="s">
        <v>7009</v>
      </c>
      <c r="P168">
        <v>-81833</v>
      </c>
      <c r="Q168">
        <v>402167</v>
      </c>
      <c r="R168" s="16" t="s">
        <v>8406</v>
      </c>
      <c r="S168" s="16" t="s">
        <v>8110</v>
      </c>
      <c r="T168" t="s">
        <v>7079</v>
      </c>
      <c r="U168">
        <v>0</v>
      </c>
    </row>
    <row r="169" spans="1:21">
      <c r="A169">
        <v>129</v>
      </c>
      <c r="B169" t="s">
        <v>7080</v>
      </c>
      <c r="C169" t="s">
        <v>389</v>
      </c>
      <c r="D169">
        <v>1236</v>
      </c>
      <c r="E169">
        <v>13</v>
      </c>
      <c r="F169" t="s">
        <v>4052</v>
      </c>
      <c r="G169" t="s">
        <v>694</v>
      </c>
      <c r="H169">
        <v>426</v>
      </c>
      <c r="I169" t="s">
        <v>695</v>
      </c>
      <c r="J169" t="s">
        <v>8668</v>
      </c>
      <c r="L169">
        <v>1</v>
      </c>
      <c r="M169" t="s">
        <v>6421</v>
      </c>
      <c r="N169" t="s">
        <v>6422</v>
      </c>
      <c r="O169" t="s">
        <v>6423</v>
      </c>
      <c r="P169">
        <v>352137</v>
      </c>
      <c r="Q169">
        <v>317683</v>
      </c>
      <c r="R169" s="16" t="s">
        <v>8407</v>
      </c>
      <c r="S169" s="16" t="s">
        <v>8111</v>
      </c>
      <c r="T169" t="s">
        <v>7080</v>
      </c>
      <c r="U169">
        <v>0</v>
      </c>
    </row>
    <row r="170" spans="1:21">
      <c r="A170">
        <v>132</v>
      </c>
      <c r="B170" t="s">
        <v>7082</v>
      </c>
      <c r="C170" t="s">
        <v>388</v>
      </c>
      <c r="D170">
        <v>1231</v>
      </c>
      <c r="E170">
        <v>13</v>
      </c>
      <c r="F170" t="s">
        <v>12</v>
      </c>
      <c r="G170" t="s">
        <v>692</v>
      </c>
      <c r="H170">
        <v>462</v>
      </c>
      <c r="I170" t="s">
        <v>693</v>
      </c>
      <c r="J170" t="s">
        <v>8668</v>
      </c>
      <c r="L170">
        <v>0</v>
      </c>
      <c r="R170" s="16" t="s">
        <v>8064</v>
      </c>
      <c r="S170" s="16" t="s">
        <v>8064</v>
      </c>
      <c r="T170" t="s">
        <v>7082</v>
      </c>
      <c r="U170">
        <v>0</v>
      </c>
    </row>
    <row r="171" spans="1:21">
      <c r="A171">
        <v>135</v>
      </c>
      <c r="B171" t="s">
        <v>7085</v>
      </c>
      <c r="C171" t="s">
        <v>393</v>
      </c>
      <c r="D171">
        <v>1246</v>
      </c>
      <c r="E171">
        <v>13</v>
      </c>
      <c r="F171" t="s">
        <v>4075</v>
      </c>
      <c r="G171" t="s">
        <v>712</v>
      </c>
      <c r="H171">
        <v>516</v>
      </c>
      <c r="I171" t="s">
        <v>713</v>
      </c>
      <c r="J171" t="s">
        <v>8668</v>
      </c>
      <c r="L171">
        <v>1</v>
      </c>
      <c r="M171" t="s">
        <v>6497</v>
      </c>
      <c r="N171" t="s">
        <v>6385</v>
      </c>
      <c r="O171" t="s">
        <v>12</v>
      </c>
      <c r="P171">
        <v>-22210</v>
      </c>
      <c r="Q171">
        <v>521920</v>
      </c>
      <c r="R171" s="16" t="s">
        <v>8358</v>
      </c>
      <c r="S171" s="16" t="s">
        <v>8061</v>
      </c>
      <c r="T171" t="s">
        <v>7749</v>
      </c>
      <c r="U171">
        <v>0</v>
      </c>
    </row>
    <row r="172" spans="1:21">
      <c r="A172">
        <v>142</v>
      </c>
      <c r="B172" t="s">
        <v>7092</v>
      </c>
      <c r="C172" t="s">
        <v>406</v>
      </c>
      <c r="D172">
        <v>1283</v>
      </c>
      <c r="E172">
        <v>13</v>
      </c>
      <c r="F172" t="s">
        <v>4085</v>
      </c>
      <c r="G172" t="s">
        <v>763</v>
      </c>
      <c r="H172">
        <v>523</v>
      </c>
      <c r="I172" t="s">
        <v>764</v>
      </c>
      <c r="J172" t="s">
        <v>8668</v>
      </c>
      <c r="L172">
        <v>1</v>
      </c>
      <c r="M172" t="s">
        <v>6386</v>
      </c>
      <c r="N172" t="s">
        <v>6349</v>
      </c>
      <c r="O172" t="s">
        <v>12</v>
      </c>
      <c r="P172">
        <v>13210</v>
      </c>
      <c r="Q172">
        <v>511290</v>
      </c>
      <c r="R172" s="16" t="s">
        <v>8411</v>
      </c>
      <c r="S172" s="16" t="s">
        <v>8114</v>
      </c>
      <c r="T172" t="s">
        <v>7756</v>
      </c>
      <c r="U172">
        <v>0</v>
      </c>
    </row>
    <row r="173" spans="1:21">
      <c r="A173">
        <v>144</v>
      </c>
      <c r="B173" t="s">
        <v>7094</v>
      </c>
      <c r="C173" t="s">
        <v>414</v>
      </c>
      <c r="D173">
        <v>1300</v>
      </c>
      <c r="E173">
        <v>13</v>
      </c>
      <c r="F173" t="s">
        <v>4088</v>
      </c>
      <c r="G173" t="s">
        <v>799</v>
      </c>
      <c r="H173">
        <v>525</v>
      </c>
      <c r="I173" t="s">
        <v>800</v>
      </c>
      <c r="J173" t="s">
        <v>8668</v>
      </c>
      <c r="L173">
        <v>1</v>
      </c>
      <c r="M173" t="s">
        <v>6433</v>
      </c>
      <c r="N173" t="s">
        <v>6434</v>
      </c>
      <c r="O173" t="s">
        <v>12</v>
      </c>
      <c r="P173">
        <v>-18260</v>
      </c>
      <c r="Q173">
        <v>526830</v>
      </c>
      <c r="R173" s="16" t="s">
        <v>8412</v>
      </c>
      <c r="S173" s="16" t="s">
        <v>8115</v>
      </c>
      <c r="T173" t="s">
        <v>7758</v>
      </c>
      <c r="U173">
        <v>0</v>
      </c>
    </row>
    <row r="174" spans="1:21">
      <c r="A174">
        <v>145</v>
      </c>
      <c r="B174" t="s">
        <v>7095</v>
      </c>
      <c r="C174" t="s">
        <v>449</v>
      </c>
      <c r="D174">
        <v>1141</v>
      </c>
      <c r="E174">
        <v>12</v>
      </c>
      <c r="F174" t="s">
        <v>13</v>
      </c>
      <c r="G174" t="s">
        <v>571</v>
      </c>
      <c r="H174">
        <v>526</v>
      </c>
      <c r="I174" t="s">
        <v>572</v>
      </c>
      <c r="J174" t="s">
        <v>8668</v>
      </c>
      <c r="L174">
        <v>1</v>
      </c>
      <c r="M174" t="s">
        <v>6348</v>
      </c>
      <c r="N174" t="s">
        <v>6349</v>
      </c>
      <c r="O174" t="s">
        <v>12</v>
      </c>
      <c r="P174">
        <v>10810</v>
      </c>
      <c r="Q174">
        <v>512810</v>
      </c>
      <c r="R174" s="16" t="s">
        <v>8360</v>
      </c>
      <c r="S174" s="16" t="s">
        <v>8063</v>
      </c>
      <c r="T174" t="s">
        <v>7759</v>
      </c>
      <c r="U174">
        <v>0</v>
      </c>
    </row>
    <row r="175" spans="1:21">
      <c r="A175">
        <v>146</v>
      </c>
      <c r="B175" t="s">
        <v>7096</v>
      </c>
      <c r="C175" t="s">
        <v>474</v>
      </c>
      <c r="D175">
        <v>1206</v>
      </c>
      <c r="E175">
        <v>13</v>
      </c>
      <c r="F175" t="s">
        <v>4091</v>
      </c>
      <c r="G175" t="s">
        <v>669</v>
      </c>
      <c r="H175">
        <v>528</v>
      </c>
      <c r="I175" t="s">
        <v>670</v>
      </c>
      <c r="J175" t="s">
        <v>8668</v>
      </c>
      <c r="L175">
        <v>1</v>
      </c>
      <c r="M175" t="s">
        <v>6852</v>
      </c>
      <c r="N175" t="s">
        <v>6445</v>
      </c>
      <c r="O175" t="s">
        <v>12</v>
      </c>
      <c r="P175" t="s">
        <v>6853</v>
      </c>
      <c r="Q175" t="s">
        <v>6854</v>
      </c>
      <c r="R175" s="16" t="s">
        <v>8413</v>
      </c>
      <c r="S175" s="16" t="s">
        <v>8116</v>
      </c>
      <c r="T175" t="s">
        <v>7760</v>
      </c>
      <c r="U175">
        <v>0</v>
      </c>
    </row>
    <row r="176" spans="1:21">
      <c r="A176">
        <v>147</v>
      </c>
      <c r="B176" t="s">
        <v>7097</v>
      </c>
      <c r="C176" t="s">
        <v>384</v>
      </c>
      <c r="D176">
        <v>1217</v>
      </c>
      <c r="E176">
        <v>13</v>
      </c>
      <c r="F176" t="s">
        <v>12</v>
      </c>
      <c r="G176" t="s">
        <v>681</v>
      </c>
      <c r="H176">
        <v>529</v>
      </c>
      <c r="I176" t="s">
        <v>682</v>
      </c>
      <c r="J176" t="s">
        <v>8668</v>
      </c>
      <c r="L176">
        <v>0</v>
      </c>
      <c r="R176" s="16" t="s">
        <v>8064</v>
      </c>
      <c r="S176" s="16" t="s">
        <v>8064</v>
      </c>
      <c r="T176" t="s">
        <v>7761</v>
      </c>
      <c r="U176">
        <v>0</v>
      </c>
    </row>
    <row r="177" spans="1:21">
      <c r="A177">
        <v>148</v>
      </c>
      <c r="B177" t="s">
        <v>7098</v>
      </c>
      <c r="C177" t="s">
        <v>476</v>
      </c>
      <c r="D177">
        <v>1211</v>
      </c>
      <c r="E177">
        <v>13</v>
      </c>
      <c r="F177" t="s">
        <v>12</v>
      </c>
      <c r="G177" t="s">
        <v>673</v>
      </c>
      <c r="H177">
        <v>530</v>
      </c>
      <c r="I177" t="s">
        <v>674</v>
      </c>
      <c r="J177" t="s">
        <v>8668</v>
      </c>
      <c r="L177">
        <v>0</v>
      </c>
      <c r="R177" s="16" t="s">
        <v>8064</v>
      </c>
      <c r="S177" s="16" t="s">
        <v>8064</v>
      </c>
      <c r="T177" t="s">
        <v>7761</v>
      </c>
      <c r="U177">
        <v>0</v>
      </c>
    </row>
    <row r="178" spans="1:21">
      <c r="A178">
        <v>149</v>
      </c>
      <c r="B178" t="s">
        <v>5335</v>
      </c>
      <c r="C178" t="s">
        <v>417</v>
      </c>
      <c r="D178">
        <v>919</v>
      </c>
      <c r="E178">
        <v>10</v>
      </c>
      <c r="F178" t="s">
        <v>3993</v>
      </c>
      <c r="G178" t="s">
        <v>486</v>
      </c>
      <c r="H178">
        <v>532</v>
      </c>
      <c r="I178" t="s">
        <v>487</v>
      </c>
      <c r="J178" t="s">
        <v>8668</v>
      </c>
      <c r="L178">
        <v>1</v>
      </c>
      <c r="M178" t="s">
        <v>6960</v>
      </c>
      <c r="N178" t="s">
        <v>6420</v>
      </c>
      <c r="O178" t="s">
        <v>12</v>
      </c>
      <c r="P178" t="s">
        <v>6961</v>
      </c>
      <c r="Q178" t="s">
        <v>6962</v>
      </c>
      <c r="R178" s="16" t="s">
        <v>8356</v>
      </c>
      <c r="S178" s="16" t="s">
        <v>8059</v>
      </c>
      <c r="T178" t="s">
        <v>8041</v>
      </c>
      <c r="U178">
        <v>0</v>
      </c>
    </row>
    <row r="179" spans="1:21">
      <c r="A179">
        <v>150</v>
      </c>
      <c r="B179" t="s">
        <v>7099</v>
      </c>
      <c r="C179">
        <v>1266</v>
      </c>
      <c r="D179">
        <v>1266</v>
      </c>
      <c r="E179">
        <v>13</v>
      </c>
      <c r="F179" t="s">
        <v>13</v>
      </c>
      <c r="G179" t="s">
        <v>749</v>
      </c>
      <c r="H179">
        <v>533</v>
      </c>
      <c r="I179" t="s">
        <v>750</v>
      </c>
      <c r="J179" t="s">
        <v>8668</v>
      </c>
      <c r="L179">
        <v>1</v>
      </c>
      <c r="M179" t="s">
        <v>6348</v>
      </c>
      <c r="N179" t="s">
        <v>6349</v>
      </c>
      <c r="O179" t="s">
        <v>12</v>
      </c>
      <c r="P179">
        <v>10810</v>
      </c>
      <c r="Q179">
        <v>512810</v>
      </c>
      <c r="R179" s="16" t="s">
        <v>8360</v>
      </c>
      <c r="S179" s="16" t="s">
        <v>8063</v>
      </c>
      <c r="T179" t="s">
        <v>7762</v>
      </c>
      <c r="U179">
        <v>0</v>
      </c>
    </row>
    <row r="180" spans="1:21">
      <c r="A180">
        <v>152</v>
      </c>
      <c r="B180" t="s">
        <v>7100</v>
      </c>
      <c r="C180" t="s">
        <v>4096</v>
      </c>
      <c r="D180">
        <v>1277</v>
      </c>
      <c r="E180">
        <v>13</v>
      </c>
      <c r="F180" t="s">
        <v>13</v>
      </c>
      <c r="G180" t="s">
        <v>749</v>
      </c>
      <c r="H180">
        <v>533</v>
      </c>
      <c r="I180" t="s">
        <v>750</v>
      </c>
      <c r="J180" t="s">
        <v>8668</v>
      </c>
      <c r="L180">
        <v>1</v>
      </c>
      <c r="M180" t="s">
        <v>6348</v>
      </c>
      <c r="N180" t="s">
        <v>6349</v>
      </c>
      <c r="O180" t="s">
        <v>12</v>
      </c>
      <c r="P180">
        <v>10810</v>
      </c>
      <c r="Q180">
        <v>512810</v>
      </c>
      <c r="R180" s="16" t="s">
        <v>8360</v>
      </c>
      <c r="S180" s="16" t="s">
        <v>8063</v>
      </c>
      <c r="T180" t="s">
        <v>7762</v>
      </c>
      <c r="U180">
        <v>0</v>
      </c>
    </row>
    <row r="181" spans="1:21">
      <c r="A181">
        <v>151</v>
      </c>
      <c r="B181" t="s">
        <v>7101</v>
      </c>
      <c r="C181" t="s">
        <v>405</v>
      </c>
      <c r="D181">
        <v>1275</v>
      </c>
      <c r="E181">
        <v>13</v>
      </c>
      <c r="F181" t="s">
        <v>13</v>
      </c>
      <c r="G181" t="s">
        <v>749</v>
      </c>
      <c r="H181">
        <v>533</v>
      </c>
      <c r="I181" t="s">
        <v>759</v>
      </c>
      <c r="J181" t="s">
        <v>8668</v>
      </c>
      <c r="L181">
        <v>1</v>
      </c>
      <c r="M181" t="s">
        <v>6348</v>
      </c>
      <c r="N181" t="s">
        <v>6349</v>
      </c>
      <c r="O181" t="s">
        <v>12</v>
      </c>
      <c r="P181">
        <v>10810</v>
      </c>
      <c r="Q181">
        <v>512810</v>
      </c>
      <c r="R181" s="16" t="s">
        <v>8360</v>
      </c>
      <c r="S181" s="16" t="s">
        <v>8063</v>
      </c>
      <c r="T181" t="s">
        <v>7762</v>
      </c>
      <c r="U181">
        <v>0</v>
      </c>
    </row>
    <row r="182" spans="1:21">
      <c r="A182">
        <v>153</v>
      </c>
      <c r="B182" t="s">
        <v>7102</v>
      </c>
      <c r="C182" t="s">
        <v>466</v>
      </c>
      <c r="D182">
        <v>1196</v>
      </c>
      <c r="E182">
        <v>12</v>
      </c>
      <c r="F182" t="s">
        <v>220</v>
      </c>
      <c r="G182" t="s">
        <v>642</v>
      </c>
      <c r="H182">
        <v>534</v>
      </c>
      <c r="I182" t="s">
        <v>643</v>
      </c>
      <c r="J182" t="s">
        <v>8668</v>
      </c>
      <c r="L182">
        <v>1</v>
      </c>
      <c r="M182" t="s">
        <v>6725</v>
      </c>
      <c r="N182" t="s">
        <v>6726</v>
      </c>
      <c r="O182" t="s">
        <v>12</v>
      </c>
      <c r="P182" t="s">
        <v>6727</v>
      </c>
      <c r="Q182" t="s">
        <v>6728</v>
      </c>
      <c r="R182" s="16" t="s">
        <v>8402</v>
      </c>
      <c r="S182" s="16" t="s">
        <v>8117</v>
      </c>
      <c r="T182" t="s">
        <v>7763</v>
      </c>
      <c r="U182">
        <v>0</v>
      </c>
    </row>
    <row r="183" spans="1:21">
      <c r="A183">
        <v>154</v>
      </c>
      <c r="B183" t="s">
        <v>7103</v>
      </c>
      <c r="C183" t="s">
        <v>118</v>
      </c>
      <c r="D183">
        <v>1265</v>
      </c>
      <c r="E183">
        <v>13</v>
      </c>
      <c r="F183" t="s">
        <v>45</v>
      </c>
      <c r="G183" t="s">
        <v>747</v>
      </c>
      <c r="H183">
        <v>535</v>
      </c>
      <c r="I183" t="s">
        <v>748</v>
      </c>
      <c r="J183" t="s">
        <v>8668</v>
      </c>
      <c r="L183">
        <v>1</v>
      </c>
      <c r="M183" t="s">
        <v>6339</v>
      </c>
      <c r="N183" t="s">
        <v>6340</v>
      </c>
      <c r="O183" t="s">
        <v>12</v>
      </c>
      <c r="P183" t="s">
        <v>6341</v>
      </c>
      <c r="Q183">
        <v>522480</v>
      </c>
      <c r="R183" s="16" t="s">
        <v>8414</v>
      </c>
      <c r="S183" s="16" t="s">
        <v>8118</v>
      </c>
      <c r="T183" t="s">
        <v>7764</v>
      </c>
      <c r="U183">
        <v>0</v>
      </c>
    </row>
    <row r="184" spans="1:21">
      <c r="A184">
        <v>160</v>
      </c>
      <c r="B184" t="s">
        <v>7109</v>
      </c>
      <c r="C184" t="s">
        <v>4111</v>
      </c>
      <c r="D184">
        <v>1252</v>
      </c>
      <c r="E184">
        <v>13</v>
      </c>
      <c r="F184" t="s">
        <v>27</v>
      </c>
      <c r="G184" t="s">
        <v>718</v>
      </c>
      <c r="H184">
        <v>542</v>
      </c>
      <c r="I184" t="s">
        <v>719</v>
      </c>
      <c r="J184" t="s">
        <v>8668</v>
      </c>
      <c r="L184">
        <v>1</v>
      </c>
      <c r="M184" t="s">
        <v>6486</v>
      </c>
      <c r="N184" t="s">
        <v>6487</v>
      </c>
      <c r="O184" t="s">
        <v>12</v>
      </c>
      <c r="P184" t="s">
        <v>6488</v>
      </c>
      <c r="Q184">
        <v>517520</v>
      </c>
      <c r="R184" s="16" t="s">
        <v>8357</v>
      </c>
      <c r="S184" s="16" t="s">
        <v>8060</v>
      </c>
      <c r="T184" t="s">
        <v>7769</v>
      </c>
      <c r="U184">
        <v>0</v>
      </c>
    </row>
    <row r="185" spans="1:21">
      <c r="A185">
        <v>161</v>
      </c>
      <c r="B185" t="s">
        <v>5346</v>
      </c>
      <c r="C185" t="s">
        <v>400</v>
      </c>
      <c r="D185">
        <v>1257</v>
      </c>
      <c r="E185">
        <v>13</v>
      </c>
      <c r="F185" t="s">
        <v>27</v>
      </c>
      <c r="G185" t="s">
        <v>718</v>
      </c>
      <c r="H185">
        <v>542</v>
      </c>
      <c r="I185" t="s">
        <v>719</v>
      </c>
      <c r="J185" t="s">
        <v>8668</v>
      </c>
      <c r="L185">
        <v>1</v>
      </c>
      <c r="M185" t="s">
        <v>6486</v>
      </c>
      <c r="N185" t="s">
        <v>6487</v>
      </c>
      <c r="O185" t="s">
        <v>12</v>
      </c>
      <c r="P185" t="s">
        <v>6488</v>
      </c>
      <c r="Q185">
        <v>517520</v>
      </c>
      <c r="R185" s="16" t="s">
        <v>8357</v>
      </c>
      <c r="S185" s="16" t="s">
        <v>8060</v>
      </c>
      <c r="T185" t="s">
        <v>7769</v>
      </c>
      <c r="U185">
        <v>0</v>
      </c>
    </row>
    <row r="186" spans="1:21">
      <c r="A186">
        <v>162</v>
      </c>
      <c r="B186" t="s">
        <v>7110</v>
      </c>
      <c r="C186" t="s">
        <v>448</v>
      </c>
      <c r="D186">
        <v>1120</v>
      </c>
      <c r="E186">
        <v>12</v>
      </c>
      <c r="F186" t="s">
        <v>4113</v>
      </c>
      <c r="G186" t="s">
        <v>569</v>
      </c>
      <c r="H186">
        <v>543</v>
      </c>
      <c r="I186" t="s">
        <v>570</v>
      </c>
      <c r="J186" t="s">
        <v>8668</v>
      </c>
      <c r="L186">
        <v>1</v>
      </c>
      <c r="M186" t="s">
        <v>6312</v>
      </c>
      <c r="N186" t="s">
        <v>6313</v>
      </c>
      <c r="O186" t="s">
        <v>12</v>
      </c>
      <c r="P186" t="s">
        <v>6314</v>
      </c>
      <c r="Q186">
        <v>509200</v>
      </c>
      <c r="R186" s="16" t="s">
        <v>8416</v>
      </c>
      <c r="S186" s="16" t="s">
        <v>8120</v>
      </c>
      <c r="T186" t="s">
        <v>7770</v>
      </c>
      <c r="U186">
        <v>0</v>
      </c>
    </row>
    <row r="187" spans="1:21">
      <c r="A187">
        <v>163</v>
      </c>
      <c r="B187" t="s">
        <v>7111</v>
      </c>
      <c r="C187" t="s">
        <v>396</v>
      </c>
      <c r="D187">
        <v>1251</v>
      </c>
      <c r="E187">
        <v>13</v>
      </c>
      <c r="F187" t="s">
        <v>27</v>
      </c>
      <c r="G187" t="s">
        <v>722</v>
      </c>
      <c r="H187">
        <v>545</v>
      </c>
      <c r="I187" t="s">
        <v>723</v>
      </c>
      <c r="J187" t="s">
        <v>8668</v>
      </c>
      <c r="L187">
        <v>1</v>
      </c>
      <c r="M187" t="s">
        <v>6486</v>
      </c>
      <c r="N187" t="s">
        <v>6487</v>
      </c>
      <c r="O187" t="s">
        <v>12</v>
      </c>
      <c r="P187" t="s">
        <v>6488</v>
      </c>
      <c r="Q187">
        <v>517520</v>
      </c>
      <c r="R187" s="16" t="s">
        <v>8357</v>
      </c>
      <c r="S187" s="16" t="s">
        <v>8060</v>
      </c>
      <c r="T187" t="s">
        <v>7771</v>
      </c>
      <c r="U187">
        <v>0</v>
      </c>
    </row>
    <row r="188" spans="1:21">
      <c r="A188">
        <v>164</v>
      </c>
      <c r="B188" t="s">
        <v>7112</v>
      </c>
      <c r="C188" t="s">
        <v>411</v>
      </c>
      <c r="D188">
        <v>1296</v>
      </c>
      <c r="E188">
        <v>13</v>
      </c>
      <c r="F188" t="s">
        <v>4116</v>
      </c>
      <c r="G188" t="s">
        <v>786</v>
      </c>
      <c r="H188">
        <v>547</v>
      </c>
      <c r="I188" t="s">
        <v>787</v>
      </c>
      <c r="J188" t="s">
        <v>8668</v>
      </c>
      <c r="L188">
        <v>1</v>
      </c>
      <c r="M188" t="s">
        <v>6494</v>
      </c>
      <c r="N188" t="s">
        <v>6469</v>
      </c>
      <c r="O188" t="s">
        <v>12</v>
      </c>
      <c r="P188" t="s">
        <v>6495</v>
      </c>
      <c r="Q188">
        <v>528180</v>
      </c>
      <c r="R188" s="16" t="s">
        <v>8417</v>
      </c>
      <c r="S188" s="16" t="s">
        <v>8121</v>
      </c>
      <c r="T188" t="s">
        <v>7772</v>
      </c>
      <c r="U188">
        <v>0</v>
      </c>
    </row>
    <row r="189" spans="1:21">
      <c r="A189">
        <v>169</v>
      </c>
      <c r="B189" t="s">
        <v>7117</v>
      </c>
      <c r="C189" t="s">
        <v>433</v>
      </c>
      <c r="D189">
        <v>1050</v>
      </c>
      <c r="E189">
        <v>11</v>
      </c>
      <c r="F189" t="s">
        <v>241</v>
      </c>
      <c r="G189" t="s">
        <v>528</v>
      </c>
      <c r="H189">
        <v>552</v>
      </c>
      <c r="I189" t="s">
        <v>529</v>
      </c>
      <c r="J189" t="s">
        <v>8668</v>
      </c>
      <c r="L189">
        <v>1</v>
      </c>
      <c r="M189" t="s">
        <v>6285</v>
      </c>
      <c r="N189" t="s">
        <v>6286</v>
      </c>
      <c r="O189" t="s">
        <v>12</v>
      </c>
      <c r="P189">
        <v>-12833</v>
      </c>
      <c r="Q189">
        <v>516700</v>
      </c>
      <c r="R189" s="16" t="s">
        <v>8418</v>
      </c>
      <c r="S189" s="16" t="s">
        <v>8122</v>
      </c>
      <c r="T189" t="s">
        <v>7776</v>
      </c>
      <c r="U189">
        <v>0</v>
      </c>
    </row>
    <row r="190" spans="1:21">
      <c r="A190">
        <v>172</v>
      </c>
      <c r="B190" t="s">
        <v>7119</v>
      </c>
      <c r="C190" t="s">
        <v>4126</v>
      </c>
      <c r="D190">
        <v>1067</v>
      </c>
      <c r="E190">
        <v>11</v>
      </c>
      <c r="F190" t="s">
        <v>34</v>
      </c>
      <c r="G190" t="s">
        <v>505</v>
      </c>
      <c r="H190">
        <v>556</v>
      </c>
      <c r="I190" t="s">
        <v>506</v>
      </c>
      <c r="J190" t="s">
        <v>8668</v>
      </c>
      <c r="L190">
        <v>1</v>
      </c>
      <c r="M190" t="s">
        <v>6497</v>
      </c>
      <c r="N190" t="s">
        <v>6385</v>
      </c>
      <c r="O190" t="s">
        <v>12</v>
      </c>
      <c r="P190" t="s">
        <v>6968</v>
      </c>
      <c r="Q190" t="s">
        <v>6969</v>
      </c>
      <c r="R190" s="16" t="s">
        <v>8358</v>
      </c>
      <c r="S190" s="16" t="s">
        <v>8061</v>
      </c>
      <c r="T190" t="s">
        <v>7778</v>
      </c>
      <c r="U190">
        <v>0</v>
      </c>
    </row>
    <row r="191" spans="1:21">
      <c r="A191">
        <v>171</v>
      </c>
      <c r="B191" t="s">
        <v>7120</v>
      </c>
      <c r="C191" t="s">
        <v>423</v>
      </c>
      <c r="D191">
        <v>1005</v>
      </c>
      <c r="E191">
        <v>11</v>
      </c>
      <c r="F191" t="s">
        <v>3993</v>
      </c>
      <c r="G191" t="s">
        <v>505</v>
      </c>
      <c r="H191">
        <v>556</v>
      </c>
      <c r="I191" t="s">
        <v>506</v>
      </c>
      <c r="J191" t="s">
        <v>8668</v>
      </c>
      <c r="L191">
        <v>1</v>
      </c>
      <c r="M191" t="s">
        <v>6960</v>
      </c>
      <c r="N191" t="s">
        <v>6420</v>
      </c>
      <c r="O191" t="s">
        <v>12</v>
      </c>
      <c r="P191" t="s">
        <v>6961</v>
      </c>
      <c r="Q191" t="s">
        <v>6962</v>
      </c>
      <c r="R191" s="16" t="s">
        <v>8356</v>
      </c>
      <c r="S191" s="16" t="s">
        <v>8059</v>
      </c>
      <c r="T191" t="s">
        <v>7779</v>
      </c>
      <c r="U191">
        <v>0</v>
      </c>
    </row>
    <row r="192" spans="1:21">
      <c r="A192">
        <v>178</v>
      </c>
      <c r="B192" t="s">
        <v>7126</v>
      </c>
      <c r="C192" t="s">
        <v>3949</v>
      </c>
      <c r="D192">
        <v>966</v>
      </c>
      <c r="E192">
        <v>10</v>
      </c>
      <c r="F192" t="s">
        <v>40</v>
      </c>
      <c r="G192" t="s">
        <v>495</v>
      </c>
      <c r="H192">
        <v>562</v>
      </c>
      <c r="I192" t="s">
        <v>496</v>
      </c>
      <c r="J192" t="s">
        <v>8668</v>
      </c>
      <c r="L192">
        <v>1</v>
      </c>
      <c r="M192" t="s">
        <v>6419</v>
      </c>
      <c r="N192" t="s">
        <v>6420</v>
      </c>
      <c r="O192" t="s">
        <v>12</v>
      </c>
      <c r="P192">
        <v>-13160</v>
      </c>
      <c r="Q192">
        <v>510600</v>
      </c>
      <c r="R192" s="16" t="s">
        <v>8408</v>
      </c>
      <c r="S192" s="16" t="s">
        <v>8059</v>
      </c>
      <c r="T192" t="s">
        <v>7782</v>
      </c>
      <c r="U192">
        <v>0</v>
      </c>
    </row>
    <row r="193" spans="1:21">
      <c r="A193">
        <v>179</v>
      </c>
      <c r="B193" t="s">
        <v>7127</v>
      </c>
      <c r="C193" t="s">
        <v>452</v>
      </c>
      <c r="D193">
        <v>1131</v>
      </c>
      <c r="E193">
        <v>12</v>
      </c>
      <c r="F193" t="s">
        <v>12</v>
      </c>
      <c r="G193" t="s">
        <v>582</v>
      </c>
      <c r="H193">
        <v>563</v>
      </c>
      <c r="I193" t="s">
        <v>583</v>
      </c>
      <c r="J193" t="s">
        <v>8668</v>
      </c>
      <c r="L193">
        <v>0</v>
      </c>
      <c r="R193" s="16" t="s">
        <v>8064</v>
      </c>
      <c r="S193" s="16" t="s">
        <v>8064</v>
      </c>
      <c r="T193" t="s">
        <v>7783</v>
      </c>
      <c r="U193">
        <v>0</v>
      </c>
    </row>
    <row r="194" spans="1:21">
      <c r="A194">
        <v>181</v>
      </c>
      <c r="B194" t="s">
        <v>7129</v>
      </c>
      <c r="C194" t="s">
        <v>391</v>
      </c>
      <c r="D194">
        <v>1249</v>
      </c>
      <c r="E194">
        <v>13</v>
      </c>
      <c r="F194" t="s">
        <v>29</v>
      </c>
      <c r="G194" t="s">
        <v>703</v>
      </c>
      <c r="H194">
        <v>572</v>
      </c>
      <c r="I194" t="s">
        <v>704</v>
      </c>
      <c r="J194" t="s">
        <v>8668</v>
      </c>
      <c r="L194">
        <v>1</v>
      </c>
      <c r="M194" t="s">
        <v>6729</v>
      </c>
      <c r="N194" t="s">
        <v>6730</v>
      </c>
      <c r="O194" t="s">
        <v>12</v>
      </c>
      <c r="P194" t="s">
        <v>6731</v>
      </c>
      <c r="Q194" t="s">
        <v>6732</v>
      </c>
      <c r="R194" s="16" t="s">
        <v>8422</v>
      </c>
      <c r="S194" s="16" t="s">
        <v>8126</v>
      </c>
      <c r="T194" t="s">
        <v>7785</v>
      </c>
      <c r="U194">
        <v>0</v>
      </c>
    </row>
    <row r="195" spans="1:21">
      <c r="A195">
        <v>182</v>
      </c>
      <c r="B195" t="s">
        <v>7130</v>
      </c>
      <c r="C195" t="s">
        <v>434</v>
      </c>
      <c r="D195">
        <v>1059</v>
      </c>
      <c r="E195">
        <v>11</v>
      </c>
      <c r="F195" t="s">
        <v>258</v>
      </c>
      <c r="G195" t="s">
        <v>534</v>
      </c>
      <c r="H195">
        <v>573</v>
      </c>
      <c r="I195" t="s">
        <v>535</v>
      </c>
      <c r="J195" t="s">
        <v>8668</v>
      </c>
      <c r="L195">
        <v>1</v>
      </c>
      <c r="M195" t="s">
        <v>6396</v>
      </c>
      <c r="N195" t="s">
        <v>6397</v>
      </c>
      <c r="O195" t="s">
        <v>12</v>
      </c>
      <c r="P195">
        <v>-35330</v>
      </c>
      <c r="Q195">
        <v>507180</v>
      </c>
      <c r="R195" s="16" t="s">
        <v>8359</v>
      </c>
      <c r="S195" s="16" t="s">
        <v>8062</v>
      </c>
      <c r="T195" t="s">
        <v>7786</v>
      </c>
      <c r="U195">
        <v>0</v>
      </c>
    </row>
    <row r="196" spans="1:21">
      <c r="A196">
        <v>185</v>
      </c>
      <c r="B196" t="s">
        <v>7133</v>
      </c>
      <c r="C196" t="s">
        <v>394</v>
      </c>
      <c r="D196">
        <v>1252</v>
      </c>
      <c r="E196">
        <v>13</v>
      </c>
      <c r="F196" t="s">
        <v>27</v>
      </c>
      <c r="G196" t="s">
        <v>714</v>
      </c>
      <c r="H196">
        <v>576</v>
      </c>
      <c r="I196" t="s">
        <v>715</v>
      </c>
      <c r="J196" t="s">
        <v>8668</v>
      </c>
      <c r="L196">
        <v>1</v>
      </c>
      <c r="M196" t="s">
        <v>6486</v>
      </c>
      <c r="N196" t="s">
        <v>6487</v>
      </c>
      <c r="O196" t="s">
        <v>12</v>
      </c>
      <c r="P196" t="s">
        <v>6488</v>
      </c>
      <c r="Q196">
        <v>517520</v>
      </c>
      <c r="R196" s="16" t="s">
        <v>8357</v>
      </c>
      <c r="S196" s="16" t="s">
        <v>8060</v>
      </c>
      <c r="T196" t="s">
        <v>7788</v>
      </c>
      <c r="U196">
        <v>0</v>
      </c>
    </row>
    <row r="197" spans="1:21">
      <c r="A197">
        <v>186</v>
      </c>
      <c r="B197" t="s">
        <v>7134</v>
      </c>
      <c r="C197" t="s">
        <v>443</v>
      </c>
      <c r="D197">
        <v>1105</v>
      </c>
      <c r="E197">
        <v>12</v>
      </c>
      <c r="F197" t="s">
        <v>13</v>
      </c>
      <c r="G197" t="s">
        <v>559</v>
      </c>
      <c r="H197">
        <v>577</v>
      </c>
      <c r="I197" t="s">
        <v>560</v>
      </c>
      <c r="J197" t="s">
        <v>8668</v>
      </c>
      <c r="L197">
        <v>1</v>
      </c>
      <c r="M197" t="s">
        <v>6348</v>
      </c>
      <c r="N197" t="s">
        <v>6349</v>
      </c>
      <c r="O197" t="s">
        <v>12</v>
      </c>
      <c r="P197">
        <v>10810</v>
      </c>
      <c r="Q197">
        <v>512810</v>
      </c>
      <c r="R197" s="16" t="s">
        <v>8360</v>
      </c>
      <c r="S197" s="16" t="s">
        <v>8063</v>
      </c>
      <c r="T197" t="s">
        <v>7789</v>
      </c>
      <c r="U197">
        <v>0</v>
      </c>
    </row>
    <row r="198" spans="1:21">
      <c r="A198">
        <v>187</v>
      </c>
      <c r="B198" t="s">
        <v>7135</v>
      </c>
      <c r="C198" t="s">
        <v>453</v>
      </c>
      <c r="D198">
        <v>1137</v>
      </c>
      <c r="E198">
        <v>12</v>
      </c>
      <c r="F198" t="s">
        <v>4052</v>
      </c>
      <c r="G198" t="s">
        <v>584</v>
      </c>
      <c r="H198">
        <v>598</v>
      </c>
      <c r="I198" t="s">
        <v>585</v>
      </c>
      <c r="J198" t="s">
        <v>8668</v>
      </c>
      <c r="L198">
        <v>1</v>
      </c>
      <c r="M198" t="s">
        <v>6421</v>
      </c>
      <c r="N198" t="s">
        <v>6422</v>
      </c>
      <c r="O198" t="s">
        <v>6423</v>
      </c>
      <c r="P198">
        <v>352137</v>
      </c>
      <c r="Q198">
        <v>317683</v>
      </c>
      <c r="R198" s="16" t="s">
        <v>8407</v>
      </c>
      <c r="S198" s="16" t="s">
        <v>8111</v>
      </c>
      <c r="T198" t="s">
        <v>7135</v>
      </c>
      <c r="U198">
        <v>0</v>
      </c>
    </row>
    <row r="199" spans="1:21">
      <c r="A199">
        <v>189</v>
      </c>
      <c r="B199" t="s">
        <v>7137</v>
      </c>
      <c r="C199" t="s">
        <v>751</v>
      </c>
      <c r="D199">
        <v>1269</v>
      </c>
      <c r="E199">
        <v>13</v>
      </c>
      <c r="F199" t="s">
        <v>4149</v>
      </c>
      <c r="G199" t="s">
        <v>752</v>
      </c>
      <c r="H199">
        <v>611</v>
      </c>
      <c r="I199" t="s">
        <v>753</v>
      </c>
      <c r="J199" t="s">
        <v>8668</v>
      </c>
      <c r="L199">
        <v>1</v>
      </c>
      <c r="M199" t="s">
        <v>6643</v>
      </c>
      <c r="N199" t="s">
        <v>6594</v>
      </c>
      <c r="O199" t="s">
        <v>4016</v>
      </c>
      <c r="P199" t="s">
        <v>6644</v>
      </c>
      <c r="Q199" t="s">
        <v>6645</v>
      </c>
      <c r="R199" s="16" t="s">
        <v>8426</v>
      </c>
      <c r="S199" s="16" t="s">
        <v>8130</v>
      </c>
      <c r="T199" t="s">
        <v>7137</v>
      </c>
      <c r="U199">
        <v>0</v>
      </c>
    </row>
    <row r="200" spans="1:21">
      <c r="A200">
        <v>190</v>
      </c>
      <c r="B200" t="s">
        <v>7138</v>
      </c>
      <c r="C200" t="s">
        <v>386</v>
      </c>
      <c r="D200">
        <v>1230</v>
      </c>
      <c r="E200">
        <v>13</v>
      </c>
      <c r="F200" t="s">
        <v>4151</v>
      </c>
      <c r="G200" t="s">
        <v>688</v>
      </c>
      <c r="H200">
        <v>612</v>
      </c>
      <c r="I200" t="s">
        <v>689</v>
      </c>
      <c r="J200" t="s">
        <v>8668</v>
      </c>
      <c r="L200">
        <v>1</v>
      </c>
      <c r="M200" t="s">
        <v>4151</v>
      </c>
      <c r="N200" t="s">
        <v>6305</v>
      </c>
      <c r="O200" t="s">
        <v>104</v>
      </c>
      <c r="P200">
        <v>20860</v>
      </c>
      <c r="Q200">
        <v>494300</v>
      </c>
      <c r="R200" s="16" t="s">
        <v>8427</v>
      </c>
      <c r="S200" s="16" t="s">
        <v>8131</v>
      </c>
      <c r="T200" t="s">
        <v>7790</v>
      </c>
      <c r="U200">
        <v>0</v>
      </c>
    </row>
    <row r="201" spans="1:21">
      <c r="A201">
        <v>191</v>
      </c>
      <c r="B201" t="s">
        <v>7139</v>
      </c>
      <c r="C201" t="s">
        <v>390</v>
      </c>
      <c r="D201">
        <v>1230</v>
      </c>
      <c r="E201">
        <v>13</v>
      </c>
      <c r="F201" t="s">
        <v>4153</v>
      </c>
      <c r="G201" t="s">
        <v>698</v>
      </c>
      <c r="H201">
        <v>613</v>
      </c>
      <c r="I201" t="s">
        <v>699</v>
      </c>
      <c r="J201" t="s">
        <v>8668</v>
      </c>
      <c r="L201">
        <v>1</v>
      </c>
      <c r="M201" t="s">
        <v>6351</v>
      </c>
      <c r="N201" t="s">
        <v>6352</v>
      </c>
      <c r="O201" t="s">
        <v>12</v>
      </c>
      <c r="P201" t="s">
        <v>6353</v>
      </c>
      <c r="Q201">
        <v>519420</v>
      </c>
      <c r="R201" s="16" t="s">
        <v>8428</v>
      </c>
      <c r="S201" s="16" t="s">
        <v>8132</v>
      </c>
      <c r="T201" t="s">
        <v>7139</v>
      </c>
      <c r="U201">
        <v>0</v>
      </c>
    </row>
    <row r="202" spans="1:21">
      <c r="A202">
        <v>192</v>
      </c>
      <c r="B202" t="s">
        <v>7140</v>
      </c>
      <c r="C202" t="s">
        <v>481</v>
      </c>
      <c r="D202">
        <v>1236</v>
      </c>
      <c r="E202">
        <v>13</v>
      </c>
      <c r="F202" t="s">
        <v>4052</v>
      </c>
      <c r="G202" t="s">
        <v>696</v>
      </c>
      <c r="H202">
        <v>615</v>
      </c>
      <c r="I202" t="s">
        <v>697</v>
      </c>
      <c r="J202" t="s">
        <v>8668</v>
      </c>
      <c r="L202">
        <v>1</v>
      </c>
      <c r="M202" t="s">
        <v>6421</v>
      </c>
      <c r="N202" t="s">
        <v>6422</v>
      </c>
      <c r="O202" t="s">
        <v>6423</v>
      </c>
      <c r="P202">
        <v>352137</v>
      </c>
      <c r="Q202">
        <v>317683</v>
      </c>
      <c r="R202" s="16" t="s">
        <v>8407</v>
      </c>
      <c r="S202" s="16" t="s">
        <v>8111</v>
      </c>
      <c r="T202" t="s">
        <v>7140</v>
      </c>
      <c r="U202">
        <v>0</v>
      </c>
    </row>
    <row r="203" spans="1:21">
      <c r="A203">
        <v>193</v>
      </c>
      <c r="B203" t="s">
        <v>7141</v>
      </c>
      <c r="C203" t="s">
        <v>790</v>
      </c>
      <c r="D203">
        <v>1295</v>
      </c>
      <c r="E203">
        <v>13</v>
      </c>
      <c r="F203" t="s">
        <v>4156</v>
      </c>
      <c r="G203" t="s">
        <v>791</v>
      </c>
      <c r="H203">
        <v>618</v>
      </c>
      <c r="I203" t="s">
        <v>792</v>
      </c>
      <c r="J203" t="s">
        <v>8668</v>
      </c>
      <c r="L203">
        <v>1</v>
      </c>
      <c r="M203" t="s">
        <v>7005</v>
      </c>
      <c r="N203" t="s">
        <v>7006</v>
      </c>
      <c r="O203" t="s">
        <v>6976</v>
      </c>
      <c r="P203">
        <v>112167</v>
      </c>
      <c r="Q203">
        <v>434000</v>
      </c>
      <c r="R203" s="16" t="s">
        <v>8429</v>
      </c>
      <c r="S203" s="16" t="s">
        <v>8133</v>
      </c>
      <c r="T203" t="s">
        <v>7141</v>
      </c>
      <c r="U203">
        <v>0</v>
      </c>
    </row>
    <row r="204" spans="1:21">
      <c r="A204">
        <v>195</v>
      </c>
      <c r="B204" t="s">
        <v>7143</v>
      </c>
      <c r="C204" t="s">
        <v>707</v>
      </c>
      <c r="D204">
        <v>1240</v>
      </c>
      <c r="E204">
        <v>13</v>
      </c>
      <c r="F204" t="s">
        <v>4159</v>
      </c>
      <c r="G204" t="s">
        <v>708</v>
      </c>
      <c r="H204">
        <v>621</v>
      </c>
      <c r="I204" t="s">
        <v>709</v>
      </c>
      <c r="J204" t="s">
        <v>8668</v>
      </c>
      <c r="L204">
        <v>1</v>
      </c>
      <c r="M204" t="s">
        <v>6538</v>
      </c>
      <c r="N204" t="s">
        <v>6295</v>
      </c>
      <c r="O204" t="s">
        <v>11</v>
      </c>
      <c r="P204" t="s">
        <v>6539</v>
      </c>
      <c r="Q204" t="s">
        <v>6540</v>
      </c>
      <c r="R204" s="16" t="s">
        <v>8430</v>
      </c>
      <c r="S204" s="16" t="s">
        <v>8134</v>
      </c>
      <c r="T204" t="s">
        <v>7143</v>
      </c>
      <c r="U204">
        <v>0</v>
      </c>
    </row>
    <row r="205" spans="1:21">
      <c r="A205">
        <v>196</v>
      </c>
      <c r="B205" t="s">
        <v>7144</v>
      </c>
      <c r="C205" t="s">
        <v>392</v>
      </c>
      <c r="D205">
        <v>1244</v>
      </c>
      <c r="E205">
        <v>13</v>
      </c>
      <c r="F205" t="s">
        <v>4161</v>
      </c>
      <c r="G205" t="s">
        <v>710</v>
      </c>
      <c r="H205">
        <v>623</v>
      </c>
      <c r="I205" t="s">
        <v>711</v>
      </c>
      <c r="J205" t="s">
        <v>8668</v>
      </c>
      <c r="L205">
        <v>1</v>
      </c>
      <c r="M205" t="s">
        <v>6523</v>
      </c>
      <c r="N205" t="s">
        <v>6413</v>
      </c>
      <c r="O205" t="s">
        <v>12</v>
      </c>
      <c r="P205" t="s">
        <v>6524</v>
      </c>
      <c r="Q205" t="s">
        <v>6525</v>
      </c>
      <c r="R205" s="16" t="s">
        <v>8431</v>
      </c>
      <c r="S205" s="16" t="s">
        <v>8135</v>
      </c>
      <c r="T205" t="s">
        <v>7144</v>
      </c>
      <c r="U205">
        <v>0</v>
      </c>
    </row>
    <row r="206" spans="1:21">
      <c r="A206">
        <v>197</v>
      </c>
      <c r="B206" t="s">
        <v>7145</v>
      </c>
      <c r="C206" t="s">
        <v>478</v>
      </c>
      <c r="D206">
        <v>1216</v>
      </c>
      <c r="E206">
        <v>13</v>
      </c>
      <c r="F206" t="s">
        <v>4163</v>
      </c>
      <c r="G206" t="s">
        <v>679</v>
      </c>
      <c r="H206">
        <v>625</v>
      </c>
      <c r="I206" t="s">
        <v>680</v>
      </c>
      <c r="J206" t="s">
        <v>8668</v>
      </c>
      <c r="L206">
        <v>1</v>
      </c>
      <c r="M206" t="s">
        <v>5719</v>
      </c>
      <c r="N206" t="s">
        <v>5719</v>
      </c>
      <c r="O206" t="s">
        <v>6288</v>
      </c>
      <c r="P206" t="s">
        <v>6808</v>
      </c>
      <c r="Q206" t="s">
        <v>6809</v>
      </c>
      <c r="R206" s="16" t="s">
        <v>6808</v>
      </c>
      <c r="S206" s="16" t="s">
        <v>6809</v>
      </c>
      <c r="T206" t="s">
        <v>7145</v>
      </c>
      <c r="U206">
        <v>0</v>
      </c>
    </row>
    <row r="207" spans="1:21">
      <c r="A207">
        <v>198</v>
      </c>
      <c r="B207" t="s">
        <v>7146</v>
      </c>
      <c r="C207" t="s">
        <v>462</v>
      </c>
      <c r="D207">
        <v>1169</v>
      </c>
      <c r="E207">
        <v>12</v>
      </c>
      <c r="F207" t="s">
        <v>12</v>
      </c>
      <c r="G207" t="s">
        <v>626</v>
      </c>
      <c r="H207">
        <v>626</v>
      </c>
      <c r="I207" t="s">
        <v>627</v>
      </c>
      <c r="J207" t="s">
        <v>8668</v>
      </c>
      <c r="L207">
        <v>0</v>
      </c>
      <c r="R207" s="16" t="s">
        <v>8064</v>
      </c>
      <c r="S207" s="16" t="s">
        <v>8064</v>
      </c>
      <c r="T207" t="s">
        <v>7146</v>
      </c>
      <c r="U207">
        <v>0</v>
      </c>
    </row>
    <row r="208" spans="1:21">
      <c r="A208">
        <v>200</v>
      </c>
      <c r="B208" t="s">
        <v>7148</v>
      </c>
      <c r="C208" t="s">
        <v>424</v>
      </c>
      <c r="D208">
        <v>1008</v>
      </c>
      <c r="E208">
        <v>11</v>
      </c>
      <c r="F208" t="s">
        <v>77</v>
      </c>
      <c r="G208" t="s">
        <v>507</v>
      </c>
      <c r="H208">
        <v>628</v>
      </c>
      <c r="I208" t="s">
        <v>508</v>
      </c>
      <c r="J208" t="s">
        <v>8668</v>
      </c>
      <c r="L208">
        <v>1</v>
      </c>
      <c r="M208" t="s">
        <v>77</v>
      </c>
      <c r="N208" t="s">
        <v>6416</v>
      </c>
      <c r="O208" t="s">
        <v>11</v>
      </c>
      <c r="P208">
        <v>91900</v>
      </c>
      <c r="Q208">
        <v>454640</v>
      </c>
      <c r="R208" s="16" t="s">
        <v>8432</v>
      </c>
      <c r="S208" s="16" t="s">
        <v>8136</v>
      </c>
      <c r="T208" t="s">
        <v>7148</v>
      </c>
      <c r="U208">
        <v>0</v>
      </c>
    </row>
    <row r="209" spans="1:21">
      <c r="A209">
        <v>201</v>
      </c>
      <c r="B209" t="s">
        <v>7149</v>
      </c>
      <c r="C209" t="s">
        <v>420</v>
      </c>
      <c r="D209">
        <v>997</v>
      </c>
      <c r="E209">
        <v>10</v>
      </c>
      <c r="F209" t="s">
        <v>4168</v>
      </c>
      <c r="G209" t="s">
        <v>497</v>
      </c>
      <c r="H209">
        <v>629</v>
      </c>
      <c r="I209" t="s">
        <v>498</v>
      </c>
      <c r="J209" t="s">
        <v>8668</v>
      </c>
      <c r="L209">
        <v>1</v>
      </c>
      <c r="M209" t="s">
        <v>6500</v>
      </c>
      <c r="N209" t="s">
        <v>6482</v>
      </c>
      <c r="O209" t="s">
        <v>12</v>
      </c>
      <c r="P209">
        <v>-10820</v>
      </c>
      <c r="Q209">
        <v>539590</v>
      </c>
      <c r="R209" s="16" t="s">
        <v>8433</v>
      </c>
      <c r="S209" s="16" t="s">
        <v>8137</v>
      </c>
      <c r="T209" t="s">
        <v>7791</v>
      </c>
      <c r="U209">
        <v>0</v>
      </c>
    </row>
    <row r="210" spans="1:21">
      <c r="A210">
        <v>202</v>
      </c>
      <c r="B210" t="s">
        <v>7150</v>
      </c>
      <c r="C210" t="s">
        <v>766</v>
      </c>
      <c r="D210">
        <v>1280</v>
      </c>
      <c r="E210">
        <v>13</v>
      </c>
      <c r="F210" t="s">
        <v>104</v>
      </c>
      <c r="G210" t="s">
        <v>767</v>
      </c>
      <c r="H210">
        <v>631</v>
      </c>
      <c r="I210" t="s">
        <v>768</v>
      </c>
      <c r="J210" t="s">
        <v>8668</v>
      </c>
      <c r="L210">
        <v>0</v>
      </c>
      <c r="R210" s="16" t="s">
        <v>8064</v>
      </c>
      <c r="S210" s="16" t="s">
        <v>8064</v>
      </c>
      <c r="T210" t="s">
        <v>7150</v>
      </c>
      <c r="U210">
        <v>0</v>
      </c>
    </row>
    <row r="211" spans="1:21">
      <c r="A211">
        <v>203</v>
      </c>
      <c r="B211" t="s">
        <v>7151</v>
      </c>
      <c r="C211" t="s">
        <v>477</v>
      </c>
      <c r="D211">
        <v>1212</v>
      </c>
      <c r="E211">
        <v>13</v>
      </c>
      <c r="F211" t="s">
        <v>45</v>
      </c>
      <c r="G211" t="s">
        <v>675</v>
      </c>
      <c r="H211">
        <v>634</v>
      </c>
      <c r="I211" t="s">
        <v>676</v>
      </c>
      <c r="J211" t="s">
        <v>8668</v>
      </c>
      <c r="L211">
        <v>1</v>
      </c>
      <c r="M211" t="s">
        <v>6339</v>
      </c>
      <c r="N211" t="s">
        <v>6340</v>
      </c>
      <c r="O211" t="s">
        <v>12</v>
      </c>
      <c r="P211" t="s">
        <v>6341</v>
      </c>
      <c r="Q211">
        <v>522480</v>
      </c>
      <c r="R211" s="16" t="s">
        <v>8414</v>
      </c>
      <c r="S211" s="16" t="s">
        <v>8118</v>
      </c>
      <c r="T211" t="s">
        <v>7792</v>
      </c>
      <c r="U211">
        <v>0</v>
      </c>
    </row>
    <row r="212" spans="1:21">
      <c r="A212">
        <v>204</v>
      </c>
      <c r="B212" t="s">
        <v>7152</v>
      </c>
      <c r="C212" t="s">
        <v>756</v>
      </c>
      <c r="D212">
        <v>1272</v>
      </c>
      <c r="E212">
        <v>13</v>
      </c>
      <c r="F212" t="s">
        <v>12</v>
      </c>
      <c r="G212" t="s">
        <v>757</v>
      </c>
      <c r="H212">
        <v>635</v>
      </c>
      <c r="I212" t="s">
        <v>758</v>
      </c>
      <c r="J212" t="s">
        <v>8668</v>
      </c>
      <c r="L212">
        <v>0</v>
      </c>
      <c r="R212" s="16" t="s">
        <v>8064</v>
      </c>
      <c r="S212" s="16" t="s">
        <v>8064</v>
      </c>
      <c r="T212" t="s">
        <v>7793</v>
      </c>
      <c r="U212">
        <v>0</v>
      </c>
    </row>
    <row r="213" spans="1:21">
      <c r="A213">
        <v>207</v>
      </c>
      <c r="B213" t="s">
        <v>7155</v>
      </c>
      <c r="C213" t="s">
        <v>482</v>
      </c>
      <c r="D213">
        <v>1250</v>
      </c>
      <c r="E213">
        <v>13</v>
      </c>
      <c r="F213" t="s">
        <v>29</v>
      </c>
      <c r="G213" t="s">
        <v>705</v>
      </c>
      <c r="H213">
        <v>640</v>
      </c>
      <c r="I213" t="s">
        <v>706</v>
      </c>
      <c r="J213" t="s">
        <v>8668</v>
      </c>
      <c r="L213">
        <v>1</v>
      </c>
      <c r="M213" t="s">
        <v>6729</v>
      </c>
      <c r="N213" t="s">
        <v>6730</v>
      </c>
      <c r="O213" t="s">
        <v>12</v>
      </c>
      <c r="P213" t="s">
        <v>6731</v>
      </c>
      <c r="Q213" t="s">
        <v>6732</v>
      </c>
      <c r="R213" s="16" t="s">
        <v>8422</v>
      </c>
      <c r="S213" s="16" t="s">
        <v>8126</v>
      </c>
      <c r="T213" t="s">
        <v>7795</v>
      </c>
      <c r="U213">
        <v>0</v>
      </c>
    </row>
    <row r="214" spans="1:21">
      <c r="A214">
        <v>209</v>
      </c>
      <c r="B214" t="s">
        <v>7157</v>
      </c>
      <c r="C214" t="s">
        <v>592</v>
      </c>
      <c r="D214">
        <v>1138</v>
      </c>
      <c r="E214">
        <v>12</v>
      </c>
      <c r="F214" t="s">
        <v>4178</v>
      </c>
      <c r="G214" t="s">
        <v>593</v>
      </c>
      <c r="H214">
        <v>644</v>
      </c>
      <c r="I214" t="s">
        <v>594</v>
      </c>
      <c r="J214" t="s">
        <v>8668</v>
      </c>
      <c r="L214">
        <v>1</v>
      </c>
      <c r="M214" t="s">
        <v>6302</v>
      </c>
      <c r="N214" t="s">
        <v>6302</v>
      </c>
      <c r="O214" t="s">
        <v>6303</v>
      </c>
      <c r="P214">
        <v>-66528</v>
      </c>
      <c r="Q214">
        <v>543503</v>
      </c>
      <c r="R214" s="16" t="s">
        <v>8435</v>
      </c>
      <c r="S214" s="16" t="s">
        <v>8139</v>
      </c>
      <c r="T214" t="s">
        <v>7157</v>
      </c>
      <c r="U214">
        <v>0</v>
      </c>
    </row>
    <row r="215" spans="1:21">
      <c r="A215">
        <v>210</v>
      </c>
      <c r="B215" t="s">
        <v>7158</v>
      </c>
      <c r="C215" t="s">
        <v>589</v>
      </c>
      <c r="D215">
        <v>1136</v>
      </c>
      <c r="E215">
        <v>12</v>
      </c>
      <c r="F215" t="s">
        <v>3995</v>
      </c>
      <c r="G215" t="s">
        <v>590</v>
      </c>
      <c r="H215">
        <v>687</v>
      </c>
      <c r="I215" t="s">
        <v>591</v>
      </c>
      <c r="J215" t="s">
        <v>8668</v>
      </c>
      <c r="L215">
        <v>1</v>
      </c>
      <c r="M215" t="s">
        <v>3995</v>
      </c>
      <c r="N215" t="s">
        <v>3995</v>
      </c>
      <c r="O215" t="s">
        <v>3995</v>
      </c>
      <c r="P215" t="s">
        <v>6556</v>
      </c>
      <c r="Q215" t="s">
        <v>6557</v>
      </c>
      <c r="R215" s="16" t="s">
        <v>6556</v>
      </c>
      <c r="S215" s="16" t="s">
        <v>6557</v>
      </c>
      <c r="T215" t="s">
        <v>7158</v>
      </c>
      <c r="U215">
        <v>0</v>
      </c>
    </row>
    <row r="216" spans="1:21">
      <c r="A216">
        <v>211</v>
      </c>
      <c r="B216" t="s">
        <v>7159</v>
      </c>
      <c r="C216" t="s">
        <v>631</v>
      </c>
      <c r="D216">
        <v>1172</v>
      </c>
      <c r="E216">
        <v>12</v>
      </c>
      <c r="F216" t="s">
        <v>4181</v>
      </c>
      <c r="G216" t="s">
        <v>632</v>
      </c>
      <c r="H216">
        <v>704</v>
      </c>
      <c r="I216" t="s">
        <v>633</v>
      </c>
      <c r="J216" t="s">
        <v>8668</v>
      </c>
      <c r="L216">
        <v>1</v>
      </c>
      <c r="M216" t="s">
        <v>6304</v>
      </c>
      <c r="N216" t="s">
        <v>6291</v>
      </c>
      <c r="O216" t="s">
        <v>3995</v>
      </c>
      <c r="P216">
        <v>97940</v>
      </c>
      <c r="Q216">
        <v>499820</v>
      </c>
      <c r="R216" s="16" t="s">
        <v>8436</v>
      </c>
      <c r="S216" s="16" t="s">
        <v>8140</v>
      </c>
      <c r="T216" t="s">
        <v>7159</v>
      </c>
      <c r="U216">
        <v>0</v>
      </c>
    </row>
    <row r="217" spans="1:21">
      <c r="A217">
        <v>212</v>
      </c>
      <c r="B217" t="s">
        <v>7160</v>
      </c>
      <c r="C217" t="s">
        <v>631</v>
      </c>
      <c r="D217">
        <v>1172</v>
      </c>
      <c r="E217">
        <v>12</v>
      </c>
      <c r="F217" t="s">
        <v>4181</v>
      </c>
      <c r="G217" t="s">
        <v>632</v>
      </c>
      <c r="H217">
        <v>704</v>
      </c>
      <c r="I217" t="s">
        <v>633</v>
      </c>
      <c r="J217" t="s">
        <v>8668</v>
      </c>
      <c r="L217">
        <v>1</v>
      </c>
      <c r="M217" t="s">
        <v>6304</v>
      </c>
      <c r="N217" t="s">
        <v>6291</v>
      </c>
      <c r="O217" t="s">
        <v>3995</v>
      </c>
      <c r="P217">
        <v>97940</v>
      </c>
      <c r="Q217">
        <v>499820</v>
      </c>
      <c r="R217" s="16" t="s">
        <v>8436</v>
      </c>
      <c r="S217" s="16" t="s">
        <v>8140</v>
      </c>
      <c r="T217" t="s">
        <v>7160</v>
      </c>
      <c r="U217">
        <v>0</v>
      </c>
    </row>
    <row r="218" spans="1:21">
      <c r="A218">
        <v>213</v>
      </c>
      <c r="B218" t="s">
        <v>7161</v>
      </c>
      <c r="C218" t="s">
        <v>464</v>
      </c>
      <c r="D218">
        <v>1172</v>
      </c>
      <c r="E218">
        <v>12</v>
      </c>
      <c r="F218" t="s">
        <v>4181</v>
      </c>
      <c r="G218" t="s">
        <v>636</v>
      </c>
      <c r="H218">
        <v>705</v>
      </c>
      <c r="I218" t="s">
        <v>637</v>
      </c>
      <c r="J218" t="s">
        <v>8668</v>
      </c>
      <c r="L218">
        <v>1</v>
      </c>
      <c r="M218" t="s">
        <v>6304</v>
      </c>
      <c r="N218" t="s">
        <v>6291</v>
      </c>
      <c r="O218" t="s">
        <v>3995</v>
      </c>
      <c r="P218">
        <v>97940</v>
      </c>
      <c r="Q218">
        <v>499820</v>
      </c>
      <c r="R218" s="16" t="s">
        <v>8436</v>
      </c>
      <c r="S218" s="16" t="s">
        <v>8140</v>
      </c>
      <c r="T218" t="s">
        <v>7161</v>
      </c>
      <c r="U218">
        <v>0</v>
      </c>
    </row>
    <row r="219" spans="1:21">
      <c r="A219">
        <v>214</v>
      </c>
      <c r="B219" t="s">
        <v>7162</v>
      </c>
      <c r="C219" t="s">
        <v>464</v>
      </c>
      <c r="D219">
        <v>1172</v>
      </c>
      <c r="E219">
        <v>12</v>
      </c>
      <c r="F219" t="s">
        <v>4181</v>
      </c>
      <c r="G219" t="s">
        <v>636</v>
      </c>
      <c r="H219">
        <v>705</v>
      </c>
      <c r="I219" t="s">
        <v>637</v>
      </c>
      <c r="J219" t="s">
        <v>8668</v>
      </c>
      <c r="L219">
        <v>1</v>
      </c>
      <c r="M219" t="s">
        <v>6304</v>
      </c>
      <c r="N219" t="s">
        <v>6291</v>
      </c>
      <c r="O219" t="s">
        <v>3995</v>
      </c>
      <c r="P219">
        <v>97940</v>
      </c>
      <c r="Q219">
        <v>499820</v>
      </c>
      <c r="R219" s="16" t="s">
        <v>8436</v>
      </c>
      <c r="S219" s="16" t="s">
        <v>8140</v>
      </c>
      <c r="T219" t="s">
        <v>7162</v>
      </c>
      <c r="U219">
        <v>0</v>
      </c>
    </row>
    <row r="220" spans="1:21">
      <c r="A220">
        <v>215</v>
      </c>
      <c r="B220" t="s">
        <v>7163</v>
      </c>
      <c r="C220" t="s">
        <v>464</v>
      </c>
      <c r="D220">
        <v>1172</v>
      </c>
      <c r="E220">
        <v>12</v>
      </c>
      <c r="F220" t="s">
        <v>4181</v>
      </c>
      <c r="G220" t="s">
        <v>636</v>
      </c>
      <c r="H220">
        <v>705</v>
      </c>
      <c r="I220" t="s">
        <v>637</v>
      </c>
      <c r="J220" t="s">
        <v>8668</v>
      </c>
      <c r="L220">
        <v>1</v>
      </c>
      <c r="M220" t="s">
        <v>6304</v>
      </c>
      <c r="N220" t="s">
        <v>6291</v>
      </c>
      <c r="O220" t="s">
        <v>3995</v>
      </c>
      <c r="P220">
        <v>97940</v>
      </c>
      <c r="Q220">
        <v>499820</v>
      </c>
      <c r="R220" s="16" t="s">
        <v>8436</v>
      </c>
      <c r="S220" s="16" t="s">
        <v>8140</v>
      </c>
      <c r="T220" t="s">
        <v>7163</v>
      </c>
      <c r="U220">
        <v>0</v>
      </c>
    </row>
    <row r="221" spans="1:21">
      <c r="A221">
        <v>216</v>
      </c>
      <c r="B221" t="s">
        <v>7164</v>
      </c>
      <c r="C221" t="s">
        <v>608</v>
      </c>
      <c r="D221">
        <v>1148</v>
      </c>
      <c r="E221">
        <v>12</v>
      </c>
      <c r="F221" t="s">
        <v>4187</v>
      </c>
      <c r="G221" t="s">
        <v>611</v>
      </c>
      <c r="H221">
        <v>706</v>
      </c>
      <c r="I221" t="s">
        <v>612</v>
      </c>
      <c r="J221" t="s">
        <v>8668</v>
      </c>
      <c r="L221">
        <v>1</v>
      </c>
      <c r="M221" t="s">
        <v>6621</v>
      </c>
      <c r="N221" t="s">
        <v>6622</v>
      </c>
      <c r="O221" t="s">
        <v>3995</v>
      </c>
      <c r="P221" t="s">
        <v>6623</v>
      </c>
      <c r="Q221" t="s">
        <v>6624</v>
      </c>
      <c r="R221" s="16" t="s">
        <v>8437</v>
      </c>
      <c r="S221" s="16" t="s">
        <v>8141</v>
      </c>
      <c r="T221" t="s">
        <v>7164</v>
      </c>
      <c r="U221">
        <v>0</v>
      </c>
    </row>
    <row r="222" spans="1:21">
      <c r="A222">
        <v>217</v>
      </c>
      <c r="B222" t="s">
        <v>7165</v>
      </c>
      <c r="C222" t="s">
        <v>608</v>
      </c>
      <c r="D222">
        <v>1148</v>
      </c>
      <c r="E222">
        <v>12</v>
      </c>
      <c r="F222" t="s">
        <v>4187</v>
      </c>
      <c r="G222" t="s">
        <v>611</v>
      </c>
      <c r="H222">
        <v>706</v>
      </c>
      <c r="I222" t="s">
        <v>612</v>
      </c>
      <c r="J222" t="s">
        <v>8668</v>
      </c>
      <c r="L222">
        <v>1</v>
      </c>
      <c r="M222" t="s">
        <v>6621</v>
      </c>
      <c r="N222" t="s">
        <v>6622</v>
      </c>
      <c r="O222" t="s">
        <v>3995</v>
      </c>
      <c r="P222" t="s">
        <v>6623</v>
      </c>
      <c r="Q222" t="s">
        <v>6624</v>
      </c>
      <c r="R222" s="16" t="s">
        <v>8437</v>
      </c>
      <c r="S222" s="16" t="s">
        <v>8141</v>
      </c>
      <c r="T222" t="s">
        <v>7165</v>
      </c>
      <c r="U222">
        <v>0</v>
      </c>
    </row>
    <row r="223" spans="1:21">
      <c r="A223">
        <v>219</v>
      </c>
      <c r="B223" t="s">
        <v>7167</v>
      </c>
      <c r="C223" t="s">
        <v>646</v>
      </c>
      <c r="D223">
        <v>1176</v>
      </c>
      <c r="E223">
        <v>12</v>
      </c>
      <c r="F223" t="s">
        <v>133</v>
      </c>
      <c r="G223" t="s">
        <v>647</v>
      </c>
      <c r="H223">
        <v>723</v>
      </c>
      <c r="I223" t="s">
        <v>648</v>
      </c>
      <c r="J223" t="s">
        <v>8668</v>
      </c>
      <c r="L223">
        <v>1</v>
      </c>
      <c r="M223" t="s">
        <v>6337</v>
      </c>
      <c r="N223" t="s">
        <v>6338</v>
      </c>
      <c r="O223" t="s">
        <v>12</v>
      </c>
      <c r="P223">
        <v>-27280</v>
      </c>
      <c r="Q223">
        <v>526310</v>
      </c>
      <c r="R223" s="16" t="s">
        <v>8438</v>
      </c>
      <c r="S223" s="16" t="s">
        <v>8142</v>
      </c>
      <c r="T223" t="s">
        <v>7796</v>
      </c>
      <c r="U223">
        <v>0</v>
      </c>
    </row>
    <row r="224" spans="1:21">
      <c r="A224">
        <v>220</v>
      </c>
      <c r="B224" t="s">
        <v>7168</v>
      </c>
      <c r="C224" t="s">
        <v>463</v>
      </c>
      <c r="D224">
        <v>1172</v>
      </c>
      <c r="E224">
        <v>12</v>
      </c>
      <c r="F224" t="s">
        <v>4181</v>
      </c>
      <c r="G224" t="s">
        <v>634</v>
      </c>
      <c r="H224">
        <v>724</v>
      </c>
      <c r="I224" t="s">
        <v>635</v>
      </c>
      <c r="J224" t="s">
        <v>8668</v>
      </c>
      <c r="L224">
        <v>1</v>
      </c>
      <c r="M224" t="s">
        <v>6304</v>
      </c>
      <c r="N224" t="s">
        <v>6291</v>
      </c>
      <c r="O224" t="s">
        <v>3995</v>
      </c>
      <c r="P224">
        <v>97940</v>
      </c>
      <c r="Q224">
        <v>499820</v>
      </c>
      <c r="R224" s="16" t="s">
        <v>8436</v>
      </c>
      <c r="S224" s="16" t="s">
        <v>8140</v>
      </c>
      <c r="T224" t="s">
        <v>7168</v>
      </c>
      <c r="U224">
        <v>0</v>
      </c>
    </row>
    <row r="225" spans="1:21">
      <c r="A225">
        <v>221</v>
      </c>
      <c r="B225" t="s">
        <v>7169</v>
      </c>
      <c r="C225" t="s">
        <v>586</v>
      </c>
      <c r="D225">
        <v>1134</v>
      </c>
      <c r="E225">
        <v>12</v>
      </c>
      <c r="F225" t="s">
        <v>4193</v>
      </c>
      <c r="G225" t="s">
        <v>587</v>
      </c>
      <c r="H225">
        <v>729</v>
      </c>
      <c r="I225" t="s">
        <v>588</v>
      </c>
      <c r="J225" t="s">
        <v>8668</v>
      </c>
      <c r="L225">
        <v>1</v>
      </c>
      <c r="M225" t="s">
        <v>6653</v>
      </c>
      <c r="N225" t="s">
        <v>6654</v>
      </c>
      <c r="O225" t="s">
        <v>4016</v>
      </c>
      <c r="P225" t="s">
        <v>6655</v>
      </c>
      <c r="Q225" t="s">
        <v>6656</v>
      </c>
      <c r="R225" s="16" t="s">
        <v>8439</v>
      </c>
      <c r="S225" s="16" t="s">
        <v>8143</v>
      </c>
      <c r="T225" t="s">
        <v>7169</v>
      </c>
      <c r="U225">
        <v>0</v>
      </c>
    </row>
    <row r="226" spans="1:21">
      <c r="A226">
        <v>222</v>
      </c>
      <c r="B226" t="s">
        <v>7170</v>
      </c>
      <c r="C226" t="s">
        <v>523</v>
      </c>
      <c r="D226">
        <v>1032</v>
      </c>
      <c r="E226">
        <v>11</v>
      </c>
      <c r="F226" t="s">
        <v>12</v>
      </c>
      <c r="G226" t="s">
        <v>524</v>
      </c>
      <c r="H226">
        <v>743</v>
      </c>
      <c r="I226" t="s">
        <v>525</v>
      </c>
      <c r="J226" t="s">
        <v>8668</v>
      </c>
      <c r="L226">
        <v>0</v>
      </c>
      <c r="R226" s="16" t="s">
        <v>8064</v>
      </c>
      <c r="S226" s="16" t="s">
        <v>8064</v>
      </c>
      <c r="T226" t="s">
        <v>7797</v>
      </c>
      <c r="U226">
        <v>0</v>
      </c>
    </row>
    <row r="227" spans="1:21">
      <c r="A227">
        <v>223</v>
      </c>
      <c r="B227" t="s">
        <v>7171</v>
      </c>
      <c r="C227" t="s">
        <v>778</v>
      </c>
      <c r="D227">
        <v>1286</v>
      </c>
      <c r="E227">
        <v>13</v>
      </c>
      <c r="F227" t="s">
        <v>4197</v>
      </c>
      <c r="G227" t="s">
        <v>779</v>
      </c>
      <c r="H227">
        <v>769</v>
      </c>
      <c r="I227" t="s">
        <v>780</v>
      </c>
      <c r="J227" t="s">
        <v>8668</v>
      </c>
      <c r="L227">
        <v>1</v>
      </c>
      <c r="M227" t="s">
        <v>6805</v>
      </c>
      <c r="N227" t="s">
        <v>6604</v>
      </c>
      <c r="O227" t="s">
        <v>3995</v>
      </c>
      <c r="P227" t="s">
        <v>6806</v>
      </c>
      <c r="Q227" t="s">
        <v>6807</v>
      </c>
      <c r="R227" s="16" t="s">
        <v>8440</v>
      </c>
      <c r="S227" s="16" t="s">
        <v>8144</v>
      </c>
      <c r="T227" t="s">
        <v>7171</v>
      </c>
      <c r="U227">
        <v>0</v>
      </c>
    </row>
    <row r="228" spans="1:21">
      <c r="A228">
        <v>224</v>
      </c>
      <c r="B228" t="s">
        <v>7172</v>
      </c>
      <c r="C228" t="s">
        <v>413</v>
      </c>
      <c r="D228">
        <v>1296</v>
      </c>
      <c r="E228">
        <v>13</v>
      </c>
      <c r="F228" t="s">
        <v>228</v>
      </c>
      <c r="G228" t="s">
        <v>797</v>
      </c>
      <c r="H228">
        <v>772</v>
      </c>
      <c r="I228" t="s">
        <v>798</v>
      </c>
      <c r="J228" t="s">
        <v>8668</v>
      </c>
      <c r="L228">
        <v>1</v>
      </c>
      <c r="M228" t="s">
        <v>6311</v>
      </c>
      <c r="N228" t="s">
        <v>6983</v>
      </c>
      <c r="O228" t="s">
        <v>6984</v>
      </c>
      <c r="P228" t="s">
        <v>6985</v>
      </c>
      <c r="Q228">
        <v>524545</v>
      </c>
      <c r="R228" s="16" t="s">
        <v>8441</v>
      </c>
      <c r="S228" s="16" t="s">
        <v>8145</v>
      </c>
      <c r="T228" t="s">
        <v>7172</v>
      </c>
      <c r="U228">
        <v>0</v>
      </c>
    </row>
    <row r="229" spans="1:21">
      <c r="A229">
        <v>225</v>
      </c>
      <c r="B229" t="s">
        <v>7173</v>
      </c>
      <c r="C229" t="s">
        <v>790</v>
      </c>
      <c r="D229">
        <v>1295</v>
      </c>
      <c r="E229">
        <v>13</v>
      </c>
      <c r="F229" t="s">
        <v>4200</v>
      </c>
      <c r="G229" t="s">
        <v>793</v>
      </c>
      <c r="H229">
        <v>777</v>
      </c>
      <c r="I229" t="s">
        <v>794</v>
      </c>
      <c r="J229" t="s">
        <v>8668</v>
      </c>
      <c r="L229">
        <v>1</v>
      </c>
      <c r="M229" t="s">
        <v>6687</v>
      </c>
      <c r="N229" t="s">
        <v>6324</v>
      </c>
      <c r="O229" t="s">
        <v>11</v>
      </c>
      <c r="P229" t="s">
        <v>6688</v>
      </c>
      <c r="Q229" t="s">
        <v>6689</v>
      </c>
      <c r="R229" s="16" t="s">
        <v>8442</v>
      </c>
      <c r="S229" s="16" t="s">
        <v>8146</v>
      </c>
      <c r="T229" t="s">
        <v>7173</v>
      </c>
      <c r="U229">
        <v>0</v>
      </c>
    </row>
    <row r="230" spans="1:21">
      <c r="A230">
        <v>227</v>
      </c>
      <c r="B230" t="s">
        <v>7175</v>
      </c>
      <c r="C230" t="s">
        <v>790</v>
      </c>
      <c r="D230">
        <v>1295</v>
      </c>
      <c r="E230">
        <v>13</v>
      </c>
      <c r="F230" t="s">
        <v>104</v>
      </c>
      <c r="G230" t="s">
        <v>795</v>
      </c>
      <c r="H230">
        <v>810</v>
      </c>
      <c r="I230" t="s">
        <v>796</v>
      </c>
      <c r="J230" t="s">
        <v>8668</v>
      </c>
      <c r="L230">
        <v>0</v>
      </c>
      <c r="R230" s="16" t="s">
        <v>8064</v>
      </c>
      <c r="S230" s="16" t="s">
        <v>8064</v>
      </c>
      <c r="T230" t="s">
        <v>7798</v>
      </c>
      <c r="U230">
        <v>0</v>
      </c>
    </row>
    <row r="231" spans="1:21">
      <c r="A231">
        <v>228</v>
      </c>
      <c r="B231" t="s">
        <v>7176</v>
      </c>
      <c r="C231" t="s">
        <v>461</v>
      </c>
      <c r="D231">
        <v>1178</v>
      </c>
      <c r="E231">
        <v>12</v>
      </c>
      <c r="F231" t="s">
        <v>4204</v>
      </c>
      <c r="G231" t="s">
        <v>624</v>
      </c>
      <c r="H231">
        <v>849</v>
      </c>
      <c r="I231" t="s">
        <v>625</v>
      </c>
      <c r="J231" t="s">
        <v>8668</v>
      </c>
      <c r="L231">
        <v>1</v>
      </c>
      <c r="M231" t="s">
        <v>6574</v>
      </c>
      <c r="N231" t="s">
        <v>6575</v>
      </c>
      <c r="O231" t="s">
        <v>3995</v>
      </c>
      <c r="P231" t="s">
        <v>6576</v>
      </c>
      <c r="Q231" t="s">
        <v>6577</v>
      </c>
      <c r="R231" s="16" t="s">
        <v>8443</v>
      </c>
      <c r="S231" s="16" t="s">
        <v>8147</v>
      </c>
      <c r="T231" t="s">
        <v>7176</v>
      </c>
      <c r="U231">
        <v>0</v>
      </c>
    </row>
    <row r="232" spans="1:21">
      <c r="A232">
        <v>229</v>
      </c>
      <c r="B232" t="s">
        <v>7177</v>
      </c>
      <c r="C232" t="s">
        <v>730</v>
      </c>
      <c r="D232">
        <v>1254</v>
      </c>
      <c r="E232">
        <v>13</v>
      </c>
      <c r="F232" t="s">
        <v>3989</v>
      </c>
      <c r="G232" t="s">
        <v>731</v>
      </c>
      <c r="H232">
        <v>855</v>
      </c>
      <c r="I232" t="s">
        <v>490</v>
      </c>
      <c r="J232" t="s">
        <v>8668</v>
      </c>
      <c r="L232">
        <v>1</v>
      </c>
      <c r="M232" t="s">
        <v>6478</v>
      </c>
      <c r="N232" t="s">
        <v>6451</v>
      </c>
      <c r="O232" t="s">
        <v>12</v>
      </c>
      <c r="P232">
        <v>-17930</v>
      </c>
      <c r="Q232">
        <v>510680</v>
      </c>
      <c r="R232" s="16" t="s">
        <v>8444</v>
      </c>
      <c r="S232" s="16" t="s">
        <v>8148</v>
      </c>
      <c r="T232" t="s">
        <v>7177</v>
      </c>
      <c r="U232">
        <v>0</v>
      </c>
    </row>
    <row r="233" spans="1:21">
      <c r="A233">
        <v>230</v>
      </c>
      <c r="B233" t="s">
        <v>7178</v>
      </c>
      <c r="C233" t="s">
        <v>466</v>
      </c>
      <c r="D233">
        <v>1196</v>
      </c>
      <c r="E233">
        <v>12</v>
      </c>
      <c r="F233" t="s">
        <v>4207</v>
      </c>
      <c r="G233" t="s">
        <v>645</v>
      </c>
      <c r="H233">
        <v>860</v>
      </c>
      <c r="I233" t="s">
        <v>4211</v>
      </c>
      <c r="J233" t="s">
        <v>8668</v>
      </c>
      <c r="L233">
        <v>1</v>
      </c>
      <c r="M233" t="s">
        <v>6947</v>
      </c>
      <c r="N233" t="s">
        <v>6948</v>
      </c>
      <c r="O233" t="s">
        <v>12</v>
      </c>
      <c r="P233" t="s">
        <v>6446</v>
      </c>
      <c r="Q233" t="s">
        <v>6949</v>
      </c>
      <c r="R233" s="16" t="s">
        <v>6446</v>
      </c>
      <c r="S233" s="16" t="s">
        <v>8060</v>
      </c>
      <c r="T233" t="s">
        <v>7178</v>
      </c>
      <c r="U233">
        <v>0</v>
      </c>
    </row>
    <row r="234" spans="1:21">
      <c r="A234">
        <v>231</v>
      </c>
      <c r="B234" t="s">
        <v>7179</v>
      </c>
      <c r="C234" t="s">
        <v>395</v>
      </c>
      <c r="D234">
        <v>1253</v>
      </c>
      <c r="E234">
        <v>13</v>
      </c>
      <c r="F234" t="s">
        <v>27</v>
      </c>
      <c r="G234" t="s">
        <v>716</v>
      </c>
      <c r="H234">
        <v>861</v>
      </c>
      <c r="I234" t="s">
        <v>717</v>
      </c>
      <c r="J234" t="s">
        <v>8668</v>
      </c>
      <c r="L234">
        <v>1</v>
      </c>
      <c r="M234" t="s">
        <v>6486</v>
      </c>
      <c r="N234" t="s">
        <v>6487</v>
      </c>
      <c r="O234" t="s">
        <v>12</v>
      </c>
      <c r="P234" t="s">
        <v>6488</v>
      </c>
      <c r="Q234">
        <v>517520</v>
      </c>
      <c r="R234" s="16" t="s">
        <v>8357</v>
      </c>
      <c r="S234" s="16" t="s">
        <v>8060</v>
      </c>
      <c r="T234" t="s">
        <v>7179</v>
      </c>
      <c r="U234">
        <v>0</v>
      </c>
    </row>
    <row r="235" spans="1:21">
      <c r="A235">
        <v>232</v>
      </c>
      <c r="B235" t="s">
        <v>7180</v>
      </c>
      <c r="C235" t="s">
        <v>404</v>
      </c>
      <c r="D235">
        <v>1269</v>
      </c>
      <c r="E235">
        <v>13</v>
      </c>
      <c r="F235" t="s">
        <v>27</v>
      </c>
      <c r="G235" t="s">
        <v>754</v>
      </c>
      <c r="H235">
        <v>863</v>
      </c>
      <c r="I235" t="s">
        <v>755</v>
      </c>
      <c r="J235" t="s">
        <v>8668</v>
      </c>
      <c r="L235">
        <v>1</v>
      </c>
      <c r="M235" t="s">
        <v>6486</v>
      </c>
      <c r="N235" t="s">
        <v>6487</v>
      </c>
      <c r="O235" t="s">
        <v>12</v>
      </c>
      <c r="P235" t="s">
        <v>6488</v>
      </c>
      <c r="Q235">
        <v>517520</v>
      </c>
      <c r="R235" s="16" t="s">
        <v>8357</v>
      </c>
      <c r="S235" s="16" t="s">
        <v>8060</v>
      </c>
      <c r="T235" t="s">
        <v>7180</v>
      </c>
      <c r="U235">
        <v>0</v>
      </c>
    </row>
    <row r="236" spans="1:21">
      <c r="A236">
        <v>233</v>
      </c>
      <c r="B236" t="s">
        <v>7181</v>
      </c>
      <c r="C236" t="s">
        <v>456</v>
      </c>
      <c r="D236">
        <v>1161</v>
      </c>
      <c r="E236">
        <v>12</v>
      </c>
      <c r="F236" t="s">
        <v>198</v>
      </c>
      <c r="G236" t="s">
        <v>604</v>
      </c>
      <c r="H236">
        <v>864</v>
      </c>
      <c r="I236" t="s">
        <v>605</v>
      </c>
      <c r="J236" t="s">
        <v>8668</v>
      </c>
      <c r="L236">
        <v>1</v>
      </c>
      <c r="M236" t="s">
        <v>6366</v>
      </c>
      <c r="N236" t="s">
        <v>6367</v>
      </c>
      <c r="O236" t="s">
        <v>12</v>
      </c>
      <c r="P236">
        <v>-19680</v>
      </c>
      <c r="Q236">
        <v>517120</v>
      </c>
      <c r="R236" s="16" t="s">
        <v>8445</v>
      </c>
      <c r="S236" s="16" t="s">
        <v>8149</v>
      </c>
      <c r="T236" t="s">
        <v>7181</v>
      </c>
      <c r="U236">
        <v>0</v>
      </c>
    </row>
    <row r="237" spans="1:21">
      <c r="A237">
        <v>234</v>
      </c>
      <c r="B237" t="s">
        <v>7182</v>
      </c>
      <c r="C237" t="s">
        <v>409</v>
      </c>
      <c r="D237">
        <v>1291</v>
      </c>
      <c r="E237">
        <v>13</v>
      </c>
      <c r="F237" t="s">
        <v>248</v>
      </c>
      <c r="G237" t="s">
        <v>771</v>
      </c>
      <c r="H237">
        <v>866</v>
      </c>
      <c r="I237" t="s">
        <v>772</v>
      </c>
      <c r="J237" t="s">
        <v>8668</v>
      </c>
      <c r="L237">
        <v>1</v>
      </c>
      <c r="M237" t="s">
        <v>1</v>
      </c>
      <c r="N237" t="s">
        <v>6445</v>
      </c>
      <c r="O237" t="s">
        <v>12</v>
      </c>
      <c r="P237" t="s">
        <v>6446</v>
      </c>
      <c r="Q237">
        <v>515074</v>
      </c>
      <c r="R237" s="16" t="s">
        <v>6446</v>
      </c>
      <c r="S237" s="16" t="s">
        <v>8068</v>
      </c>
      <c r="T237" t="s">
        <v>7182</v>
      </c>
      <c r="U237">
        <v>0</v>
      </c>
    </row>
    <row r="238" spans="1:21">
      <c r="A238">
        <v>235</v>
      </c>
      <c r="B238" t="s">
        <v>7183</v>
      </c>
      <c r="C238" t="s">
        <v>429</v>
      </c>
      <c r="D238">
        <v>1031</v>
      </c>
      <c r="E238">
        <v>11</v>
      </c>
      <c r="F238" t="s">
        <v>4214</v>
      </c>
      <c r="G238" t="s">
        <v>517</v>
      </c>
      <c r="H238">
        <v>869</v>
      </c>
      <c r="I238" t="s">
        <v>518</v>
      </c>
      <c r="J238" t="s">
        <v>8668</v>
      </c>
      <c r="L238">
        <v>1</v>
      </c>
      <c r="M238" t="s">
        <v>6855</v>
      </c>
      <c r="N238" t="s">
        <v>6856</v>
      </c>
      <c r="O238" t="s">
        <v>104</v>
      </c>
      <c r="P238" t="s">
        <v>6857</v>
      </c>
      <c r="Q238" t="s">
        <v>6858</v>
      </c>
      <c r="R238" s="16" t="s">
        <v>8446</v>
      </c>
      <c r="S238" s="16" t="s">
        <v>8150</v>
      </c>
      <c r="T238" t="s">
        <v>7799</v>
      </c>
      <c r="U238">
        <v>0</v>
      </c>
    </row>
    <row r="239" spans="1:21">
      <c r="A239">
        <v>237</v>
      </c>
      <c r="B239" t="s">
        <v>7185</v>
      </c>
      <c r="C239" t="s">
        <v>446</v>
      </c>
      <c r="D239">
        <v>1119</v>
      </c>
      <c r="E239">
        <v>12</v>
      </c>
      <c r="F239" t="s">
        <v>41</v>
      </c>
      <c r="G239" t="s">
        <v>565</v>
      </c>
      <c r="H239">
        <v>872</v>
      </c>
      <c r="I239" t="s">
        <v>566</v>
      </c>
      <c r="J239" t="s">
        <v>8668</v>
      </c>
      <c r="L239">
        <v>1</v>
      </c>
      <c r="M239" t="s">
        <v>6746</v>
      </c>
      <c r="N239" t="s">
        <v>6349</v>
      </c>
      <c r="O239" t="s">
        <v>12</v>
      </c>
      <c r="P239" t="s">
        <v>6747</v>
      </c>
      <c r="Q239" t="s">
        <v>6748</v>
      </c>
      <c r="R239" s="16" t="s">
        <v>8447</v>
      </c>
      <c r="S239" s="16" t="s">
        <v>8151</v>
      </c>
      <c r="T239" t="s">
        <v>7185</v>
      </c>
      <c r="U239">
        <v>0</v>
      </c>
    </row>
    <row r="240" spans="1:21">
      <c r="A240">
        <v>238</v>
      </c>
      <c r="B240" t="s">
        <v>7186</v>
      </c>
      <c r="C240" t="s">
        <v>435</v>
      </c>
      <c r="D240">
        <v>1049</v>
      </c>
      <c r="E240">
        <v>11</v>
      </c>
      <c r="F240" t="s">
        <v>4218</v>
      </c>
      <c r="G240" t="s">
        <v>540</v>
      </c>
      <c r="H240">
        <v>873</v>
      </c>
      <c r="I240" t="s">
        <v>541</v>
      </c>
      <c r="J240" t="s">
        <v>8668</v>
      </c>
      <c r="L240">
        <v>1</v>
      </c>
      <c r="M240" t="s">
        <v>6593</v>
      </c>
      <c r="N240" t="s">
        <v>6594</v>
      </c>
      <c r="O240" t="s">
        <v>4016</v>
      </c>
      <c r="P240" t="s">
        <v>6595</v>
      </c>
      <c r="Q240" t="s">
        <v>6596</v>
      </c>
      <c r="R240" s="16" t="s">
        <v>8448</v>
      </c>
      <c r="S240" s="16" t="s">
        <v>8152</v>
      </c>
      <c r="T240" t="s">
        <v>7186</v>
      </c>
      <c r="U240">
        <v>0</v>
      </c>
    </row>
    <row r="241" spans="1:21">
      <c r="A241">
        <v>241</v>
      </c>
      <c r="B241" t="s">
        <v>7189</v>
      </c>
      <c r="C241" t="s">
        <v>469</v>
      </c>
      <c r="D241">
        <v>1191</v>
      </c>
      <c r="E241">
        <v>12</v>
      </c>
      <c r="F241" t="s">
        <v>12</v>
      </c>
      <c r="G241" t="s">
        <v>653</v>
      </c>
      <c r="H241">
        <v>878</v>
      </c>
      <c r="I241" t="s">
        <v>654</v>
      </c>
      <c r="J241" t="s">
        <v>8668</v>
      </c>
      <c r="L241">
        <v>0</v>
      </c>
      <c r="R241" s="16" t="s">
        <v>8064</v>
      </c>
      <c r="S241" s="16" t="s">
        <v>8064</v>
      </c>
      <c r="T241" t="s">
        <v>7189</v>
      </c>
      <c r="U241">
        <v>0</v>
      </c>
    </row>
    <row r="242" spans="1:21">
      <c r="A242">
        <v>243</v>
      </c>
      <c r="B242" t="s">
        <v>7191</v>
      </c>
      <c r="C242" t="s">
        <v>700</v>
      </c>
      <c r="D242">
        <v>1231</v>
      </c>
      <c r="E242">
        <v>13</v>
      </c>
      <c r="F242" t="s">
        <v>4106</v>
      </c>
      <c r="G242" t="s">
        <v>701</v>
      </c>
      <c r="H242">
        <v>882</v>
      </c>
      <c r="I242" t="s">
        <v>702</v>
      </c>
      <c r="J242" t="s">
        <v>8668</v>
      </c>
      <c r="L242">
        <v>1</v>
      </c>
      <c r="M242" t="s">
        <v>6497</v>
      </c>
      <c r="N242" t="s">
        <v>6385</v>
      </c>
      <c r="O242" t="s">
        <v>12</v>
      </c>
      <c r="P242">
        <v>-22210</v>
      </c>
      <c r="Q242">
        <v>521920</v>
      </c>
      <c r="R242" s="16" t="s">
        <v>8358</v>
      </c>
      <c r="S242" s="16" t="s">
        <v>8061</v>
      </c>
      <c r="T242" t="s">
        <v>7191</v>
      </c>
      <c r="U242">
        <v>0</v>
      </c>
    </row>
    <row r="243" spans="1:21">
      <c r="A243">
        <v>244</v>
      </c>
      <c r="B243" t="s">
        <v>7192</v>
      </c>
      <c r="C243" t="s">
        <v>460</v>
      </c>
      <c r="D243">
        <v>1175</v>
      </c>
      <c r="E243">
        <v>12</v>
      </c>
      <c r="F243" t="s">
        <v>27</v>
      </c>
      <c r="G243" t="s">
        <v>622</v>
      </c>
      <c r="H243">
        <v>891</v>
      </c>
      <c r="I243" t="s">
        <v>623</v>
      </c>
      <c r="J243" t="s">
        <v>8668</v>
      </c>
      <c r="L243">
        <v>1</v>
      </c>
      <c r="M243" t="s">
        <v>6486</v>
      </c>
      <c r="N243" t="s">
        <v>6487</v>
      </c>
      <c r="O243" t="s">
        <v>12</v>
      </c>
      <c r="P243" t="s">
        <v>6488</v>
      </c>
      <c r="Q243">
        <v>517520</v>
      </c>
      <c r="R243" s="16" t="s">
        <v>8357</v>
      </c>
      <c r="S243" s="16" t="s">
        <v>8060</v>
      </c>
      <c r="T243" t="s">
        <v>7192</v>
      </c>
      <c r="U243">
        <v>0</v>
      </c>
    </row>
    <row r="244" spans="1:21">
      <c r="A244">
        <v>245</v>
      </c>
      <c r="B244" t="s">
        <v>7193</v>
      </c>
      <c r="C244" t="s">
        <v>483</v>
      </c>
      <c r="D244">
        <v>1255</v>
      </c>
      <c r="E244">
        <v>13</v>
      </c>
      <c r="F244" t="s">
        <v>27</v>
      </c>
      <c r="G244" t="s">
        <v>720</v>
      </c>
      <c r="H244">
        <v>893</v>
      </c>
      <c r="I244" t="s">
        <v>721</v>
      </c>
      <c r="J244" t="s">
        <v>8668</v>
      </c>
      <c r="L244">
        <v>1</v>
      </c>
      <c r="M244" t="s">
        <v>6486</v>
      </c>
      <c r="N244" t="s">
        <v>6487</v>
      </c>
      <c r="O244" t="s">
        <v>12</v>
      </c>
      <c r="P244" t="s">
        <v>6488</v>
      </c>
      <c r="Q244">
        <v>517520</v>
      </c>
      <c r="R244" s="16" t="s">
        <v>8357</v>
      </c>
      <c r="S244" s="16" t="s">
        <v>8060</v>
      </c>
      <c r="T244" t="s">
        <v>7193</v>
      </c>
      <c r="U244">
        <v>0</v>
      </c>
    </row>
    <row r="245" spans="1:21">
      <c r="A245">
        <v>246</v>
      </c>
      <c r="B245" t="s">
        <v>7194</v>
      </c>
      <c r="C245" t="s">
        <v>778</v>
      </c>
      <c r="D245">
        <v>1286</v>
      </c>
      <c r="E245">
        <v>13</v>
      </c>
      <c r="F245" t="s">
        <v>4228</v>
      </c>
      <c r="G245" t="s">
        <v>781</v>
      </c>
      <c r="H245">
        <v>947</v>
      </c>
      <c r="I245" t="s">
        <v>782</v>
      </c>
      <c r="J245" t="s">
        <v>8668</v>
      </c>
      <c r="L245">
        <v>1</v>
      </c>
      <c r="M245" t="s">
        <v>6867</v>
      </c>
      <c r="N245" t="s">
        <v>6346</v>
      </c>
      <c r="O245" t="s">
        <v>12</v>
      </c>
      <c r="P245" t="s">
        <v>6868</v>
      </c>
      <c r="Q245" t="s">
        <v>6869</v>
      </c>
      <c r="R245" s="16" t="s">
        <v>8450</v>
      </c>
      <c r="S245" s="16" t="s">
        <v>8154</v>
      </c>
      <c r="T245" t="s">
        <v>7194</v>
      </c>
      <c r="U245">
        <v>0</v>
      </c>
    </row>
    <row r="246" spans="1:21">
      <c r="A246">
        <v>247</v>
      </c>
      <c r="B246" t="s">
        <v>7195</v>
      </c>
      <c r="C246" t="s">
        <v>431</v>
      </c>
      <c r="D246">
        <v>1031</v>
      </c>
      <c r="E246">
        <v>11</v>
      </c>
      <c r="F246" t="s">
        <v>40</v>
      </c>
      <c r="G246" t="s">
        <v>521</v>
      </c>
      <c r="H246">
        <v>948</v>
      </c>
      <c r="I246" t="s">
        <v>522</v>
      </c>
      <c r="J246" t="s">
        <v>8668</v>
      </c>
      <c r="L246">
        <v>1</v>
      </c>
      <c r="M246" t="s">
        <v>6419</v>
      </c>
      <c r="N246" t="s">
        <v>6420</v>
      </c>
      <c r="O246" t="s">
        <v>12</v>
      </c>
      <c r="P246">
        <v>-13160</v>
      </c>
      <c r="Q246">
        <v>510600</v>
      </c>
      <c r="R246" s="16" t="s">
        <v>8408</v>
      </c>
      <c r="S246" s="16" t="s">
        <v>8059</v>
      </c>
      <c r="T246" t="s">
        <v>7801</v>
      </c>
      <c r="U246">
        <v>0</v>
      </c>
    </row>
    <row r="247" spans="1:21">
      <c r="A247">
        <v>300</v>
      </c>
      <c r="B247" t="s">
        <v>7234</v>
      </c>
      <c r="C247" t="s">
        <v>870</v>
      </c>
      <c r="D247">
        <v>1119</v>
      </c>
      <c r="E247">
        <v>12</v>
      </c>
      <c r="F247" t="s">
        <v>12</v>
      </c>
      <c r="G247" t="s">
        <v>871</v>
      </c>
      <c r="H247">
        <v>48</v>
      </c>
      <c r="I247" t="s">
        <v>872</v>
      </c>
      <c r="J247" t="s">
        <v>8668</v>
      </c>
      <c r="L247">
        <v>0</v>
      </c>
      <c r="R247" s="16" t="s">
        <v>8064</v>
      </c>
      <c r="S247" s="16" t="s">
        <v>8064</v>
      </c>
      <c r="T247" t="s">
        <v>7234</v>
      </c>
      <c r="U247">
        <v>0</v>
      </c>
    </row>
    <row r="248" spans="1:21">
      <c r="A248">
        <v>301</v>
      </c>
      <c r="B248" t="s">
        <v>7235</v>
      </c>
      <c r="C248" t="s">
        <v>460</v>
      </c>
      <c r="D248">
        <v>1175</v>
      </c>
      <c r="E248">
        <v>12</v>
      </c>
      <c r="F248" t="s">
        <v>27</v>
      </c>
      <c r="G248" t="s">
        <v>944</v>
      </c>
      <c r="H248">
        <v>54</v>
      </c>
      <c r="I248" t="s">
        <v>945</v>
      </c>
      <c r="J248" t="s">
        <v>8668</v>
      </c>
      <c r="L248">
        <v>1</v>
      </c>
      <c r="M248" t="s">
        <v>6486</v>
      </c>
      <c r="N248" t="s">
        <v>6487</v>
      </c>
      <c r="O248" t="s">
        <v>12</v>
      </c>
      <c r="P248" t="s">
        <v>6488</v>
      </c>
      <c r="Q248">
        <v>517520</v>
      </c>
      <c r="R248" s="16" t="s">
        <v>8357</v>
      </c>
      <c r="S248" s="16" t="s">
        <v>8060</v>
      </c>
      <c r="T248" t="s">
        <v>7235</v>
      </c>
      <c r="U248">
        <v>0</v>
      </c>
    </row>
    <row r="249" spans="1:21">
      <c r="A249">
        <v>328</v>
      </c>
      <c r="B249" t="s">
        <v>5566</v>
      </c>
      <c r="C249" t="s">
        <v>827</v>
      </c>
      <c r="D249">
        <v>1061</v>
      </c>
      <c r="E249">
        <v>11</v>
      </c>
      <c r="F249" t="s">
        <v>258</v>
      </c>
      <c r="G249" t="s">
        <v>832</v>
      </c>
      <c r="H249">
        <v>55</v>
      </c>
      <c r="I249" t="s">
        <v>833</v>
      </c>
      <c r="J249" t="s">
        <v>8668</v>
      </c>
      <c r="L249">
        <v>1</v>
      </c>
      <c r="M249" t="s">
        <v>6396</v>
      </c>
      <c r="N249" t="s">
        <v>6397</v>
      </c>
      <c r="O249" t="s">
        <v>12</v>
      </c>
      <c r="P249">
        <v>-35330</v>
      </c>
      <c r="Q249">
        <v>507180</v>
      </c>
      <c r="R249" s="16" t="s">
        <v>8359</v>
      </c>
      <c r="S249" s="16" t="s">
        <v>8062</v>
      </c>
      <c r="T249" t="s">
        <v>5566</v>
      </c>
      <c r="U249">
        <v>0</v>
      </c>
    </row>
    <row r="250" spans="1:21">
      <c r="A250">
        <v>329</v>
      </c>
      <c r="B250" t="s">
        <v>5568</v>
      </c>
      <c r="C250" t="s">
        <v>1020</v>
      </c>
      <c r="D250">
        <v>1276</v>
      </c>
      <c r="E250">
        <v>13</v>
      </c>
      <c r="F250" t="s">
        <v>1444</v>
      </c>
      <c r="G250" t="s">
        <v>1021</v>
      </c>
      <c r="H250">
        <v>56</v>
      </c>
      <c r="I250" t="s">
        <v>1022</v>
      </c>
      <c r="J250" t="s">
        <v>8668</v>
      </c>
      <c r="L250">
        <v>0</v>
      </c>
      <c r="R250" s="16" t="s">
        <v>8064</v>
      </c>
      <c r="S250" s="16" t="s">
        <v>8064</v>
      </c>
      <c r="T250" t="s">
        <v>7911</v>
      </c>
      <c r="U250">
        <v>0</v>
      </c>
    </row>
    <row r="251" spans="1:21">
      <c r="A251">
        <v>330</v>
      </c>
      <c r="B251" t="s">
        <v>5569</v>
      </c>
      <c r="C251" t="s">
        <v>853</v>
      </c>
      <c r="D251">
        <v>1090</v>
      </c>
      <c r="E251">
        <v>11</v>
      </c>
      <c r="F251" t="s">
        <v>13</v>
      </c>
      <c r="G251" t="s">
        <v>854</v>
      </c>
      <c r="H251">
        <v>58</v>
      </c>
      <c r="I251" t="s">
        <v>855</v>
      </c>
      <c r="J251" t="s">
        <v>8668</v>
      </c>
      <c r="L251">
        <v>1</v>
      </c>
      <c r="M251" t="s">
        <v>6348</v>
      </c>
      <c r="N251" t="s">
        <v>6349</v>
      </c>
      <c r="O251" t="s">
        <v>12</v>
      </c>
      <c r="P251">
        <v>10810</v>
      </c>
      <c r="Q251">
        <v>512810</v>
      </c>
      <c r="R251" s="16" t="s">
        <v>8360</v>
      </c>
      <c r="S251" s="16" t="s">
        <v>8063</v>
      </c>
      <c r="T251" t="s">
        <v>7912</v>
      </c>
      <c r="U251">
        <v>0</v>
      </c>
    </row>
    <row r="252" spans="1:21">
      <c r="A252">
        <v>331</v>
      </c>
      <c r="B252" t="s">
        <v>5570</v>
      </c>
      <c r="C252" t="s">
        <v>882</v>
      </c>
      <c r="D252">
        <v>1125</v>
      </c>
      <c r="E252">
        <v>12</v>
      </c>
      <c r="F252" t="s">
        <v>13</v>
      </c>
      <c r="G252" t="s">
        <v>862</v>
      </c>
      <c r="H252">
        <v>63</v>
      </c>
      <c r="I252" t="s">
        <v>863</v>
      </c>
      <c r="J252" t="s">
        <v>8668</v>
      </c>
      <c r="L252">
        <v>1</v>
      </c>
      <c r="M252" t="s">
        <v>6348</v>
      </c>
      <c r="N252" t="s">
        <v>6349</v>
      </c>
      <c r="O252" t="s">
        <v>12</v>
      </c>
      <c r="P252">
        <v>10810</v>
      </c>
      <c r="Q252">
        <v>512810</v>
      </c>
      <c r="R252" s="16" t="s">
        <v>8360</v>
      </c>
      <c r="S252" s="16" t="s">
        <v>8063</v>
      </c>
      <c r="T252" t="s">
        <v>5570</v>
      </c>
      <c r="U252">
        <v>0</v>
      </c>
    </row>
    <row r="253" spans="1:21">
      <c r="A253">
        <v>332</v>
      </c>
      <c r="B253" t="s">
        <v>5571</v>
      </c>
      <c r="C253" t="s">
        <v>895</v>
      </c>
      <c r="D253">
        <v>1137</v>
      </c>
      <c r="E253">
        <v>12</v>
      </c>
      <c r="F253" t="s">
        <v>34</v>
      </c>
      <c r="G253" t="s">
        <v>896</v>
      </c>
      <c r="H253">
        <v>65</v>
      </c>
      <c r="I253" t="s">
        <v>897</v>
      </c>
      <c r="J253" t="s">
        <v>8668</v>
      </c>
      <c r="L253">
        <v>1</v>
      </c>
      <c r="M253" t="s">
        <v>6497</v>
      </c>
      <c r="N253" t="s">
        <v>6385</v>
      </c>
      <c r="O253" t="s">
        <v>12</v>
      </c>
      <c r="P253" t="s">
        <v>6968</v>
      </c>
      <c r="Q253" t="s">
        <v>6969</v>
      </c>
      <c r="R253" s="16" t="s">
        <v>8358</v>
      </c>
      <c r="S253" s="16" t="s">
        <v>8061</v>
      </c>
      <c r="T253" t="s">
        <v>5571</v>
      </c>
      <c r="U253">
        <v>0</v>
      </c>
    </row>
    <row r="254" spans="1:21">
      <c r="A254">
        <v>333</v>
      </c>
      <c r="B254" t="s">
        <v>5572</v>
      </c>
      <c r="C254" t="s">
        <v>821</v>
      </c>
      <c r="D254">
        <v>1021</v>
      </c>
      <c r="E254">
        <v>11</v>
      </c>
      <c r="F254" t="s">
        <v>50</v>
      </c>
      <c r="G254" t="s">
        <v>822</v>
      </c>
      <c r="H254">
        <v>69</v>
      </c>
      <c r="I254" t="s">
        <v>823</v>
      </c>
      <c r="J254" t="s">
        <v>8668</v>
      </c>
      <c r="L254">
        <v>1</v>
      </c>
      <c r="M254" t="s">
        <v>6412</v>
      </c>
      <c r="N254" t="s">
        <v>6413</v>
      </c>
      <c r="O254" t="s">
        <v>12</v>
      </c>
      <c r="P254">
        <v>-27380</v>
      </c>
      <c r="Q254">
        <v>511450</v>
      </c>
      <c r="R254" s="16" t="s">
        <v>8502</v>
      </c>
      <c r="S254" s="16" t="s">
        <v>8208</v>
      </c>
      <c r="T254" t="s">
        <v>5572</v>
      </c>
      <c r="U254">
        <v>0</v>
      </c>
    </row>
    <row r="255" spans="1:21">
      <c r="A255">
        <v>334</v>
      </c>
      <c r="B255" t="s">
        <v>5573</v>
      </c>
      <c r="C255" t="s">
        <v>996</v>
      </c>
      <c r="D255">
        <v>1257</v>
      </c>
      <c r="E255">
        <v>13</v>
      </c>
      <c r="F255" t="s">
        <v>12</v>
      </c>
      <c r="G255" t="s">
        <v>997</v>
      </c>
      <c r="H255">
        <v>74</v>
      </c>
      <c r="I255" t="s">
        <v>998</v>
      </c>
      <c r="J255" t="s">
        <v>8668</v>
      </c>
      <c r="L255">
        <v>0</v>
      </c>
      <c r="R255" s="16" t="s">
        <v>8064</v>
      </c>
      <c r="S255" s="16" t="s">
        <v>8064</v>
      </c>
      <c r="T255" t="s">
        <v>7913</v>
      </c>
      <c r="U255">
        <v>0</v>
      </c>
    </row>
    <row r="256" spans="1:21">
      <c r="A256">
        <v>335</v>
      </c>
      <c r="B256" t="s">
        <v>5574</v>
      </c>
      <c r="C256" t="s">
        <v>1014</v>
      </c>
      <c r="D256">
        <v>1270</v>
      </c>
      <c r="E256">
        <v>13</v>
      </c>
      <c r="F256" t="s">
        <v>12</v>
      </c>
      <c r="G256" t="s">
        <v>1015</v>
      </c>
      <c r="H256">
        <v>75</v>
      </c>
      <c r="I256" t="s">
        <v>1016</v>
      </c>
      <c r="J256" t="s">
        <v>8668</v>
      </c>
      <c r="L256">
        <v>0</v>
      </c>
      <c r="R256" s="16" t="s">
        <v>8064</v>
      </c>
      <c r="S256" s="16" t="s">
        <v>8064</v>
      </c>
      <c r="T256" t="s">
        <v>7913</v>
      </c>
      <c r="U256">
        <v>0</v>
      </c>
    </row>
    <row r="257" spans="1:21">
      <c r="A257">
        <v>336</v>
      </c>
      <c r="B257" t="s">
        <v>5575</v>
      </c>
      <c r="C257" t="s">
        <v>1044</v>
      </c>
      <c r="D257">
        <v>1298</v>
      </c>
      <c r="E257">
        <v>13</v>
      </c>
      <c r="F257" t="s">
        <v>22</v>
      </c>
      <c r="G257" t="s">
        <v>1045</v>
      </c>
      <c r="H257">
        <v>77</v>
      </c>
      <c r="I257" t="s">
        <v>1046</v>
      </c>
      <c r="J257" t="s">
        <v>8668</v>
      </c>
      <c r="L257">
        <v>1</v>
      </c>
      <c r="M257" t="s">
        <v>4502</v>
      </c>
      <c r="N257" t="s">
        <v>6456</v>
      </c>
      <c r="O257" t="s">
        <v>104</v>
      </c>
      <c r="P257">
        <v>23522</v>
      </c>
      <c r="Q257">
        <v>488566</v>
      </c>
      <c r="R257" s="16" t="s">
        <v>8364</v>
      </c>
      <c r="S257" s="16" t="s">
        <v>8069</v>
      </c>
      <c r="T257" t="s">
        <v>7914</v>
      </c>
      <c r="U257">
        <v>0</v>
      </c>
    </row>
    <row r="258" spans="1:21">
      <c r="A258">
        <v>337</v>
      </c>
      <c r="B258" t="s">
        <v>7261</v>
      </c>
      <c r="C258" t="s">
        <v>1017</v>
      </c>
      <c r="D258">
        <v>1282</v>
      </c>
      <c r="E258">
        <v>13</v>
      </c>
      <c r="F258" t="s">
        <v>4251</v>
      </c>
      <c r="G258" t="s">
        <v>1018</v>
      </c>
      <c r="H258">
        <v>95</v>
      </c>
      <c r="I258" t="s">
        <v>1019</v>
      </c>
      <c r="J258" t="s">
        <v>8668</v>
      </c>
      <c r="L258">
        <v>1</v>
      </c>
      <c r="M258" t="s">
        <v>6454</v>
      </c>
      <c r="N258" t="s">
        <v>6455</v>
      </c>
      <c r="O258" t="s">
        <v>3995</v>
      </c>
      <c r="P258">
        <v>98330</v>
      </c>
      <c r="Q258">
        <v>526710</v>
      </c>
      <c r="R258" s="16" t="s">
        <v>8460</v>
      </c>
      <c r="S258" s="16" t="s">
        <v>8164</v>
      </c>
      <c r="T258" t="s">
        <v>7261</v>
      </c>
      <c r="U258">
        <v>0</v>
      </c>
    </row>
    <row r="259" spans="1:21">
      <c r="A259">
        <v>249</v>
      </c>
      <c r="B259" t="s">
        <v>7197</v>
      </c>
      <c r="C259" t="s">
        <v>912</v>
      </c>
      <c r="D259">
        <v>1129</v>
      </c>
      <c r="E259">
        <v>12</v>
      </c>
      <c r="F259" t="s">
        <v>45</v>
      </c>
      <c r="G259" t="s">
        <v>913</v>
      </c>
      <c r="H259">
        <v>119</v>
      </c>
      <c r="I259" t="s">
        <v>914</v>
      </c>
      <c r="J259" t="s">
        <v>8951</v>
      </c>
      <c r="L259">
        <v>1</v>
      </c>
      <c r="M259" t="s">
        <v>6339</v>
      </c>
      <c r="N259" t="s">
        <v>6340</v>
      </c>
      <c r="O259" t="s">
        <v>12</v>
      </c>
      <c r="P259" t="s">
        <v>6341</v>
      </c>
      <c r="Q259">
        <v>522480</v>
      </c>
      <c r="R259" s="16" t="s">
        <v>8414</v>
      </c>
      <c r="S259" s="16" t="s">
        <v>8118</v>
      </c>
      <c r="T259" t="s">
        <v>7197</v>
      </c>
      <c r="U259">
        <v>1</v>
      </c>
    </row>
    <row r="260" spans="1:21">
      <c r="A260">
        <v>250</v>
      </c>
      <c r="B260" t="s">
        <v>7198</v>
      </c>
      <c r="C260" t="s">
        <v>984</v>
      </c>
      <c r="D260">
        <v>1249</v>
      </c>
      <c r="E260">
        <v>13</v>
      </c>
      <c r="F260" t="s">
        <v>27</v>
      </c>
      <c r="G260" t="s">
        <v>985</v>
      </c>
      <c r="H260">
        <v>125</v>
      </c>
      <c r="I260" t="s">
        <v>986</v>
      </c>
      <c r="J260" t="s">
        <v>8952</v>
      </c>
      <c r="L260">
        <v>1</v>
      </c>
      <c r="M260" t="s">
        <v>6486</v>
      </c>
      <c r="N260" t="s">
        <v>6487</v>
      </c>
      <c r="O260" t="s">
        <v>12</v>
      </c>
      <c r="P260" t="s">
        <v>6488</v>
      </c>
      <c r="Q260">
        <v>517520</v>
      </c>
      <c r="R260" s="16" t="s">
        <v>8357</v>
      </c>
      <c r="S260" s="16" t="s">
        <v>8060</v>
      </c>
      <c r="T260" t="s">
        <v>7198</v>
      </c>
      <c r="U260">
        <v>1</v>
      </c>
    </row>
    <row r="261" spans="1:21">
      <c r="A261">
        <v>251</v>
      </c>
      <c r="B261" t="s">
        <v>7199</v>
      </c>
      <c r="C261" t="s">
        <v>984</v>
      </c>
      <c r="D261">
        <v>1249</v>
      </c>
      <c r="E261">
        <v>13</v>
      </c>
      <c r="F261" t="s">
        <v>27</v>
      </c>
      <c r="G261" t="s">
        <v>985</v>
      </c>
      <c r="H261">
        <v>125</v>
      </c>
      <c r="I261" t="s">
        <v>986</v>
      </c>
      <c r="J261" t="s">
        <v>8953</v>
      </c>
      <c r="L261">
        <v>1</v>
      </c>
      <c r="M261" t="s">
        <v>6486</v>
      </c>
      <c r="N261" t="s">
        <v>6487</v>
      </c>
      <c r="O261" t="s">
        <v>12</v>
      </c>
      <c r="P261" t="s">
        <v>6488</v>
      </c>
      <c r="Q261">
        <v>517520</v>
      </c>
      <c r="R261" s="16" t="s">
        <v>8357</v>
      </c>
      <c r="S261" s="16" t="s">
        <v>8060</v>
      </c>
      <c r="T261" t="s">
        <v>7199</v>
      </c>
      <c r="U261">
        <v>1</v>
      </c>
    </row>
    <row r="262" spans="1:21">
      <c r="A262">
        <v>252</v>
      </c>
      <c r="B262" t="s">
        <v>7200</v>
      </c>
      <c r="C262" t="s">
        <v>915</v>
      </c>
      <c r="D262">
        <v>1164</v>
      </c>
      <c r="E262">
        <v>12</v>
      </c>
      <c r="F262" t="s">
        <v>13</v>
      </c>
      <c r="G262" t="s">
        <v>916</v>
      </c>
      <c r="H262">
        <v>126</v>
      </c>
      <c r="I262" t="s">
        <v>917</v>
      </c>
      <c r="J262" t="s">
        <v>8954</v>
      </c>
      <c r="L262">
        <v>1</v>
      </c>
      <c r="M262" t="s">
        <v>6348</v>
      </c>
      <c r="N262" t="s">
        <v>6349</v>
      </c>
      <c r="O262" t="s">
        <v>12</v>
      </c>
      <c r="P262">
        <v>10810</v>
      </c>
      <c r="Q262">
        <v>512810</v>
      </c>
      <c r="R262" s="16" t="s">
        <v>8360</v>
      </c>
      <c r="S262" s="16" t="s">
        <v>8063</v>
      </c>
      <c r="T262" t="s">
        <v>7200</v>
      </c>
      <c r="U262">
        <v>1</v>
      </c>
    </row>
    <row r="263" spans="1:21">
      <c r="A263">
        <v>253</v>
      </c>
      <c r="B263" t="s">
        <v>7201</v>
      </c>
      <c r="C263" t="s">
        <v>929</v>
      </c>
      <c r="D263">
        <v>1169</v>
      </c>
      <c r="E263">
        <v>12</v>
      </c>
      <c r="F263" t="s">
        <v>12</v>
      </c>
      <c r="G263" t="s">
        <v>930</v>
      </c>
      <c r="H263">
        <v>133</v>
      </c>
      <c r="I263" t="s">
        <v>931</v>
      </c>
      <c r="J263" t="s">
        <v>8798</v>
      </c>
      <c r="L263">
        <v>0</v>
      </c>
      <c r="R263" s="16" t="s">
        <v>8064</v>
      </c>
      <c r="S263" s="16" t="s">
        <v>8064</v>
      </c>
      <c r="T263" t="s">
        <v>7201</v>
      </c>
      <c r="U263">
        <v>1</v>
      </c>
    </row>
    <row r="264" spans="1:21">
      <c r="A264">
        <v>254</v>
      </c>
      <c r="B264" t="s">
        <v>5289</v>
      </c>
      <c r="C264" t="s">
        <v>867</v>
      </c>
      <c r="D264">
        <v>1104</v>
      </c>
      <c r="E264">
        <v>12</v>
      </c>
      <c r="F264" t="s">
        <v>34</v>
      </c>
      <c r="G264" t="s">
        <v>868</v>
      </c>
      <c r="H264">
        <v>134</v>
      </c>
      <c r="I264" t="s">
        <v>869</v>
      </c>
      <c r="J264" s="5" t="s">
        <v>8670</v>
      </c>
      <c r="L264">
        <v>1</v>
      </c>
      <c r="M264" t="s">
        <v>6497</v>
      </c>
      <c r="N264" t="s">
        <v>6385</v>
      </c>
      <c r="O264" t="s">
        <v>12</v>
      </c>
      <c r="P264" t="s">
        <v>6968</v>
      </c>
      <c r="Q264" t="s">
        <v>6969</v>
      </c>
      <c r="R264" s="16" t="s">
        <v>8358</v>
      </c>
      <c r="S264" s="16" t="s">
        <v>8061</v>
      </c>
      <c r="T264" t="s">
        <v>8042</v>
      </c>
      <c r="U264">
        <v>1</v>
      </c>
    </row>
    <row r="265" spans="1:21">
      <c r="A265">
        <v>258</v>
      </c>
      <c r="B265" t="s">
        <v>5295</v>
      </c>
      <c r="C265" t="s">
        <v>827</v>
      </c>
      <c r="D265">
        <v>1061</v>
      </c>
      <c r="E265">
        <v>11</v>
      </c>
      <c r="F265" t="s">
        <v>258</v>
      </c>
      <c r="G265" t="s">
        <v>834</v>
      </c>
      <c r="H265">
        <v>139</v>
      </c>
      <c r="I265" t="s">
        <v>835</v>
      </c>
      <c r="J265" t="s">
        <v>8668</v>
      </c>
      <c r="L265">
        <v>1</v>
      </c>
      <c r="M265" t="s">
        <v>6396</v>
      </c>
      <c r="N265" t="s">
        <v>6397</v>
      </c>
      <c r="O265" t="s">
        <v>12</v>
      </c>
      <c r="P265">
        <v>-35330</v>
      </c>
      <c r="Q265">
        <v>507180</v>
      </c>
      <c r="R265" s="16" t="s">
        <v>8359</v>
      </c>
      <c r="S265" s="16" t="s">
        <v>8062</v>
      </c>
      <c r="T265" t="s">
        <v>8043</v>
      </c>
      <c r="U265">
        <v>0</v>
      </c>
    </row>
    <row r="266" spans="1:21">
      <c r="A266">
        <v>255</v>
      </c>
      <c r="B266" t="s">
        <v>7202</v>
      </c>
      <c r="C266" t="s">
        <v>811</v>
      </c>
      <c r="D266">
        <v>913</v>
      </c>
      <c r="E266">
        <v>10</v>
      </c>
      <c r="F266" t="s">
        <v>3993</v>
      </c>
      <c r="G266" t="s">
        <v>812</v>
      </c>
      <c r="H266">
        <v>135</v>
      </c>
      <c r="I266" t="s">
        <v>813</v>
      </c>
      <c r="J266" t="s">
        <v>8955</v>
      </c>
      <c r="L266">
        <v>1</v>
      </c>
      <c r="M266" t="s">
        <v>6960</v>
      </c>
      <c r="N266" t="s">
        <v>6420</v>
      </c>
      <c r="O266" t="s">
        <v>12</v>
      </c>
      <c r="P266" t="s">
        <v>6961</v>
      </c>
      <c r="Q266" t="s">
        <v>6962</v>
      </c>
      <c r="R266" s="16" t="s">
        <v>8356</v>
      </c>
      <c r="S266" s="16" t="s">
        <v>8059</v>
      </c>
      <c r="T266" t="s">
        <v>7802</v>
      </c>
      <c r="U266">
        <v>1</v>
      </c>
    </row>
    <row r="267" spans="1:21">
      <c r="A267">
        <v>256</v>
      </c>
      <c r="B267" t="s">
        <v>7203</v>
      </c>
      <c r="C267" t="s">
        <v>814</v>
      </c>
      <c r="D267">
        <v>925</v>
      </c>
      <c r="E267">
        <v>10</v>
      </c>
      <c r="F267" t="s">
        <v>3993</v>
      </c>
      <c r="G267" t="s">
        <v>812</v>
      </c>
      <c r="H267">
        <v>135</v>
      </c>
      <c r="I267" t="s">
        <v>815</v>
      </c>
      <c r="J267" t="s">
        <v>8955</v>
      </c>
      <c r="L267">
        <v>1</v>
      </c>
      <c r="M267" t="s">
        <v>6960</v>
      </c>
      <c r="N267" t="s">
        <v>6420</v>
      </c>
      <c r="O267" t="s">
        <v>12</v>
      </c>
      <c r="P267" t="s">
        <v>6961</v>
      </c>
      <c r="Q267" t="s">
        <v>6962</v>
      </c>
      <c r="R267" s="16" t="s">
        <v>8356</v>
      </c>
      <c r="S267" s="16" t="s">
        <v>8059</v>
      </c>
      <c r="T267" t="s">
        <v>7802</v>
      </c>
      <c r="U267">
        <v>1</v>
      </c>
    </row>
    <row r="268" spans="1:21">
      <c r="A268">
        <v>260</v>
      </c>
      <c r="B268" t="s">
        <v>5560</v>
      </c>
      <c r="C268" t="s">
        <v>990</v>
      </c>
      <c r="D268">
        <v>1246</v>
      </c>
      <c r="E268">
        <v>13</v>
      </c>
      <c r="F268" t="s">
        <v>27</v>
      </c>
      <c r="G268" t="s">
        <v>991</v>
      </c>
      <c r="H268">
        <v>141</v>
      </c>
      <c r="I268" t="s">
        <v>992</v>
      </c>
      <c r="J268" t="s">
        <v>8668</v>
      </c>
      <c r="L268">
        <v>1</v>
      </c>
      <c r="M268" t="s">
        <v>6486</v>
      </c>
      <c r="N268" t="s">
        <v>6487</v>
      </c>
      <c r="O268" t="s">
        <v>12</v>
      </c>
      <c r="P268" t="s">
        <v>6488</v>
      </c>
      <c r="Q268">
        <v>517520</v>
      </c>
      <c r="R268" s="16" t="s">
        <v>8357</v>
      </c>
      <c r="S268" s="16" t="s">
        <v>8060</v>
      </c>
      <c r="T268" t="s">
        <v>5560</v>
      </c>
      <c r="U268">
        <v>0</v>
      </c>
    </row>
    <row r="269" spans="1:21">
      <c r="A269">
        <v>257</v>
      </c>
      <c r="B269" t="s">
        <v>7204</v>
      </c>
      <c r="C269" t="s">
        <v>816</v>
      </c>
      <c r="D269">
        <v>936</v>
      </c>
      <c r="E269">
        <v>10</v>
      </c>
      <c r="F269" t="s">
        <v>12</v>
      </c>
      <c r="G269" t="s">
        <v>817</v>
      </c>
      <c r="H269">
        <v>137</v>
      </c>
      <c r="J269" t="s">
        <v>8799</v>
      </c>
      <c r="L269">
        <v>0</v>
      </c>
      <c r="R269" s="16" t="s">
        <v>8064</v>
      </c>
      <c r="S269" s="16" t="s">
        <v>8064</v>
      </c>
      <c r="T269" t="s">
        <v>7204</v>
      </c>
      <c r="U269">
        <v>1</v>
      </c>
    </row>
    <row r="270" spans="1:21">
      <c r="A270">
        <v>259</v>
      </c>
      <c r="B270" t="s">
        <v>7205</v>
      </c>
      <c r="C270" t="s">
        <v>827</v>
      </c>
      <c r="D270">
        <v>1061</v>
      </c>
      <c r="E270">
        <v>11</v>
      </c>
      <c r="F270" t="s">
        <v>258</v>
      </c>
      <c r="G270" t="s">
        <v>836</v>
      </c>
      <c r="H270">
        <v>139</v>
      </c>
      <c r="I270" t="s">
        <v>837</v>
      </c>
      <c r="J270" t="s">
        <v>8956</v>
      </c>
      <c r="L270">
        <v>1</v>
      </c>
      <c r="M270" t="s">
        <v>6396</v>
      </c>
      <c r="N270" t="s">
        <v>6397</v>
      </c>
      <c r="O270" t="s">
        <v>12</v>
      </c>
      <c r="P270">
        <v>-35330</v>
      </c>
      <c r="Q270">
        <v>507180</v>
      </c>
      <c r="R270" s="16" t="s">
        <v>8359</v>
      </c>
      <c r="S270" s="16" t="s">
        <v>8062</v>
      </c>
      <c r="T270" t="s">
        <v>7205</v>
      </c>
      <c r="U270">
        <v>1</v>
      </c>
    </row>
    <row r="271" spans="1:21">
      <c r="A271">
        <v>261</v>
      </c>
      <c r="B271" t="s">
        <v>7206</v>
      </c>
      <c r="C271" t="s">
        <v>818</v>
      </c>
      <c r="D271">
        <v>952</v>
      </c>
      <c r="E271">
        <v>10</v>
      </c>
      <c r="F271" t="s">
        <v>4263</v>
      </c>
      <c r="G271" t="s">
        <v>819</v>
      </c>
      <c r="H271">
        <v>140</v>
      </c>
      <c r="I271" t="s">
        <v>820</v>
      </c>
      <c r="J271" t="s">
        <v>8957</v>
      </c>
      <c r="L271">
        <v>1</v>
      </c>
      <c r="M271" t="s">
        <v>6584</v>
      </c>
      <c r="N271" t="s">
        <v>6585</v>
      </c>
      <c r="O271" t="s">
        <v>104</v>
      </c>
      <c r="P271" t="s">
        <v>6586</v>
      </c>
      <c r="Q271" t="s">
        <v>6587</v>
      </c>
      <c r="R271" s="16" t="s">
        <v>8451</v>
      </c>
      <c r="S271" s="16" t="s">
        <v>8155</v>
      </c>
      <c r="T271" t="s">
        <v>7206</v>
      </c>
      <c r="U271">
        <v>1</v>
      </c>
    </row>
    <row r="272" spans="1:21">
      <c r="A272">
        <v>262</v>
      </c>
      <c r="B272" t="s">
        <v>7207</v>
      </c>
      <c r="C272" t="s">
        <v>827</v>
      </c>
      <c r="D272">
        <v>1061</v>
      </c>
      <c r="E272">
        <v>11</v>
      </c>
      <c r="F272" t="s">
        <v>258</v>
      </c>
      <c r="G272" t="s">
        <v>838</v>
      </c>
      <c r="H272">
        <v>141</v>
      </c>
      <c r="I272" t="s">
        <v>839</v>
      </c>
      <c r="J272" t="s">
        <v>8958</v>
      </c>
      <c r="L272">
        <v>1</v>
      </c>
      <c r="M272" t="s">
        <v>6396</v>
      </c>
      <c r="N272" t="s">
        <v>6397</v>
      </c>
      <c r="O272" t="s">
        <v>12</v>
      </c>
      <c r="P272">
        <v>-35330</v>
      </c>
      <c r="Q272">
        <v>507180</v>
      </c>
      <c r="R272" s="16" t="s">
        <v>8359</v>
      </c>
      <c r="S272" s="16" t="s">
        <v>8062</v>
      </c>
      <c r="T272" t="s">
        <v>7207</v>
      </c>
      <c r="U272">
        <v>1</v>
      </c>
    </row>
    <row r="273" spans="1:21">
      <c r="A273">
        <v>263</v>
      </c>
      <c r="B273" t="s">
        <v>7208</v>
      </c>
      <c r="C273" t="s">
        <v>856</v>
      </c>
      <c r="D273">
        <v>1088</v>
      </c>
      <c r="E273">
        <v>11</v>
      </c>
      <c r="F273" t="s">
        <v>4264</v>
      </c>
      <c r="G273" t="s">
        <v>857</v>
      </c>
      <c r="H273">
        <v>142</v>
      </c>
      <c r="I273" t="s">
        <v>858</v>
      </c>
      <c r="J273" t="s">
        <v>8959</v>
      </c>
      <c r="L273">
        <v>1</v>
      </c>
      <c r="M273" t="s">
        <v>6441</v>
      </c>
      <c r="N273" t="s">
        <v>6442</v>
      </c>
      <c r="O273" t="s">
        <v>6443</v>
      </c>
      <c r="P273">
        <v>-40640</v>
      </c>
      <c r="Q273">
        <v>524150</v>
      </c>
      <c r="R273" s="16" t="s">
        <v>8452</v>
      </c>
      <c r="S273" s="16" t="s">
        <v>8156</v>
      </c>
      <c r="T273" t="s">
        <v>7208</v>
      </c>
      <c r="U273">
        <v>1</v>
      </c>
    </row>
    <row r="274" spans="1:21">
      <c r="A274">
        <v>264</v>
      </c>
      <c r="B274" t="s">
        <v>7209</v>
      </c>
      <c r="C274" t="s">
        <v>827</v>
      </c>
      <c r="D274">
        <v>1061</v>
      </c>
      <c r="E274">
        <v>11</v>
      </c>
      <c r="F274" t="s">
        <v>258</v>
      </c>
      <c r="G274" t="s">
        <v>840</v>
      </c>
      <c r="H274">
        <v>144</v>
      </c>
      <c r="I274" t="s">
        <v>841</v>
      </c>
      <c r="J274" t="s">
        <v>8960</v>
      </c>
      <c r="L274">
        <v>1</v>
      </c>
      <c r="M274" t="s">
        <v>6396</v>
      </c>
      <c r="N274" t="s">
        <v>6397</v>
      </c>
      <c r="O274" t="s">
        <v>12</v>
      </c>
      <c r="P274">
        <v>-35330</v>
      </c>
      <c r="Q274">
        <v>507180</v>
      </c>
      <c r="R274" s="16" t="s">
        <v>8359</v>
      </c>
      <c r="S274" s="16" t="s">
        <v>8062</v>
      </c>
      <c r="T274" t="s">
        <v>7803</v>
      </c>
      <c r="U274">
        <v>1</v>
      </c>
    </row>
    <row r="275" spans="1:21">
      <c r="A275">
        <v>265</v>
      </c>
      <c r="B275" t="s">
        <v>5303</v>
      </c>
      <c r="C275" t="s">
        <v>859</v>
      </c>
      <c r="D275">
        <v>1095</v>
      </c>
      <c r="E275">
        <v>11</v>
      </c>
      <c r="F275" t="s">
        <v>13</v>
      </c>
      <c r="G275" t="s">
        <v>860</v>
      </c>
      <c r="H275">
        <v>148</v>
      </c>
      <c r="I275" t="s">
        <v>861</v>
      </c>
      <c r="J275" t="s">
        <v>8669</v>
      </c>
      <c r="L275">
        <v>1</v>
      </c>
      <c r="M275" t="s">
        <v>6348</v>
      </c>
      <c r="N275" t="s">
        <v>6349</v>
      </c>
      <c r="O275" t="s">
        <v>12</v>
      </c>
      <c r="P275">
        <v>10810</v>
      </c>
      <c r="Q275">
        <v>512810</v>
      </c>
      <c r="R275" s="16" t="s">
        <v>8360</v>
      </c>
      <c r="S275" s="16" t="s">
        <v>8063</v>
      </c>
      <c r="T275" t="s">
        <v>8044</v>
      </c>
      <c r="U275">
        <v>1</v>
      </c>
    </row>
    <row r="276" spans="1:21">
      <c r="A276">
        <v>266</v>
      </c>
      <c r="B276" t="s">
        <v>7210</v>
      </c>
      <c r="C276" t="s">
        <v>1038</v>
      </c>
      <c r="D276">
        <v>1298</v>
      </c>
      <c r="E276">
        <v>13</v>
      </c>
      <c r="F276" t="s">
        <v>4047</v>
      </c>
      <c r="G276" t="s">
        <v>1039</v>
      </c>
      <c r="H276">
        <v>150</v>
      </c>
      <c r="I276" t="s">
        <v>1040</v>
      </c>
      <c r="J276" t="s">
        <v>8961</v>
      </c>
      <c r="L276">
        <v>1</v>
      </c>
      <c r="M276" t="s">
        <v>6886</v>
      </c>
      <c r="N276" t="s">
        <v>6346</v>
      </c>
      <c r="O276" t="s">
        <v>12</v>
      </c>
      <c r="P276" t="s">
        <v>6727</v>
      </c>
      <c r="Q276" t="s">
        <v>6887</v>
      </c>
      <c r="R276" s="16" t="s">
        <v>8402</v>
      </c>
      <c r="S276" s="16" t="s">
        <v>8106</v>
      </c>
      <c r="T276" t="s">
        <v>7210</v>
      </c>
      <c r="U276">
        <v>1</v>
      </c>
    </row>
    <row r="277" spans="1:21">
      <c r="A277">
        <v>267</v>
      </c>
      <c r="B277" t="s">
        <v>8800</v>
      </c>
      <c r="C277" t="s">
        <v>975</v>
      </c>
      <c r="D277">
        <v>1212</v>
      </c>
      <c r="E277">
        <v>13</v>
      </c>
      <c r="F277" t="s">
        <v>12</v>
      </c>
      <c r="G277" t="s">
        <v>976</v>
      </c>
      <c r="H277">
        <v>151</v>
      </c>
      <c r="I277" t="s">
        <v>977</v>
      </c>
      <c r="J277" t="s">
        <v>8801</v>
      </c>
      <c r="L277">
        <v>0</v>
      </c>
      <c r="R277" s="16" t="s">
        <v>8064</v>
      </c>
      <c r="S277" s="16" t="s">
        <v>8064</v>
      </c>
      <c r="T277" t="s">
        <v>7211</v>
      </c>
      <c r="U277">
        <v>1</v>
      </c>
    </row>
    <row r="278" spans="1:21">
      <c r="A278">
        <v>268</v>
      </c>
      <c r="B278" t="s">
        <v>7212</v>
      </c>
      <c r="C278" t="s">
        <v>966</v>
      </c>
      <c r="D278">
        <v>1195</v>
      </c>
      <c r="E278">
        <v>12</v>
      </c>
      <c r="F278" t="s">
        <v>3993</v>
      </c>
      <c r="G278" t="s">
        <v>967</v>
      </c>
      <c r="H278">
        <v>153</v>
      </c>
      <c r="I278" t="s">
        <v>968</v>
      </c>
      <c r="J278" t="s">
        <v>8962</v>
      </c>
      <c r="L278">
        <v>1</v>
      </c>
      <c r="M278" t="s">
        <v>6960</v>
      </c>
      <c r="N278" t="s">
        <v>6420</v>
      </c>
      <c r="O278" t="s">
        <v>12</v>
      </c>
      <c r="P278" t="s">
        <v>6961</v>
      </c>
      <c r="Q278" t="s">
        <v>6962</v>
      </c>
      <c r="R278" s="16" t="s">
        <v>8356</v>
      </c>
      <c r="S278" s="16" t="s">
        <v>8059</v>
      </c>
      <c r="T278" t="s">
        <v>7212</v>
      </c>
      <c r="U278">
        <v>1</v>
      </c>
    </row>
    <row r="279" spans="1:21">
      <c r="A279">
        <v>269</v>
      </c>
      <c r="B279" t="s">
        <v>7213</v>
      </c>
      <c r="C279" t="s">
        <v>873</v>
      </c>
      <c r="D279">
        <v>1121</v>
      </c>
      <c r="E279">
        <v>12</v>
      </c>
      <c r="F279" t="s">
        <v>13</v>
      </c>
      <c r="G279" t="s">
        <v>874</v>
      </c>
      <c r="H279">
        <v>154</v>
      </c>
      <c r="I279" t="s">
        <v>875</v>
      </c>
      <c r="J279" t="s">
        <v>8963</v>
      </c>
      <c r="L279">
        <v>1</v>
      </c>
      <c r="M279" t="s">
        <v>6348</v>
      </c>
      <c r="N279" t="s">
        <v>6349</v>
      </c>
      <c r="O279" t="s">
        <v>12</v>
      </c>
      <c r="P279">
        <v>10810</v>
      </c>
      <c r="Q279">
        <v>512810</v>
      </c>
      <c r="R279" s="16" t="s">
        <v>8360</v>
      </c>
      <c r="S279" s="16" t="s">
        <v>8063</v>
      </c>
      <c r="T279" t="s">
        <v>7213</v>
      </c>
      <c r="U279">
        <v>1</v>
      </c>
    </row>
    <row r="280" spans="1:21">
      <c r="A280">
        <v>270</v>
      </c>
      <c r="B280" t="s">
        <v>7214</v>
      </c>
      <c r="C280" t="s">
        <v>876</v>
      </c>
      <c r="D280">
        <v>1119</v>
      </c>
      <c r="E280">
        <v>12</v>
      </c>
      <c r="F280" t="s">
        <v>3995</v>
      </c>
      <c r="G280" t="s">
        <v>877</v>
      </c>
      <c r="H280">
        <v>155</v>
      </c>
      <c r="I280" t="s">
        <v>878</v>
      </c>
      <c r="J280" t="s">
        <v>8964</v>
      </c>
      <c r="L280">
        <v>1</v>
      </c>
      <c r="M280" t="s">
        <v>3995</v>
      </c>
      <c r="N280" t="s">
        <v>3995</v>
      </c>
      <c r="O280" t="s">
        <v>3995</v>
      </c>
      <c r="P280" t="s">
        <v>6556</v>
      </c>
      <c r="Q280" t="s">
        <v>6557</v>
      </c>
      <c r="R280" s="16" t="s">
        <v>6556</v>
      </c>
      <c r="S280" s="16" t="s">
        <v>6557</v>
      </c>
      <c r="T280" t="s">
        <v>7214</v>
      </c>
      <c r="U280">
        <v>1</v>
      </c>
    </row>
    <row r="281" spans="1:21">
      <c r="A281">
        <v>271</v>
      </c>
      <c r="B281" t="s">
        <v>7215</v>
      </c>
      <c r="C281" t="s">
        <v>850</v>
      </c>
      <c r="D281">
        <v>1066</v>
      </c>
      <c r="E281">
        <v>11</v>
      </c>
      <c r="F281" t="s">
        <v>34</v>
      </c>
      <c r="G281" t="s">
        <v>851</v>
      </c>
      <c r="H281">
        <v>157</v>
      </c>
      <c r="I281" t="s">
        <v>852</v>
      </c>
      <c r="J281" t="s">
        <v>8965</v>
      </c>
      <c r="L281">
        <v>1</v>
      </c>
      <c r="M281" t="s">
        <v>6497</v>
      </c>
      <c r="N281" t="s">
        <v>6385</v>
      </c>
      <c r="O281" t="s">
        <v>12</v>
      </c>
      <c r="P281" t="s">
        <v>6968</v>
      </c>
      <c r="Q281" t="s">
        <v>6969</v>
      </c>
      <c r="R281" s="16" t="s">
        <v>8358</v>
      </c>
      <c r="S281" s="16" t="s">
        <v>8061</v>
      </c>
      <c r="T281" t="s">
        <v>7215</v>
      </c>
      <c r="U281">
        <v>1</v>
      </c>
    </row>
    <row r="282" spans="1:21">
      <c r="A282">
        <v>272</v>
      </c>
      <c r="B282" t="s">
        <v>7216</v>
      </c>
      <c r="C282" t="s">
        <v>879</v>
      </c>
      <c r="D282">
        <v>1125</v>
      </c>
      <c r="E282">
        <v>12</v>
      </c>
      <c r="F282" t="s">
        <v>4124</v>
      </c>
      <c r="G282" t="s">
        <v>880</v>
      </c>
      <c r="H282">
        <v>158</v>
      </c>
      <c r="I282" t="s">
        <v>881</v>
      </c>
      <c r="J282" t="s">
        <v>8966</v>
      </c>
      <c r="L282">
        <v>1</v>
      </c>
      <c r="M282" t="s">
        <v>6391</v>
      </c>
      <c r="N282" t="s">
        <v>6346</v>
      </c>
      <c r="O282" t="s">
        <v>12</v>
      </c>
      <c r="P282" t="s">
        <v>6392</v>
      </c>
      <c r="Q282">
        <v>523970</v>
      </c>
      <c r="R282" s="16" t="s">
        <v>8419</v>
      </c>
      <c r="S282" s="16" t="s">
        <v>8123</v>
      </c>
      <c r="T282" t="s">
        <v>7216</v>
      </c>
      <c r="U282">
        <v>1</v>
      </c>
    </row>
    <row r="283" spans="1:21">
      <c r="A283">
        <v>273</v>
      </c>
      <c r="B283" t="s">
        <v>7217</v>
      </c>
      <c r="C283" t="s">
        <v>864</v>
      </c>
      <c r="D283">
        <v>1102</v>
      </c>
      <c r="E283">
        <v>12</v>
      </c>
      <c r="F283" t="s">
        <v>4265</v>
      </c>
      <c r="G283" t="s">
        <v>865</v>
      </c>
      <c r="H283">
        <v>162</v>
      </c>
      <c r="I283" t="s">
        <v>866</v>
      </c>
      <c r="J283" t="s">
        <v>8967</v>
      </c>
      <c r="L283">
        <v>1</v>
      </c>
      <c r="M283" t="s">
        <v>4425</v>
      </c>
      <c r="N283" t="s">
        <v>6315</v>
      </c>
      <c r="O283" t="s">
        <v>104</v>
      </c>
      <c r="P283">
        <v>10990</v>
      </c>
      <c r="Q283">
        <v>494430</v>
      </c>
      <c r="R283" s="16" t="s">
        <v>8453</v>
      </c>
      <c r="S283" s="16" t="s">
        <v>8157</v>
      </c>
      <c r="T283" t="s">
        <v>7217</v>
      </c>
      <c r="U283">
        <v>1</v>
      </c>
    </row>
    <row r="284" spans="1:21">
      <c r="A284">
        <v>274</v>
      </c>
      <c r="B284" t="s">
        <v>5313</v>
      </c>
      <c r="C284" t="s">
        <v>827</v>
      </c>
      <c r="D284">
        <v>1061</v>
      </c>
      <c r="E284">
        <v>11</v>
      </c>
      <c r="F284" t="s">
        <v>258</v>
      </c>
      <c r="G284" t="s">
        <v>842</v>
      </c>
      <c r="H284">
        <v>164</v>
      </c>
      <c r="I284" t="s">
        <v>843</v>
      </c>
      <c r="J284" t="s">
        <v>8671</v>
      </c>
      <c r="L284">
        <v>1</v>
      </c>
      <c r="M284" t="s">
        <v>6396</v>
      </c>
      <c r="N284" t="s">
        <v>6397</v>
      </c>
      <c r="O284" t="s">
        <v>12</v>
      </c>
      <c r="P284">
        <v>-35330</v>
      </c>
      <c r="Q284">
        <v>507180</v>
      </c>
      <c r="R284" s="16" t="s">
        <v>8359</v>
      </c>
      <c r="S284" s="16" t="s">
        <v>8062</v>
      </c>
      <c r="T284" t="s">
        <v>8045</v>
      </c>
      <c r="U284">
        <v>1</v>
      </c>
    </row>
    <row r="285" spans="1:21">
      <c r="A285">
        <v>275</v>
      </c>
      <c r="B285" t="s">
        <v>7218</v>
      </c>
      <c r="C285" t="s">
        <v>847</v>
      </c>
      <c r="D285">
        <v>1061</v>
      </c>
      <c r="E285">
        <v>11</v>
      </c>
      <c r="F285" t="s">
        <v>4266</v>
      </c>
      <c r="G285" t="s">
        <v>848</v>
      </c>
      <c r="H285">
        <v>165</v>
      </c>
      <c r="I285" t="s">
        <v>849</v>
      </c>
      <c r="J285" t="s">
        <v>8968</v>
      </c>
      <c r="L285">
        <v>1</v>
      </c>
      <c r="M285" t="s">
        <v>4364</v>
      </c>
      <c r="N285" t="s">
        <v>6355</v>
      </c>
      <c r="O285" t="s">
        <v>12</v>
      </c>
      <c r="P285" t="s">
        <v>6833</v>
      </c>
      <c r="Q285" t="s">
        <v>6834</v>
      </c>
      <c r="R285" s="16" t="s">
        <v>8404</v>
      </c>
      <c r="S285" s="16" t="s">
        <v>8108</v>
      </c>
      <c r="T285" t="s">
        <v>7804</v>
      </c>
      <c r="U285">
        <v>1</v>
      </c>
    </row>
    <row r="286" spans="1:21">
      <c r="A286">
        <v>276</v>
      </c>
      <c r="B286" t="s">
        <v>7219</v>
      </c>
      <c r="C286" t="s">
        <v>978</v>
      </c>
      <c r="D286">
        <v>1216</v>
      </c>
      <c r="E286">
        <v>13</v>
      </c>
      <c r="F286" t="s">
        <v>252</v>
      </c>
      <c r="G286" t="s">
        <v>979</v>
      </c>
      <c r="H286">
        <v>166</v>
      </c>
      <c r="I286" t="s">
        <v>980</v>
      </c>
      <c r="J286" t="s">
        <v>8969</v>
      </c>
      <c r="L286">
        <v>1</v>
      </c>
      <c r="M286" t="s">
        <v>6439</v>
      </c>
      <c r="N286" t="s">
        <v>6331</v>
      </c>
      <c r="O286" t="s">
        <v>12</v>
      </c>
      <c r="P286" t="s">
        <v>6440</v>
      </c>
      <c r="Q286">
        <v>532300</v>
      </c>
      <c r="R286" s="16" t="s">
        <v>8454</v>
      </c>
      <c r="S286" s="16" t="s">
        <v>8158</v>
      </c>
      <c r="T286" t="s">
        <v>7219</v>
      </c>
      <c r="U286">
        <v>1</v>
      </c>
    </row>
    <row r="287" spans="1:21">
      <c r="A287">
        <v>277</v>
      </c>
      <c r="B287" t="s">
        <v>7220</v>
      </c>
      <c r="C287" t="s">
        <v>886</v>
      </c>
      <c r="D287">
        <v>1126</v>
      </c>
      <c r="E287">
        <v>12</v>
      </c>
      <c r="F287" t="s">
        <v>13</v>
      </c>
      <c r="G287" t="s">
        <v>887</v>
      </c>
      <c r="H287">
        <v>167</v>
      </c>
      <c r="I287" t="s">
        <v>888</v>
      </c>
      <c r="J287" t="s">
        <v>8970</v>
      </c>
      <c r="L287">
        <v>1</v>
      </c>
      <c r="M287" t="s">
        <v>6348</v>
      </c>
      <c r="N287" t="s">
        <v>6349</v>
      </c>
      <c r="O287" t="s">
        <v>12</v>
      </c>
      <c r="P287">
        <v>10810</v>
      </c>
      <c r="Q287">
        <v>512810</v>
      </c>
      <c r="R287" s="16" t="s">
        <v>8360</v>
      </c>
      <c r="S287" s="16" t="s">
        <v>8063</v>
      </c>
      <c r="T287" t="s">
        <v>7220</v>
      </c>
      <c r="U287">
        <v>1</v>
      </c>
    </row>
    <row r="288" spans="1:21">
      <c r="A288">
        <v>278</v>
      </c>
      <c r="B288" t="s">
        <v>7221</v>
      </c>
      <c r="C288" t="s">
        <v>1032</v>
      </c>
      <c r="D288">
        <v>1283</v>
      </c>
      <c r="E288">
        <v>13</v>
      </c>
      <c r="F288" t="s">
        <v>4267</v>
      </c>
      <c r="G288" t="s">
        <v>1033</v>
      </c>
      <c r="H288">
        <v>169</v>
      </c>
      <c r="I288" t="s">
        <v>1034</v>
      </c>
      <c r="J288" t="s">
        <v>8971</v>
      </c>
      <c r="L288">
        <v>1</v>
      </c>
      <c r="M288" t="s">
        <v>6468</v>
      </c>
      <c r="N288" t="s">
        <v>6469</v>
      </c>
      <c r="O288" t="s">
        <v>12</v>
      </c>
      <c r="P288">
        <v>12970</v>
      </c>
      <c r="Q288">
        <v>526300</v>
      </c>
      <c r="R288" s="16" t="s">
        <v>8455</v>
      </c>
      <c r="S288" s="16" t="s">
        <v>8159</v>
      </c>
      <c r="T288" t="s">
        <v>7805</v>
      </c>
      <c r="U288">
        <v>1</v>
      </c>
    </row>
    <row r="289" spans="1:21">
      <c r="A289">
        <v>279</v>
      </c>
      <c r="B289" t="s">
        <v>7222</v>
      </c>
      <c r="C289" t="s">
        <v>1008</v>
      </c>
      <c r="D289">
        <v>1261</v>
      </c>
      <c r="E289">
        <v>13</v>
      </c>
      <c r="F289" t="s">
        <v>4267</v>
      </c>
      <c r="G289" t="s">
        <v>1009</v>
      </c>
      <c r="H289">
        <v>170</v>
      </c>
      <c r="I289" t="s">
        <v>1010</v>
      </c>
      <c r="J289" t="s">
        <v>8971</v>
      </c>
      <c r="L289">
        <v>1</v>
      </c>
      <c r="M289" t="s">
        <v>6468</v>
      </c>
      <c r="N289" t="s">
        <v>6469</v>
      </c>
      <c r="O289" t="s">
        <v>12</v>
      </c>
      <c r="P289">
        <v>12970</v>
      </c>
      <c r="Q289">
        <v>526300</v>
      </c>
      <c r="R289" s="16" t="s">
        <v>8455</v>
      </c>
      <c r="S289" s="16" t="s">
        <v>8159</v>
      </c>
      <c r="T289" t="s">
        <v>7805</v>
      </c>
      <c r="U289">
        <v>1</v>
      </c>
    </row>
    <row r="290" spans="1:21">
      <c r="A290">
        <v>283</v>
      </c>
      <c r="B290" t="s">
        <v>7257</v>
      </c>
      <c r="C290" t="s">
        <v>999</v>
      </c>
      <c r="D290">
        <v>1261</v>
      </c>
      <c r="E290">
        <v>13</v>
      </c>
      <c r="F290" t="s">
        <v>22</v>
      </c>
      <c r="G290" t="s">
        <v>1000</v>
      </c>
      <c r="H290">
        <v>202</v>
      </c>
      <c r="I290" t="s">
        <v>1001</v>
      </c>
      <c r="J290" t="s">
        <v>8972</v>
      </c>
      <c r="L290">
        <v>1</v>
      </c>
      <c r="M290" t="s">
        <v>4502</v>
      </c>
      <c r="N290" t="s">
        <v>6456</v>
      </c>
      <c r="O290" t="s">
        <v>104</v>
      </c>
      <c r="P290">
        <v>23522</v>
      </c>
      <c r="Q290">
        <v>488566</v>
      </c>
      <c r="R290" s="16" t="s">
        <v>8364</v>
      </c>
      <c r="S290" s="16" t="s">
        <v>8069</v>
      </c>
      <c r="T290" t="s">
        <v>7257</v>
      </c>
      <c r="U290">
        <v>1</v>
      </c>
    </row>
    <row r="291" spans="1:21">
      <c r="A291">
        <v>288</v>
      </c>
      <c r="B291" t="s">
        <v>5563</v>
      </c>
      <c r="C291" t="s">
        <v>987</v>
      </c>
      <c r="D291">
        <v>1250</v>
      </c>
      <c r="E291">
        <v>13</v>
      </c>
      <c r="F291" t="s">
        <v>27</v>
      </c>
      <c r="G291" t="s">
        <v>988</v>
      </c>
      <c r="H291">
        <v>24</v>
      </c>
      <c r="I291" t="s">
        <v>989</v>
      </c>
      <c r="J291" t="s">
        <v>8973</v>
      </c>
      <c r="L291">
        <v>1</v>
      </c>
      <c r="M291" t="s">
        <v>6486</v>
      </c>
      <c r="N291" t="s">
        <v>6487</v>
      </c>
      <c r="O291" t="s">
        <v>12</v>
      </c>
      <c r="P291" t="s">
        <v>6488</v>
      </c>
      <c r="Q291">
        <v>517520</v>
      </c>
      <c r="R291" s="16" t="s">
        <v>8357</v>
      </c>
      <c r="S291" s="16" t="s">
        <v>8060</v>
      </c>
      <c r="T291" t="s">
        <v>5563</v>
      </c>
      <c r="U291">
        <v>1</v>
      </c>
    </row>
    <row r="292" spans="1:21">
      <c r="A292">
        <v>303</v>
      </c>
      <c r="B292" t="s">
        <v>7237</v>
      </c>
      <c r="C292" t="s">
        <v>918</v>
      </c>
      <c r="D292">
        <v>1167</v>
      </c>
      <c r="E292">
        <v>12</v>
      </c>
      <c r="F292" t="s">
        <v>32</v>
      </c>
      <c r="G292" t="s">
        <v>919</v>
      </c>
      <c r="H292">
        <v>324</v>
      </c>
      <c r="I292" t="s">
        <v>920</v>
      </c>
      <c r="J292" t="s">
        <v>8682</v>
      </c>
      <c r="L292">
        <v>1</v>
      </c>
      <c r="M292" t="s">
        <v>4502</v>
      </c>
      <c r="N292" t="s">
        <v>6456</v>
      </c>
      <c r="O292" t="s">
        <v>104</v>
      </c>
      <c r="P292">
        <v>23522</v>
      </c>
      <c r="Q292">
        <v>488566</v>
      </c>
      <c r="R292" s="16" t="s">
        <v>8364</v>
      </c>
      <c r="S292" s="16" t="s">
        <v>8069</v>
      </c>
      <c r="T292" t="s">
        <v>7237</v>
      </c>
      <c r="U292">
        <v>1</v>
      </c>
    </row>
    <row r="293" spans="1:21">
      <c r="A293">
        <v>304</v>
      </c>
      <c r="B293" t="s">
        <v>7238</v>
      </c>
      <c r="C293" t="s">
        <v>932</v>
      </c>
      <c r="D293">
        <v>1179</v>
      </c>
      <c r="E293">
        <v>12</v>
      </c>
      <c r="F293" t="s">
        <v>32</v>
      </c>
      <c r="G293" t="s">
        <v>933</v>
      </c>
      <c r="H293">
        <v>325</v>
      </c>
      <c r="I293" t="s">
        <v>934</v>
      </c>
      <c r="J293" s="5" t="s">
        <v>8683</v>
      </c>
      <c r="L293">
        <v>1</v>
      </c>
      <c r="M293" t="s">
        <v>4502</v>
      </c>
      <c r="N293" t="s">
        <v>6456</v>
      </c>
      <c r="O293" t="s">
        <v>104</v>
      </c>
      <c r="P293">
        <v>23522</v>
      </c>
      <c r="Q293">
        <v>488566</v>
      </c>
      <c r="R293" s="16" t="s">
        <v>8364</v>
      </c>
      <c r="S293" s="16" t="s">
        <v>8069</v>
      </c>
      <c r="T293" t="s">
        <v>7238</v>
      </c>
      <c r="U293">
        <v>1</v>
      </c>
    </row>
    <row r="294" spans="1:21">
      <c r="A294">
        <v>305</v>
      </c>
      <c r="B294" t="s">
        <v>7239</v>
      </c>
      <c r="C294" t="s">
        <v>918</v>
      </c>
      <c r="D294">
        <v>1167</v>
      </c>
      <c r="E294">
        <v>12</v>
      </c>
      <c r="F294" t="s">
        <v>32</v>
      </c>
      <c r="G294" t="s">
        <v>921</v>
      </c>
      <c r="H294">
        <v>327</v>
      </c>
      <c r="I294" t="s">
        <v>922</v>
      </c>
      <c r="J294" s="5" t="s">
        <v>8684</v>
      </c>
      <c r="L294">
        <v>1</v>
      </c>
      <c r="M294" t="s">
        <v>4502</v>
      </c>
      <c r="N294" t="s">
        <v>6456</v>
      </c>
      <c r="O294" t="s">
        <v>104</v>
      </c>
      <c r="P294">
        <v>23522</v>
      </c>
      <c r="Q294">
        <v>488566</v>
      </c>
      <c r="R294" s="16" t="s">
        <v>8364</v>
      </c>
      <c r="S294" s="16" t="s">
        <v>8069</v>
      </c>
      <c r="T294" t="s">
        <v>7239</v>
      </c>
      <c r="U294">
        <v>1</v>
      </c>
    </row>
    <row r="295" spans="1:21">
      <c r="A295">
        <v>306</v>
      </c>
      <c r="B295" t="s">
        <v>7240</v>
      </c>
      <c r="C295" t="s">
        <v>932</v>
      </c>
      <c r="D295">
        <v>1179</v>
      </c>
      <c r="E295">
        <v>12</v>
      </c>
      <c r="F295" t="s">
        <v>32</v>
      </c>
      <c r="G295" t="s">
        <v>935</v>
      </c>
      <c r="H295">
        <v>328</v>
      </c>
      <c r="I295" t="s">
        <v>936</v>
      </c>
      <c r="J295" s="5" t="s">
        <v>8685</v>
      </c>
      <c r="L295">
        <v>1</v>
      </c>
      <c r="M295" t="s">
        <v>4502</v>
      </c>
      <c r="N295" t="s">
        <v>6456</v>
      </c>
      <c r="O295" t="s">
        <v>104</v>
      </c>
      <c r="P295">
        <v>23522</v>
      </c>
      <c r="Q295">
        <v>488566</v>
      </c>
      <c r="R295" s="16" t="s">
        <v>8364</v>
      </c>
      <c r="S295" s="16" t="s">
        <v>8069</v>
      </c>
      <c r="T295" t="s">
        <v>7240</v>
      </c>
      <c r="U295">
        <v>1</v>
      </c>
    </row>
    <row r="296" spans="1:21">
      <c r="A296">
        <v>307</v>
      </c>
      <c r="B296" t="s">
        <v>7241</v>
      </c>
      <c r="C296" t="s">
        <v>954</v>
      </c>
      <c r="D296">
        <v>1175</v>
      </c>
      <c r="E296">
        <v>12</v>
      </c>
      <c r="F296" t="s">
        <v>32</v>
      </c>
      <c r="G296" t="s">
        <v>955</v>
      </c>
      <c r="H296">
        <v>329</v>
      </c>
      <c r="I296" t="s">
        <v>956</v>
      </c>
      <c r="J296" s="5" t="s">
        <v>8687</v>
      </c>
      <c r="L296">
        <v>1</v>
      </c>
      <c r="M296" t="s">
        <v>4502</v>
      </c>
      <c r="N296" t="s">
        <v>6456</v>
      </c>
      <c r="O296" t="s">
        <v>104</v>
      </c>
      <c r="P296">
        <v>23522</v>
      </c>
      <c r="Q296">
        <v>488566</v>
      </c>
      <c r="R296" s="16" t="s">
        <v>8364</v>
      </c>
      <c r="S296" s="16" t="s">
        <v>8069</v>
      </c>
      <c r="T296" t="s">
        <v>7241</v>
      </c>
      <c r="U296">
        <v>1</v>
      </c>
    </row>
    <row r="297" spans="1:21">
      <c r="A297">
        <v>308</v>
      </c>
      <c r="B297" t="s">
        <v>7242</v>
      </c>
      <c r="C297" t="s">
        <v>918</v>
      </c>
      <c r="D297">
        <v>1167</v>
      </c>
      <c r="E297">
        <v>12</v>
      </c>
      <c r="F297" t="s">
        <v>32</v>
      </c>
      <c r="G297" t="s">
        <v>923</v>
      </c>
      <c r="H297">
        <v>330</v>
      </c>
      <c r="I297" t="s">
        <v>924</v>
      </c>
      <c r="J297" s="5" t="s">
        <v>8688</v>
      </c>
      <c r="L297">
        <v>1</v>
      </c>
      <c r="M297" t="s">
        <v>4502</v>
      </c>
      <c r="N297" t="s">
        <v>6456</v>
      </c>
      <c r="O297" t="s">
        <v>104</v>
      </c>
      <c r="P297">
        <v>23522</v>
      </c>
      <c r="Q297">
        <v>488566</v>
      </c>
      <c r="R297" s="16" t="s">
        <v>8364</v>
      </c>
      <c r="S297" s="16" t="s">
        <v>8069</v>
      </c>
      <c r="T297" t="s">
        <v>7242</v>
      </c>
      <c r="U297">
        <v>1</v>
      </c>
    </row>
    <row r="298" spans="1:21">
      <c r="A298">
        <v>309</v>
      </c>
      <c r="B298" t="s">
        <v>7243</v>
      </c>
      <c r="C298" t="s">
        <v>951</v>
      </c>
      <c r="D298">
        <v>1173</v>
      </c>
      <c r="E298">
        <v>12</v>
      </c>
      <c r="F298" t="s">
        <v>32</v>
      </c>
      <c r="G298" t="s">
        <v>952</v>
      </c>
      <c r="H298">
        <v>331</v>
      </c>
      <c r="I298" t="s">
        <v>953</v>
      </c>
      <c r="J298" s="5" t="s">
        <v>8689</v>
      </c>
      <c r="L298">
        <v>1</v>
      </c>
      <c r="M298" t="s">
        <v>4502</v>
      </c>
      <c r="N298" t="s">
        <v>6456</v>
      </c>
      <c r="O298" t="s">
        <v>104</v>
      </c>
      <c r="P298">
        <v>23522</v>
      </c>
      <c r="Q298">
        <v>488566</v>
      </c>
      <c r="R298" s="16" t="s">
        <v>8364</v>
      </c>
      <c r="S298" s="16" t="s">
        <v>8069</v>
      </c>
      <c r="T298" t="s">
        <v>7243</v>
      </c>
      <c r="U298">
        <v>1</v>
      </c>
    </row>
    <row r="299" spans="1:21">
      <c r="A299">
        <v>310</v>
      </c>
      <c r="B299" t="s">
        <v>7244</v>
      </c>
      <c r="C299" t="s">
        <v>951</v>
      </c>
      <c r="D299">
        <v>1173</v>
      </c>
      <c r="E299">
        <v>12</v>
      </c>
      <c r="F299" t="s">
        <v>32</v>
      </c>
      <c r="G299" t="s">
        <v>952</v>
      </c>
      <c r="H299">
        <v>331</v>
      </c>
      <c r="I299" t="s">
        <v>953</v>
      </c>
      <c r="J299" s="5" t="s">
        <v>8690</v>
      </c>
      <c r="L299">
        <v>1</v>
      </c>
      <c r="M299" t="s">
        <v>4502</v>
      </c>
      <c r="N299" t="s">
        <v>6456</v>
      </c>
      <c r="O299" t="s">
        <v>104</v>
      </c>
      <c r="P299">
        <v>23522</v>
      </c>
      <c r="Q299">
        <v>488566</v>
      </c>
      <c r="R299" s="16" t="s">
        <v>8364</v>
      </c>
      <c r="S299" s="16" t="s">
        <v>8069</v>
      </c>
      <c r="T299" t="s">
        <v>7244</v>
      </c>
      <c r="U299">
        <v>1</v>
      </c>
    </row>
    <row r="300" spans="1:21">
      <c r="A300">
        <v>311</v>
      </c>
      <c r="B300" t="s">
        <v>7245</v>
      </c>
      <c r="C300" t="s">
        <v>1002</v>
      </c>
      <c r="D300">
        <v>1255</v>
      </c>
      <c r="E300">
        <v>13</v>
      </c>
      <c r="F300" t="s">
        <v>13</v>
      </c>
      <c r="G300" t="s">
        <v>1003</v>
      </c>
      <c r="H300">
        <v>333</v>
      </c>
      <c r="I300" t="s">
        <v>1004</v>
      </c>
      <c r="J300" s="5" t="s">
        <v>8686</v>
      </c>
      <c r="L300">
        <v>1</v>
      </c>
      <c r="M300" t="s">
        <v>6348</v>
      </c>
      <c r="N300" t="s">
        <v>6349</v>
      </c>
      <c r="O300" t="s">
        <v>12</v>
      </c>
      <c r="P300">
        <v>10810</v>
      </c>
      <c r="Q300">
        <v>512810</v>
      </c>
      <c r="R300" s="16" t="s">
        <v>8360</v>
      </c>
      <c r="S300" s="16" t="s">
        <v>8063</v>
      </c>
      <c r="T300" t="s">
        <v>7245</v>
      </c>
      <c r="U300">
        <v>1</v>
      </c>
    </row>
    <row r="301" spans="1:21">
      <c r="A301">
        <v>312</v>
      </c>
      <c r="B301" t="s">
        <v>7246</v>
      </c>
      <c r="C301" t="s">
        <v>459</v>
      </c>
      <c r="D301">
        <v>1155</v>
      </c>
      <c r="E301">
        <v>12</v>
      </c>
      <c r="F301" t="s">
        <v>13</v>
      </c>
      <c r="G301" t="s">
        <v>910</v>
      </c>
      <c r="H301">
        <v>336</v>
      </c>
      <c r="I301" t="s">
        <v>911</v>
      </c>
      <c r="J301" t="s">
        <v>8679</v>
      </c>
      <c r="L301">
        <v>1</v>
      </c>
      <c r="M301" t="s">
        <v>6348</v>
      </c>
      <c r="N301" t="s">
        <v>6349</v>
      </c>
      <c r="O301" t="s">
        <v>12</v>
      </c>
      <c r="P301">
        <v>10810</v>
      </c>
      <c r="Q301">
        <v>512810</v>
      </c>
      <c r="R301" s="16" t="s">
        <v>8360</v>
      </c>
      <c r="S301" s="16" t="s">
        <v>8063</v>
      </c>
      <c r="T301" t="s">
        <v>7246</v>
      </c>
      <c r="U301">
        <v>1</v>
      </c>
    </row>
    <row r="302" spans="1:21">
      <c r="A302">
        <v>313</v>
      </c>
      <c r="B302" t="s">
        <v>7247</v>
      </c>
      <c r="C302" t="s">
        <v>918</v>
      </c>
      <c r="D302">
        <v>1167</v>
      </c>
      <c r="E302">
        <v>12</v>
      </c>
      <c r="F302" t="s">
        <v>4313</v>
      </c>
      <c r="G302" t="s">
        <v>925</v>
      </c>
      <c r="H302">
        <v>341</v>
      </c>
      <c r="I302" t="s">
        <v>926</v>
      </c>
      <c r="J302" t="s">
        <v>8680</v>
      </c>
      <c r="L302">
        <v>1</v>
      </c>
      <c r="M302" t="s">
        <v>6476</v>
      </c>
      <c r="N302" t="s">
        <v>6308</v>
      </c>
      <c r="O302" t="s">
        <v>104</v>
      </c>
      <c r="P302">
        <v>36330</v>
      </c>
      <c r="Q302">
        <v>477100</v>
      </c>
      <c r="R302" s="16" t="s">
        <v>8458</v>
      </c>
      <c r="S302" s="16" t="s">
        <v>8162</v>
      </c>
      <c r="T302" t="s">
        <v>7247</v>
      </c>
      <c r="U302">
        <v>1</v>
      </c>
    </row>
    <row r="303" spans="1:21">
      <c r="A303">
        <v>314</v>
      </c>
      <c r="B303" t="s">
        <v>7248</v>
      </c>
      <c r="C303" t="s">
        <v>844</v>
      </c>
      <c r="D303">
        <v>1064</v>
      </c>
      <c r="E303">
        <v>11</v>
      </c>
      <c r="F303" t="s">
        <v>4314</v>
      </c>
      <c r="G303" t="s">
        <v>845</v>
      </c>
      <c r="H303">
        <v>342</v>
      </c>
      <c r="I303" t="s">
        <v>846</v>
      </c>
      <c r="J303" t="s">
        <v>8681</v>
      </c>
      <c r="L303">
        <v>1</v>
      </c>
      <c r="M303" t="s">
        <v>4314</v>
      </c>
      <c r="N303" t="s">
        <v>6318</v>
      </c>
      <c r="O303" t="s">
        <v>104</v>
      </c>
      <c r="P303" t="s">
        <v>6319</v>
      </c>
      <c r="Q303">
        <v>491830</v>
      </c>
      <c r="R303" s="16" t="s">
        <v>8459</v>
      </c>
      <c r="S303" s="16" t="s">
        <v>8163</v>
      </c>
      <c r="T303" t="s">
        <v>7248</v>
      </c>
      <c r="U303">
        <v>1</v>
      </c>
    </row>
    <row r="304" spans="1:21">
      <c r="A304">
        <v>315</v>
      </c>
      <c r="B304" t="s">
        <v>7249</v>
      </c>
      <c r="C304" t="s">
        <v>981</v>
      </c>
      <c r="D304">
        <v>1219</v>
      </c>
      <c r="E304">
        <v>13</v>
      </c>
      <c r="F304" t="s">
        <v>22</v>
      </c>
      <c r="G304" t="s">
        <v>982</v>
      </c>
      <c r="H304">
        <v>345</v>
      </c>
      <c r="I304" t="s">
        <v>983</v>
      </c>
      <c r="J304" s="5" t="s">
        <v>8693</v>
      </c>
      <c r="L304">
        <v>1</v>
      </c>
      <c r="M304" t="s">
        <v>4502</v>
      </c>
      <c r="N304" t="s">
        <v>6456</v>
      </c>
      <c r="O304" t="s">
        <v>104</v>
      </c>
      <c r="P304">
        <v>23522</v>
      </c>
      <c r="Q304">
        <v>488566</v>
      </c>
      <c r="R304" s="16" t="s">
        <v>8364</v>
      </c>
      <c r="S304" s="16" t="s">
        <v>8069</v>
      </c>
      <c r="T304" t="s">
        <v>7809</v>
      </c>
      <c r="U304">
        <v>1</v>
      </c>
    </row>
    <row r="305" spans="1:21">
      <c r="A305">
        <v>318</v>
      </c>
      <c r="B305" t="s">
        <v>7251</v>
      </c>
      <c r="C305" t="s">
        <v>883</v>
      </c>
      <c r="D305">
        <v>1130</v>
      </c>
      <c r="E305">
        <v>12</v>
      </c>
      <c r="F305" t="s">
        <v>45</v>
      </c>
      <c r="G305" t="s">
        <v>884</v>
      </c>
      <c r="H305">
        <v>351</v>
      </c>
      <c r="I305" t="s">
        <v>885</v>
      </c>
      <c r="J305" s="5" t="s">
        <v>8694</v>
      </c>
      <c r="L305">
        <v>1</v>
      </c>
      <c r="M305" t="s">
        <v>6339</v>
      </c>
      <c r="N305" t="s">
        <v>6340</v>
      </c>
      <c r="O305" t="s">
        <v>12</v>
      </c>
      <c r="P305" t="s">
        <v>6341</v>
      </c>
      <c r="Q305">
        <v>522480</v>
      </c>
      <c r="R305" s="16" t="s">
        <v>8414</v>
      </c>
      <c r="S305" s="16" t="s">
        <v>8118</v>
      </c>
      <c r="T305" t="s">
        <v>7810</v>
      </c>
      <c r="U305">
        <v>1</v>
      </c>
    </row>
    <row r="306" spans="1:21">
      <c r="A306">
        <v>320</v>
      </c>
      <c r="B306" t="s">
        <v>7252</v>
      </c>
      <c r="C306" t="s">
        <v>824</v>
      </c>
      <c r="D306">
        <v>1035</v>
      </c>
      <c r="E306">
        <v>11</v>
      </c>
      <c r="F306" t="s">
        <v>40</v>
      </c>
      <c r="G306" t="s">
        <v>825</v>
      </c>
      <c r="H306">
        <v>357</v>
      </c>
      <c r="I306" t="s">
        <v>826</v>
      </c>
      <c r="J306" s="5" t="s">
        <v>8691</v>
      </c>
      <c r="L306">
        <v>1</v>
      </c>
      <c r="M306" t="s">
        <v>6419</v>
      </c>
      <c r="N306" t="s">
        <v>6420</v>
      </c>
      <c r="O306" t="s">
        <v>12</v>
      </c>
      <c r="P306">
        <v>-13160</v>
      </c>
      <c r="Q306">
        <v>510600</v>
      </c>
      <c r="R306" s="16" t="s">
        <v>8408</v>
      </c>
      <c r="S306" s="16" t="s">
        <v>8059</v>
      </c>
      <c r="T306" t="s">
        <v>7811</v>
      </c>
      <c r="U306">
        <v>1</v>
      </c>
    </row>
    <row r="307" spans="1:21">
      <c r="A307">
        <v>321</v>
      </c>
      <c r="B307" t="s">
        <v>7253</v>
      </c>
      <c r="C307" t="s">
        <v>904</v>
      </c>
      <c r="D307">
        <v>1157</v>
      </c>
      <c r="E307">
        <v>12</v>
      </c>
      <c r="F307" t="s">
        <v>13</v>
      </c>
      <c r="G307" t="s">
        <v>905</v>
      </c>
      <c r="H307">
        <v>358</v>
      </c>
      <c r="I307" t="s">
        <v>906</v>
      </c>
      <c r="J307" s="5" t="s">
        <v>8692</v>
      </c>
      <c r="L307">
        <v>1</v>
      </c>
      <c r="M307" t="s">
        <v>6348</v>
      </c>
      <c r="N307" t="s">
        <v>6349</v>
      </c>
      <c r="O307" t="s">
        <v>12</v>
      </c>
      <c r="P307">
        <v>10810</v>
      </c>
      <c r="Q307">
        <v>512810</v>
      </c>
      <c r="R307" s="16" t="s">
        <v>8360</v>
      </c>
      <c r="S307" s="16" t="s">
        <v>8063</v>
      </c>
      <c r="T307" t="s">
        <v>7253</v>
      </c>
      <c r="U307">
        <v>1</v>
      </c>
    </row>
    <row r="308" spans="1:21">
      <c r="A308">
        <v>322</v>
      </c>
      <c r="B308" t="s">
        <v>7254</v>
      </c>
      <c r="C308" t="s">
        <v>957</v>
      </c>
      <c r="D308">
        <v>1181</v>
      </c>
      <c r="E308">
        <v>12</v>
      </c>
      <c r="F308" t="s">
        <v>4124</v>
      </c>
      <c r="G308" t="s">
        <v>958</v>
      </c>
      <c r="H308">
        <v>362</v>
      </c>
      <c r="I308" t="s">
        <v>959</v>
      </c>
      <c r="J308" t="s">
        <v>8676</v>
      </c>
      <c r="L308">
        <v>1</v>
      </c>
      <c r="M308" t="s">
        <v>6391</v>
      </c>
      <c r="N308" t="s">
        <v>6346</v>
      </c>
      <c r="O308" t="s">
        <v>12</v>
      </c>
      <c r="P308" t="s">
        <v>6392</v>
      </c>
      <c r="Q308">
        <v>523970</v>
      </c>
      <c r="R308" s="16" t="s">
        <v>8419</v>
      </c>
      <c r="S308" s="16" t="s">
        <v>8123</v>
      </c>
      <c r="T308" t="s">
        <v>7812</v>
      </c>
      <c r="U308">
        <v>1</v>
      </c>
    </row>
    <row r="309" spans="1:21">
      <c r="A309">
        <v>323</v>
      </c>
      <c r="B309" t="s">
        <v>7255</v>
      </c>
      <c r="C309" t="s">
        <v>889</v>
      </c>
      <c r="D309">
        <v>1134</v>
      </c>
      <c r="E309">
        <v>12</v>
      </c>
      <c r="F309" t="s">
        <v>35</v>
      </c>
      <c r="G309" t="s">
        <v>890</v>
      </c>
      <c r="H309">
        <v>379</v>
      </c>
      <c r="I309" t="s">
        <v>891</v>
      </c>
      <c r="J309" t="s">
        <v>8677</v>
      </c>
      <c r="L309">
        <v>1</v>
      </c>
      <c r="M309" t="s">
        <v>6450</v>
      </c>
      <c r="N309" t="s">
        <v>6451</v>
      </c>
      <c r="O309" t="s">
        <v>12</v>
      </c>
      <c r="P309">
        <v>-20390</v>
      </c>
      <c r="Q309">
        <v>515870</v>
      </c>
      <c r="R309" s="16" t="s">
        <v>8362</v>
      </c>
      <c r="S309" s="16" t="s">
        <v>8066</v>
      </c>
      <c r="T309" t="s">
        <v>7813</v>
      </c>
      <c r="U309">
        <v>1</v>
      </c>
    </row>
    <row r="310" spans="1:21">
      <c r="A310">
        <v>324</v>
      </c>
      <c r="B310" t="s">
        <v>7256</v>
      </c>
      <c r="C310" t="s">
        <v>948</v>
      </c>
      <c r="D310">
        <v>1175</v>
      </c>
      <c r="E310">
        <v>12</v>
      </c>
      <c r="F310" t="s">
        <v>27</v>
      </c>
      <c r="G310" t="s">
        <v>949</v>
      </c>
      <c r="H310">
        <v>380</v>
      </c>
      <c r="I310" t="s">
        <v>950</v>
      </c>
      <c r="J310" t="s">
        <v>8678</v>
      </c>
      <c r="L310">
        <v>1</v>
      </c>
      <c r="M310" t="s">
        <v>6486</v>
      </c>
      <c r="N310" t="s">
        <v>6487</v>
      </c>
      <c r="O310" t="s">
        <v>12</v>
      </c>
      <c r="P310" t="s">
        <v>6488</v>
      </c>
      <c r="Q310">
        <v>517520</v>
      </c>
      <c r="R310" s="16" t="s">
        <v>8357</v>
      </c>
      <c r="S310" s="16" t="s">
        <v>8060</v>
      </c>
      <c r="T310" t="s">
        <v>7256</v>
      </c>
      <c r="U310">
        <v>1</v>
      </c>
    </row>
    <row r="311" spans="1:21">
      <c r="A311">
        <v>325</v>
      </c>
      <c r="B311" t="s">
        <v>7260</v>
      </c>
      <c r="C311" t="s">
        <v>460</v>
      </c>
      <c r="D311">
        <v>1175</v>
      </c>
      <c r="E311">
        <v>12</v>
      </c>
      <c r="F311" t="s">
        <v>27</v>
      </c>
      <c r="G311" t="s">
        <v>946</v>
      </c>
      <c r="H311">
        <v>391</v>
      </c>
      <c r="I311" t="s">
        <v>947</v>
      </c>
      <c r="J311" t="s">
        <v>8974</v>
      </c>
      <c r="L311">
        <v>1</v>
      </c>
      <c r="M311" t="s">
        <v>6486</v>
      </c>
      <c r="N311" t="s">
        <v>6487</v>
      </c>
      <c r="O311" t="s">
        <v>12</v>
      </c>
      <c r="P311" t="s">
        <v>6488</v>
      </c>
      <c r="Q311">
        <v>517520</v>
      </c>
      <c r="R311" s="16" t="s">
        <v>8357</v>
      </c>
      <c r="S311" s="16" t="s">
        <v>8060</v>
      </c>
      <c r="T311" t="s">
        <v>7260</v>
      </c>
      <c r="U311">
        <v>1</v>
      </c>
    </row>
    <row r="312" spans="1:21">
      <c r="A312">
        <v>326</v>
      </c>
      <c r="B312" t="s">
        <v>5565</v>
      </c>
      <c r="C312" t="s">
        <v>827</v>
      </c>
      <c r="D312">
        <v>1061</v>
      </c>
      <c r="E312">
        <v>11</v>
      </c>
      <c r="F312" t="s">
        <v>258</v>
      </c>
      <c r="G312" t="s">
        <v>828</v>
      </c>
      <c r="H312">
        <v>48</v>
      </c>
      <c r="I312" t="s">
        <v>829</v>
      </c>
      <c r="J312" t="s">
        <v>8975</v>
      </c>
      <c r="L312">
        <v>1</v>
      </c>
      <c r="M312" t="s">
        <v>6396</v>
      </c>
      <c r="N312" t="s">
        <v>6397</v>
      </c>
      <c r="O312" t="s">
        <v>12</v>
      </c>
      <c r="P312">
        <v>-35330</v>
      </c>
      <c r="Q312">
        <v>507180</v>
      </c>
      <c r="R312" s="16" t="s">
        <v>8359</v>
      </c>
      <c r="S312" s="16" t="s">
        <v>8062</v>
      </c>
      <c r="T312" t="s">
        <v>5565</v>
      </c>
      <c r="U312">
        <v>1</v>
      </c>
    </row>
    <row r="313" spans="1:21">
      <c r="A313">
        <v>327</v>
      </c>
      <c r="B313" t="s">
        <v>5567</v>
      </c>
      <c r="C313" t="s">
        <v>827</v>
      </c>
      <c r="D313">
        <v>1061</v>
      </c>
      <c r="E313">
        <v>11</v>
      </c>
      <c r="F313" t="s">
        <v>258</v>
      </c>
      <c r="G313" t="s">
        <v>830</v>
      </c>
      <c r="H313">
        <v>54</v>
      </c>
      <c r="I313" t="s">
        <v>831</v>
      </c>
      <c r="J313" t="s">
        <v>8695</v>
      </c>
      <c r="L313">
        <v>1</v>
      </c>
      <c r="M313" t="s">
        <v>6396</v>
      </c>
      <c r="N313" t="s">
        <v>6397</v>
      </c>
      <c r="O313" t="s">
        <v>12</v>
      </c>
      <c r="P313">
        <v>-35330</v>
      </c>
      <c r="Q313">
        <v>507180</v>
      </c>
      <c r="R313" s="16" t="s">
        <v>8359</v>
      </c>
      <c r="S313" s="16" t="s">
        <v>8062</v>
      </c>
      <c r="T313" t="s">
        <v>5567</v>
      </c>
      <c r="U313">
        <v>1</v>
      </c>
    </row>
    <row r="314" spans="1:21">
      <c r="A314">
        <v>302</v>
      </c>
      <c r="B314" t="s">
        <v>7236</v>
      </c>
      <c r="C314" t="s">
        <v>993</v>
      </c>
      <c r="D314">
        <v>1250</v>
      </c>
      <c r="E314">
        <v>13</v>
      </c>
      <c r="F314" t="s">
        <v>4311</v>
      </c>
      <c r="G314" t="s">
        <v>994</v>
      </c>
      <c r="H314">
        <v>317</v>
      </c>
      <c r="I314" t="s">
        <v>995</v>
      </c>
      <c r="J314" t="s">
        <v>8668</v>
      </c>
      <c r="L314">
        <v>1</v>
      </c>
      <c r="M314" t="s">
        <v>4232</v>
      </c>
      <c r="N314" t="s">
        <v>6346</v>
      </c>
      <c r="O314" t="s">
        <v>12</v>
      </c>
      <c r="P314" t="s">
        <v>6347</v>
      </c>
      <c r="Q314">
        <v>522053</v>
      </c>
      <c r="R314" s="16" t="s">
        <v>6347</v>
      </c>
      <c r="S314" s="16" t="s">
        <v>8161</v>
      </c>
      <c r="T314" t="s">
        <v>7808</v>
      </c>
      <c r="U314">
        <v>0</v>
      </c>
    </row>
    <row r="315" spans="1:21">
      <c r="A315">
        <v>280</v>
      </c>
      <c r="B315" t="s">
        <v>5561</v>
      </c>
      <c r="C315" t="s">
        <v>1026</v>
      </c>
      <c r="D315">
        <v>1278</v>
      </c>
      <c r="E315">
        <v>13</v>
      </c>
      <c r="F315" t="s">
        <v>12</v>
      </c>
      <c r="G315" t="s">
        <v>1027</v>
      </c>
      <c r="H315">
        <v>324</v>
      </c>
      <c r="I315" t="s">
        <v>1028</v>
      </c>
      <c r="J315" t="s">
        <v>8668</v>
      </c>
      <c r="L315">
        <v>0</v>
      </c>
      <c r="R315" s="16" t="s">
        <v>8064</v>
      </c>
      <c r="S315" s="16" t="s">
        <v>8064</v>
      </c>
      <c r="T315" t="s">
        <v>5561</v>
      </c>
      <c r="U315">
        <v>0</v>
      </c>
    </row>
    <row r="316" spans="1:21">
      <c r="A316">
        <v>281</v>
      </c>
      <c r="B316" t="s">
        <v>7223</v>
      </c>
      <c r="C316" t="s">
        <v>1029</v>
      </c>
      <c r="D316">
        <v>1280</v>
      </c>
      <c r="E316">
        <v>13</v>
      </c>
      <c r="F316" t="s">
        <v>12</v>
      </c>
      <c r="G316" t="s">
        <v>1030</v>
      </c>
      <c r="H316">
        <v>325</v>
      </c>
      <c r="I316" t="s">
        <v>1031</v>
      </c>
      <c r="J316" t="s">
        <v>8668</v>
      </c>
      <c r="L316">
        <v>0</v>
      </c>
      <c r="R316" s="16" t="s">
        <v>8064</v>
      </c>
      <c r="S316" s="16" t="s">
        <v>8064</v>
      </c>
      <c r="T316" t="s">
        <v>7223</v>
      </c>
      <c r="U316">
        <v>0</v>
      </c>
    </row>
    <row r="317" spans="1:21">
      <c r="A317">
        <v>282</v>
      </c>
      <c r="B317" t="s">
        <v>5562</v>
      </c>
      <c r="C317" t="s">
        <v>1035</v>
      </c>
      <c r="D317">
        <v>1284</v>
      </c>
      <c r="E317">
        <v>13</v>
      </c>
      <c r="F317" t="s">
        <v>4237</v>
      </c>
      <c r="G317" t="s">
        <v>1036</v>
      </c>
      <c r="H317">
        <v>327</v>
      </c>
      <c r="I317" t="s">
        <v>1037</v>
      </c>
      <c r="J317" t="s">
        <v>8668</v>
      </c>
      <c r="L317">
        <v>1</v>
      </c>
      <c r="M317" t="s">
        <v>7010</v>
      </c>
      <c r="N317" t="s">
        <v>7011</v>
      </c>
      <c r="O317" t="s">
        <v>6984</v>
      </c>
      <c r="P317">
        <v>-10530</v>
      </c>
      <c r="Q317">
        <v>521180</v>
      </c>
      <c r="R317" s="16" t="s">
        <v>8547</v>
      </c>
      <c r="S317" s="16" t="s">
        <v>8253</v>
      </c>
      <c r="T317" t="s">
        <v>5562</v>
      </c>
      <c r="U317">
        <v>0</v>
      </c>
    </row>
    <row r="318" spans="1:21">
      <c r="A318">
        <v>284</v>
      </c>
      <c r="B318" t="s">
        <v>7258</v>
      </c>
      <c r="C318" t="s">
        <v>1005</v>
      </c>
      <c r="D318">
        <v>1261</v>
      </c>
      <c r="E318">
        <v>13</v>
      </c>
      <c r="F318" t="s">
        <v>3995</v>
      </c>
      <c r="G318" t="s">
        <v>1006</v>
      </c>
      <c r="H318">
        <v>329</v>
      </c>
      <c r="I318" t="s">
        <v>1007</v>
      </c>
      <c r="J318" t="s">
        <v>8668</v>
      </c>
      <c r="L318">
        <v>1</v>
      </c>
      <c r="M318" t="s">
        <v>3995</v>
      </c>
      <c r="N318" t="s">
        <v>3995</v>
      </c>
      <c r="O318" t="s">
        <v>3995</v>
      </c>
      <c r="P318" t="s">
        <v>6556</v>
      </c>
      <c r="Q318" t="s">
        <v>6557</v>
      </c>
      <c r="R318" s="16" t="s">
        <v>6556</v>
      </c>
      <c r="S318" s="16" t="s">
        <v>6557</v>
      </c>
      <c r="T318" t="s">
        <v>7258</v>
      </c>
      <c r="U318">
        <v>0</v>
      </c>
    </row>
    <row r="319" spans="1:21">
      <c r="A319">
        <v>285</v>
      </c>
      <c r="B319" t="s">
        <v>5405</v>
      </c>
      <c r="C319" t="s">
        <v>972</v>
      </c>
      <c r="D319">
        <v>1204</v>
      </c>
      <c r="E319">
        <v>13</v>
      </c>
      <c r="F319" t="s">
        <v>4291</v>
      </c>
      <c r="G319" t="s">
        <v>973</v>
      </c>
      <c r="H319">
        <v>330</v>
      </c>
      <c r="I319" t="s">
        <v>974</v>
      </c>
      <c r="J319" t="s">
        <v>8668</v>
      </c>
      <c r="L319">
        <v>1</v>
      </c>
      <c r="M319" t="s">
        <v>6444</v>
      </c>
      <c r="N319" t="s">
        <v>6416</v>
      </c>
      <c r="O319" t="s">
        <v>11</v>
      </c>
      <c r="P319">
        <v>95030</v>
      </c>
      <c r="Q319">
        <v>453140</v>
      </c>
      <c r="R319" s="16" t="s">
        <v>8548</v>
      </c>
      <c r="S319" s="16" t="s">
        <v>8254</v>
      </c>
      <c r="T319" t="s">
        <v>7909</v>
      </c>
      <c r="U319">
        <v>0</v>
      </c>
    </row>
    <row r="320" spans="1:21">
      <c r="A320">
        <v>286</v>
      </c>
      <c r="B320" t="s">
        <v>5406</v>
      </c>
      <c r="C320" t="s">
        <v>892</v>
      </c>
      <c r="D320">
        <v>1138</v>
      </c>
      <c r="E320">
        <v>12</v>
      </c>
      <c r="F320" t="s">
        <v>4052</v>
      </c>
      <c r="G320" t="s">
        <v>893</v>
      </c>
      <c r="H320">
        <v>331</v>
      </c>
      <c r="I320" t="s">
        <v>894</v>
      </c>
      <c r="J320" t="s">
        <v>8668</v>
      </c>
      <c r="L320">
        <v>1</v>
      </c>
      <c r="M320" t="s">
        <v>6421</v>
      </c>
      <c r="N320" t="s">
        <v>6422</v>
      </c>
      <c r="O320" t="s">
        <v>6423</v>
      </c>
      <c r="P320">
        <v>352137</v>
      </c>
      <c r="Q320">
        <v>317683</v>
      </c>
      <c r="R320" s="16" t="s">
        <v>8407</v>
      </c>
      <c r="S320" s="16" t="s">
        <v>8111</v>
      </c>
      <c r="T320" t="s">
        <v>5406</v>
      </c>
      <c r="U320">
        <v>0</v>
      </c>
    </row>
    <row r="321" spans="1:21">
      <c r="A321">
        <v>287</v>
      </c>
      <c r="B321" t="s">
        <v>5404</v>
      </c>
      <c r="C321" t="s">
        <v>960</v>
      </c>
      <c r="D321">
        <v>1175</v>
      </c>
      <c r="E321">
        <v>12</v>
      </c>
      <c r="F321" t="s">
        <v>4016</v>
      </c>
      <c r="G321" t="s">
        <v>961</v>
      </c>
      <c r="H321">
        <v>331</v>
      </c>
      <c r="I321" t="s">
        <v>962</v>
      </c>
      <c r="J321" t="s">
        <v>8668</v>
      </c>
      <c r="L321">
        <v>0</v>
      </c>
      <c r="R321" s="16" t="s">
        <v>8064</v>
      </c>
      <c r="S321" s="16" t="s">
        <v>8064</v>
      </c>
      <c r="T321" t="s">
        <v>7910</v>
      </c>
      <c r="U321">
        <v>0</v>
      </c>
    </row>
    <row r="322" spans="1:21">
      <c r="A322">
        <v>289</v>
      </c>
      <c r="B322" t="s">
        <v>7224</v>
      </c>
      <c r="C322" t="s">
        <v>1011</v>
      </c>
      <c r="D322">
        <v>1264</v>
      </c>
      <c r="E322">
        <v>13</v>
      </c>
      <c r="F322" t="s">
        <v>4295</v>
      </c>
      <c r="G322" t="s">
        <v>1012</v>
      </c>
      <c r="H322">
        <v>336</v>
      </c>
      <c r="I322" t="s">
        <v>1013</v>
      </c>
      <c r="J322" t="s">
        <v>8668</v>
      </c>
      <c r="L322">
        <v>1</v>
      </c>
      <c r="M322" t="s">
        <v>6835</v>
      </c>
      <c r="N322" t="s">
        <v>6836</v>
      </c>
      <c r="O322" t="s">
        <v>12</v>
      </c>
      <c r="P322" t="s">
        <v>6837</v>
      </c>
      <c r="Q322" t="s">
        <v>6838</v>
      </c>
      <c r="R322" s="16" t="s">
        <v>8456</v>
      </c>
      <c r="S322" s="16" t="s">
        <v>8160</v>
      </c>
      <c r="T322" t="s">
        <v>7224</v>
      </c>
      <c r="U322">
        <v>0</v>
      </c>
    </row>
    <row r="323" spans="1:21">
      <c r="A323">
        <v>290</v>
      </c>
      <c r="B323" t="s">
        <v>7225</v>
      </c>
      <c r="C323" t="s">
        <v>969</v>
      </c>
      <c r="D323">
        <v>1193</v>
      </c>
      <c r="E323">
        <v>12</v>
      </c>
      <c r="F323" t="s">
        <v>13</v>
      </c>
      <c r="G323" t="s">
        <v>970</v>
      </c>
      <c r="H323">
        <v>341</v>
      </c>
      <c r="I323" t="s">
        <v>971</v>
      </c>
      <c r="J323" t="s">
        <v>8668</v>
      </c>
      <c r="L323">
        <v>1</v>
      </c>
      <c r="M323" t="s">
        <v>6348</v>
      </c>
      <c r="N323" t="s">
        <v>6349</v>
      </c>
      <c r="O323" t="s">
        <v>12</v>
      </c>
      <c r="P323">
        <v>10810</v>
      </c>
      <c r="Q323">
        <v>512810</v>
      </c>
      <c r="R323" s="16" t="s">
        <v>8360</v>
      </c>
      <c r="S323" s="16" t="s">
        <v>8063</v>
      </c>
      <c r="T323" t="s">
        <v>7806</v>
      </c>
      <c r="U323">
        <v>0</v>
      </c>
    </row>
    <row r="324" spans="1:21">
      <c r="A324">
        <v>291</v>
      </c>
      <c r="B324" t="s">
        <v>7226</v>
      </c>
      <c r="C324" t="s">
        <v>1041</v>
      </c>
      <c r="D324">
        <v>1297</v>
      </c>
      <c r="E324">
        <v>13</v>
      </c>
      <c r="F324" t="s">
        <v>112</v>
      </c>
      <c r="G324" t="s">
        <v>1042</v>
      </c>
      <c r="H324">
        <v>342</v>
      </c>
      <c r="I324" t="s">
        <v>1043</v>
      </c>
      <c r="J324" t="s">
        <v>8668</v>
      </c>
      <c r="L324">
        <v>1</v>
      </c>
      <c r="M324" t="s">
        <v>6684</v>
      </c>
      <c r="N324" t="s">
        <v>6346</v>
      </c>
      <c r="O324" t="s">
        <v>12</v>
      </c>
      <c r="P324" t="s">
        <v>6685</v>
      </c>
      <c r="Q324" t="s">
        <v>6686</v>
      </c>
      <c r="R324" s="16" t="s">
        <v>8420</v>
      </c>
      <c r="S324" s="16" t="s">
        <v>8124</v>
      </c>
      <c r="T324" t="s">
        <v>7226</v>
      </c>
      <c r="U324">
        <v>0</v>
      </c>
    </row>
    <row r="325" spans="1:21">
      <c r="A325">
        <v>292</v>
      </c>
      <c r="B325" t="s">
        <v>7227</v>
      </c>
      <c r="C325" t="s">
        <v>1023</v>
      </c>
      <c r="D325">
        <v>1276</v>
      </c>
      <c r="E325">
        <v>13</v>
      </c>
      <c r="F325" t="s">
        <v>12</v>
      </c>
      <c r="G325" t="s">
        <v>1024</v>
      </c>
      <c r="H325">
        <v>345</v>
      </c>
      <c r="I325" t="s">
        <v>1025</v>
      </c>
      <c r="J325" t="s">
        <v>8668</v>
      </c>
      <c r="L325">
        <v>0</v>
      </c>
      <c r="R325" s="16" t="s">
        <v>8064</v>
      </c>
      <c r="S325" s="16" t="s">
        <v>8064</v>
      </c>
      <c r="T325" t="s">
        <v>7807</v>
      </c>
      <c r="U325">
        <v>0</v>
      </c>
    </row>
    <row r="326" spans="1:21">
      <c r="A326">
        <v>293</v>
      </c>
      <c r="B326" t="s">
        <v>7228</v>
      </c>
      <c r="C326" t="s">
        <v>937</v>
      </c>
      <c r="D326">
        <v>1179</v>
      </c>
      <c r="E326">
        <v>12</v>
      </c>
      <c r="F326" t="s">
        <v>32</v>
      </c>
      <c r="G326" t="s">
        <v>938</v>
      </c>
      <c r="H326">
        <v>351</v>
      </c>
      <c r="I326" t="s">
        <v>939</v>
      </c>
      <c r="J326" t="s">
        <v>8668</v>
      </c>
      <c r="L326">
        <v>1</v>
      </c>
      <c r="M326" t="s">
        <v>4502</v>
      </c>
      <c r="N326" t="s">
        <v>6456</v>
      </c>
      <c r="O326" t="s">
        <v>104</v>
      </c>
      <c r="P326">
        <v>23522</v>
      </c>
      <c r="Q326">
        <v>488566</v>
      </c>
      <c r="R326" s="16" t="s">
        <v>8364</v>
      </c>
      <c r="S326" s="16" t="s">
        <v>8069</v>
      </c>
      <c r="T326" t="s">
        <v>7228</v>
      </c>
      <c r="U326">
        <v>0</v>
      </c>
    </row>
    <row r="327" spans="1:21">
      <c r="A327">
        <v>316</v>
      </c>
      <c r="B327" t="s">
        <v>7250</v>
      </c>
      <c r="C327" t="s">
        <v>918</v>
      </c>
      <c r="D327">
        <v>1167</v>
      </c>
      <c r="E327">
        <v>12</v>
      </c>
      <c r="F327" t="s">
        <v>104</v>
      </c>
      <c r="G327" t="s">
        <v>927</v>
      </c>
      <c r="H327">
        <v>351</v>
      </c>
      <c r="I327" t="s">
        <v>928</v>
      </c>
      <c r="J327" t="s">
        <v>8668</v>
      </c>
      <c r="L327">
        <v>0</v>
      </c>
      <c r="R327" s="16" t="s">
        <v>8064</v>
      </c>
      <c r="S327" s="16" t="s">
        <v>8064</v>
      </c>
      <c r="T327" t="s">
        <v>7250</v>
      </c>
      <c r="U327">
        <v>0</v>
      </c>
    </row>
    <row r="328" spans="1:21">
      <c r="A328">
        <v>294</v>
      </c>
      <c r="B328" t="s">
        <v>7229</v>
      </c>
      <c r="C328" t="s">
        <v>937</v>
      </c>
      <c r="D328">
        <v>1179</v>
      </c>
      <c r="E328">
        <v>12</v>
      </c>
      <c r="F328" t="s">
        <v>32</v>
      </c>
      <c r="G328" t="s">
        <v>940</v>
      </c>
      <c r="H328">
        <v>357</v>
      </c>
      <c r="I328" t="s">
        <v>941</v>
      </c>
      <c r="J328" t="s">
        <v>8668</v>
      </c>
      <c r="L328">
        <v>1</v>
      </c>
      <c r="M328" t="s">
        <v>4502</v>
      </c>
      <c r="N328" t="s">
        <v>6456</v>
      </c>
      <c r="O328" t="s">
        <v>104</v>
      </c>
      <c r="P328">
        <v>23522</v>
      </c>
      <c r="Q328">
        <v>488566</v>
      </c>
      <c r="R328" s="16" t="s">
        <v>8364</v>
      </c>
      <c r="S328" s="16" t="s">
        <v>8069</v>
      </c>
      <c r="T328" t="s">
        <v>7229</v>
      </c>
      <c r="U328">
        <v>0</v>
      </c>
    </row>
    <row r="329" spans="1:21">
      <c r="A329">
        <v>317</v>
      </c>
      <c r="B329" t="s">
        <v>5564</v>
      </c>
      <c r="C329" t="s">
        <v>1047</v>
      </c>
      <c r="D329">
        <v>1299</v>
      </c>
      <c r="E329">
        <v>13</v>
      </c>
      <c r="F329" t="s">
        <v>104</v>
      </c>
      <c r="G329" t="s">
        <v>1048</v>
      </c>
      <c r="H329">
        <v>357</v>
      </c>
      <c r="I329" t="s">
        <v>1049</v>
      </c>
      <c r="J329" t="s">
        <v>8668</v>
      </c>
      <c r="L329">
        <v>0</v>
      </c>
      <c r="R329" s="16" t="s">
        <v>8064</v>
      </c>
      <c r="S329" s="16" t="s">
        <v>8064</v>
      </c>
      <c r="T329" t="s">
        <v>5564</v>
      </c>
      <c r="U329">
        <v>0</v>
      </c>
    </row>
    <row r="330" spans="1:21">
      <c r="A330">
        <v>295</v>
      </c>
      <c r="B330" t="s">
        <v>7230</v>
      </c>
      <c r="C330" t="s">
        <v>937</v>
      </c>
      <c r="D330">
        <v>1179</v>
      </c>
      <c r="E330">
        <v>12</v>
      </c>
      <c r="F330" t="s">
        <v>32</v>
      </c>
      <c r="G330" t="s">
        <v>942</v>
      </c>
      <c r="H330">
        <v>358</v>
      </c>
      <c r="I330" t="s">
        <v>943</v>
      </c>
      <c r="J330" t="s">
        <v>8668</v>
      </c>
      <c r="L330">
        <v>1</v>
      </c>
      <c r="M330" t="s">
        <v>4502</v>
      </c>
      <c r="N330" t="s">
        <v>6456</v>
      </c>
      <c r="O330" t="s">
        <v>104</v>
      </c>
      <c r="P330">
        <v>23522</v>
      </c>
      <c r="Q330">
        <v>488566</v>
      </c>
      <c r="R330" s="16" t="s">
        <v>8364</v>
      </c>
      <c r="S330" s="16" t="s">
        <v>8069</v>
      </c>
      <c r="T330" t="s">
        <v>7230</v>
      </c>
      <c r="U330">
        <v>0</v>
      </c>
    </row>
    <row r="331" spans="1:21">
      <c r="A331">
        <v>296</v>
      </c>
      <c r="B331" t="s">
        <v>7259</v>
      </c>
      <c r="C331" t="s">
        <v>1050</v>
      </c>
      <c r="D331">
        <v>1299</v>
      </c>
      <c r="E331">
        <v>13</v>
      </c>
      <c r="F331" t="s">
        <v>12</v>
      </c>
      <c r="G331" t="s">
        <v>1051</v>
      </c>
      <c r="H331">
        <v>362</v>
      </c>
      <c r="I331" t="s">
        <v>1052</v>
      </c>
      <c r="J331" t="s">
        <v>8668</v>
      </c>
      <c r="L331">
        <v>0</v>
      </c>
      <c r="R331" s="16" t="s">
        <v>8064</v>
      </c>
      <c r="S331" s="16" t="s">
        <v>8064</v>
      </c>
      <c r="T331" t="s">
        <v>7259</v>
      </c>
      <c r="U331">
        <v>0</v>
      </c>
    </row>
    <row r="332" spans="1:21">
      <c r="A332">
        <v>319</v>
      </c>
      <c r="B332" t="s">
        <v>5552</v>
      </c>
      <c r="C332" t="s">
        <v>963</v>
      </c>
      <c r="D332">
        <v>1189</v>
      </c>
      <c r="E332">
        <v>12</v>
      </c>
      <c r="F332" t="s">
        <v>12</v>
      </c>
      <c r="G332" t="s">
        <v>964</v>
      </c>
      <c r="H332">
        <v>362</v>
      </c>
      <c r="I332" t="s">
        <v>965</v>
      </c>
      <c r="J332" t="s">
        <v>8668</v>
      </c>
      <c r="L332">
        <v>0</v>
      </c>
      <c r="R332" s="16" t="s">
        <v>8064</v>
      </c>
      <c r="S332" s="16" t="s">
        <v>8064</v>
      </c>
      <c r="T332" t="s">
        <v>5552</v>
      </c>
      <c r="U332">
        <v>0</v>
      </c>
    </row>
    <row r="333" spans="1:21">
      <c r="A333">
        <v>297</v>
      </c>
      <c r="B333" t="s">
        <v>7231</v>
      </c>
      <c r="C333" t="s">
        <v>898</v>
      </c>
      <c r="D333">
        <v>1132</v>
      </c>
      <c r="E333">
        <v>12</v>
      </c>
      <c r="F333" t="s">
        <v>4305</v>
      </c>
      <c r="G333" t="s">
        <v>899</v>
      </c>
      <c r="H333">
        <v>379</v>
      </c>
      <c r="I333" t="s">
        <v>900</v>
      </c>
      <c r="J333" t="s">
        <v>8668</v>
      </c>
      <c r="L333">
        <v>1</v>
      </c>
      <c r="M333" t="s">
        <v>6729</v>
      </c>
      <c r="N333" t="s">
        <v>6730</v>
      </c>
      <c r="O333" t="s">
        <v>12</v>
      </c>
      <c r="P333" t="s">
        <v>6731</v>
      </c>
      <c r="Q333" t="s">
        <v>6732</v>
      </c>
      <c r="R333" s="16" t="s">
        <v>8422</v>
      </c>
      <c r="S333" s="16" t="s">
        <v>8126</v>
      </c>
      <c r="T333" t="s">
        <v>7231</v>
      </c>
      <c r="U333">
        <v>0</v>
      </c>
    </row>
    <row r="334" spans="1:21">
      <c r="A334">
        <v>298</v>
      </c>
      <c r="B334" t="s">
        <v>7232</v>
      </c>
      <c r="C334" t="s">
        <v>901</v>
      </c>
      <c r="D334">
        <v>1140</v>
      </c>
      <c r="E334">
        <v>12</v>
      </c>
      <c r="F334" t="s">
        <v>12</v>
      </c>
      <c r="G334" t="s">
        <v>902</v>
      </c>
      <c r="H334">
        <v>380</v>
      </c>
      <c r="I334" t="s">
        <v>903</v>
      </c>
      <c r="J334" t="s">
        <v>8668</v>
      </c>
      <c r="L334">
        <v>0</v>
      </c>
      <c r="R334" s="16" t="s">
        <v>8064</v>
      </c>
      <c r="S334" s="16" t="s">
        <v>8064</v>
      </c>
      <c r="T334" t="s">
        <v>7232</v>
      </c>
      <c r="U334">
        <v>0</v>
      </c>
    </row>
    <row r="335" spans="1:21">
      <c r="A335">
        <v>299</v>
      </c>
      <c r="B335" t="s">
        <v>7233</v>
      </c>
      <c r="C335" t="s">
        <v>907</v>
      </c>
      <c r="D335">
        <v>1162</v>
      </c>
      <c r="E335">
        <v>12</v>
      </c>
      <c r="F335" t="s">
        <v>27</v>
      </c>
      <c r="G335" t="s">
        <v>908</v>
      </c>
      <c r="H335">
        <v>391</v>
      </c>
      <c r="I335" t="s">
        <v>909</v>
      </c>
      <c r="J335" t="s">
        <v>8668</v>
      </c>
      <c r="L335">
        <v>1</v>
      </c>
      <c r="M335" t="s">
        <v>6486</v>
      </c>
      <c r="N335" t="s">
        <v>6487</v>
      </c>
      <c r="O335" t="s">
        <v>12</v>
      </c>
      <c r="P335" t="s">
        <v>6488</v>
      </c>
      <c r="Q335">
        <v>517520</v>
      </c>
      <c r="R335" s="16" t="s">
        <v>8357</v>
      </c>
      <c r="S335" s="16" t="s">
        <v>8060</v>
      </c>
      <c r="T335" t="s">
        <v>7233</v>
      </c>
      <c r="U335">
        <v>0</v>
      </c>
    </row>
    <row r="336" spans="1:21">
      <c r="A336">
        <v>381</v>
      </c>
      <c r="B336" t="s">
        <v>2202</v>
      </c>
      <c r="C336" t="s">
        <v>2037</v>
      </c>
      <c r="D336">
        <v>1283</v>
      </c>
      <c r="E336">
        <v>13</v>
      </c>
      <c r="F336" t="s">
        <v>1444</v>
      </c>
      <c r="G336" t="s">
        <v>4678</v>
      </c>
      <c r="I336" t="s">
        <v>2245</v>
      </c>
      <c r="J336" t="s">
        <v>8668</v>
      </c>
      <c r="L336">
        <v>0</v>
      </c>
      <c r="R336" s="16" t="s">
        <v>8064</v>
      </c>
      <c r="S336" s="16" t="s">
        <v>8064</v>
      </c>
      <c r="T336" t="s">
        <v>8049</v>
      </c>
      <c r="U336">
        <v>0</v>
      </c>
    </row>
    <row r="337" spans="1:21">
      <c r="A337">
        <v>374</v>
      </c>
      <c r="B337" t="s">
        <v>7264</v>
      </c>
      <c r="C337" t="s">
        <v>2035</v>
      </c>
      <c r="D337">
        <v>1253</v>
      </c>
      <c r="E337">
        <v>13</v>
      </c>
      <c r="F337" t="s">
        <v>4684</v>
      </c>
      <c r="G337" t="s">
        <v>4678</v>
      </c>
      <c r="I337" t="s">
        <v>2238</v>
      </c>
      <c r="J337" t="s">
        <v>8668</v>
      </c>
      <c r="L337">
        <v>1</v>
      </c>
      <c r="M337" t="s">
        <v>4684</v>
      </c>
      <c r="N337" t="s">
        <v>6305</v>
      </c>
      <c r="O337" t="s">
        <v>104</v>
      </c>
      <c r="P337">
        <v>32340</v>
      </c>
      <c r="Q337">
        <v>501750</v>
      </c>
      <c r="R337" s="16" t="s">
        <v>8461</v>
      </c>
      <c r="S337" s="16" t="s">
        <v>8165</v>
      </c>
      <c r="T337" t="s">
        <v>7264</v>
      </c>
      <c r="U337">
        <v>0</v>
      </c>
    </row>
    <row r="338" spans="1:21">
      <c r="A338">
        <v>373</v>
      </c>
      <c r="B338" t="s">
        <v>7265</v>
      </c>
      <c r="C338" t="s">
        <v>2035</v>
      </c>
      <c r="D338">
        <v>1253</v>
      </c>
      <c r="E338">
        <v>13</v>
      </c>
      <c r="F338" t="s">
        <v>1444</v>
      </c>
      <c r="G338" t="s">
        <v>4678</v>
      </c>
      <c r="I338" t="s">
        <v>2239</v>
      </c>
      <c r="J338" t="s">
        <v>8668</v>
      </c>
      <c r="L338">
        <v>0</v>
      </c>
      <c r="R338" s="16" t="s">
        <v>8064</v>
      </c>
      <c r="S338" s="16" t="s">
        <v>8064</v>
      </c>
      <c r="T338" t="s">
        <v>7265</v>
      </c>
      <c r="U338">
        <v>0</v>
      </c>
    </row>
    <row r="339" spans="1:21">
      <c r="A339">
        <v>371</v>
      </c>
      <c r="B339" t="s">
        <v>7266</v>
      </c>
      <c r="C339" t="s">
        <v>2033</v>
      </c>
      <c r="D339">
        <v>1243</v>
      </c>
      <c r="E339">
        <v>13</v>
      </c>
      <c r="F339" t="s">
        <v>1444</v>
      </c>
      <c r="G339" t="s">
        <v>4678</v>
      </c>
      <c r="I339" t="s">
        <v>2236</v>
      </c>
      <c r="J339" t="s">
        <v>8668</v>
      </c>
      <c r="L339">
        <v>0</v>
      </c>
      <c r="R339" s="16" t="s">
        <v>8064</v>
      </c>
      <c r="S339" s="16" t="s">
        <v>8064</v>
      </c>
      <c r="T339" t="s">
        <v>7814</v>
      </c>
      <c r="U339">
        <v>0</v>
      </c>
    </row>
    <row r="340" spans="1:21">
      <c r="A340">
        <v>359</v>
      </c>
      <c r="B340" t="s">
        <v>7267</v>
      </c>
      <c r="C340" t="s">
        <v>2026</v>
      </c>
      <c r="D340">
        <v>1207</v>
      </c>
      <c r="E340">
        <v>13</v>
      </c>
      <c r="F340" t="s">
        <v>1444</v>
      </c>
      <c r="G340" t="s">
        <v>4678</v>
      </c>
      <c r="I340" t="s">
        <v>2223</v>
      </c>
      <c r="J340" t="s">
        <v>8668</v>
      </c>
      <c r="L340">
        <v>0</v>
      </c>
      <c r="R340" s="16" t="s">
        <v>8064</v>
      </c>
      <c r="S340" s="16" t="s">
        <v>8064</v>
      </c>
      <c r="T340" t="s">
        <v>7267</v>
      </c>
      <c r="U340">
        <v>0</v>
      </c>
    </row>
    <row r="341" spans="1:21">
      <c r="A341">
        <v>350</v>
      </c>
      <c r="B341" t="s">
        <v>7268</v>
      </c>
      <c r="C341" t="s">
        <v>2020</v>
      </c>
      <c r="D341">
        <v>1129</v>
      </c>
      <c r="E341">
        <v>12</v>
      </c>
      <c r="F341" t="s">
        <v>1444</v>
      </c>
      <c r="G341" t="s">
        <v>4678</v>
      </c>
      <c r="I341" t="s">
        <v>2214</v>
      </c>
      <c r="J341" t="s">
        <v>8668</v>
      </c>
      <c r="L341">
        <v>0</v>
      </c>
      <c r="R341" s="16" t="s">
        <v>8064</v>
      </c>
      <c r="S341" s="16" t="s">
        <v>8064</v>
      </c>
      <c r="T341" t="s">
        <v>7815</v>
      </c>
      <c r="U341">
        <v>0</v>
      </c>
    </row>
    <row r="342" spans="1:21">
      <c r="A342">
        <v>380</v>
      </c>
      <c r="B342" t="s">
        <v>7269</v>
      </c>
      <c r="C342" t="s">
        <v>4687</v>
      </c>
      <c r="D342">
        <v>1279</v>
      </c>
      <c r="E342">
        <v>13</v>
      </c>
      <c r="F342" t="s">
        <v>1444</v>
      </c>
      <c r="G342" t="s">
        <v>4678</v>
      </c>
      <c r="I342" t="s">
        <v>2244</v>
      </c>
      <c r="J342" t="s">
        <v>8668</v>
      </c>
      <c r="L342">
        <v>0</v>
      </c>
      <c r="R342" s="16" t="s">
        <v>8064</v>
      </c>
      <c r="S342" s="16" t="s">
        <v>8064</v>
      </c>
      <c r="T342" t="s">
        <v>7269</v>
      </c>
      <c r="U342">
        <v>0</v>
      </c>
    </row>
    <row r="343" spans="1:21">
      <c r="A343">
        <v>364</v>
      </c>
      <c r="B343" t="s">
        <v>7270</v>
      </c>
      <c r="C343" t="s">
        <v>2031</v>
      </c>
      <c r="D343">
        <v>1240</v>
      </c>
      <c r="E343">
        <v>13</v>
      </c>
      <c r="F343" t="s">
        <v>1444</v>
      </c>
      <c r="G343" t="s">
        <v>4678</v>
      </c>
      <c r="I343" t="s">
        <v>2233</v>
      </c>
      <c r="J343" t="s">
        <v>8668</v>
      </c>
      <c r="L343">
        <v>0</v>
      </c>
      <c r="R343" s="16" t="s">
        <v>8064</v>
      </c>
      <c r="S343" s="16" t="s">
        <v>8064</v>
      </c>
      <c r="T343" t="s">
        <v>7270</v>
      </c>
      <c r="U343">
        <v>0</v>
      </c>
    </row>
    <row r="344" spans="1:21">
      <c r="A344">
        <v>383</v>
      </c>
      <c r="B344" t="s">
        <v>7271</v>
      </c>
      <c r="C344" t="s">
        <v>2038</v>
      </c>
      <c r="D344">
        <v>1297</v>
      </c>
      <c r="E344">
        <v>13</v>
      </c>
      <c r="F344" t="s">
        <v>1444</v>
      </c>
      <c r="G344" t="s">
        <v>4678</v>
      </c>
      <c r="I344" t="s">
        <v>2247</v>
      </c>
      <c r="J344" t="s">
        <v>8668</v>
      </c>
      <c r="L344">
        <v>0</v>
      </c>
      <c r="R344" s="16" t="s">
        <v>8064</v>
      </c>
      <c r="S344" s="16" t="s">
        <v>8064</v>
      </c>
      <c r="T344" t="s">
        <v>7271</v>
      </c>
      <c r="U344">
        <v>0</v>
      </c>
    </row>
    <row r="345" spans="1:21">
      <c r="A345">
        <v>375</v>
      </c>
      <c r="B345" t="s">
        <v>7272</v>
      </c>
      <c r="C345" t="s">
        <v>2034</v>
      </c>
      <c r="D345">
        <v>1255</v>
      </c>
      <c r="E345">
        <v>13</v>
      </c>
      <c r="F345" t="s">
        <v>1444</v>
      </c>
      <c r="G345" t="s">
        <v>4678</v>
      </c>
      <c r="I345" t="s">
        <v>2237</v>
      </c>
      <c r="J345" t="s">
        <v>8668</v>
      </c>
      <c r="L345">
        <v>0</v>
      </c>
      <c r="R345" s="16" t="s">
        <v>8064</v>
      </c>
      <c r="S345" s="16" t="s">
        <v>8064</v>
      </c>
      <c r="T345" t="s">
        <v>7816</v>
      </c>
      <c r="U345">
        <v>0</v>
      </c>
    </row>
    <row r="346" spans="1:21">
      <c r="A346">
        <v>355</v>
      </c>
      <c r="B346" t="s">
        <v>7273</v>
      </c>
      <c r="C346" t="s">
        <v>4682</v>
      </c>
      <c r="D346">
        <v>1165</v>
      </c>
      <c r="E346">
        <v>12</v>
      </c>
      <c r="F346" t="s">
        <v>1444</v>
      </c>
      <c r="G346" t="s">
        <v>4678</v>
      </c>
      <c r="I346" t="s">
        <v>2220</v>
      </c>
      <c r="J346" t="s">
        <v>8668</v>
      </c>
      <c r="L346">
        <v>0</v>
      </c>
      <c r="R346" s="16" t="s">
        <v>8064</v>
      </c>
      <c r="S346" s="16" t="s">
        <v>8064</v>
      </c>
      <c r="T346" t="s">
        <v>7273</v>
      </c>
      <c r="U346">
        <v>0</v>
      </c>
    </row>
    <row r="347" spans="1:21">
      <c r="A347">
        <v>365</v>
      </c>
      <c r="B347" t="s">
        <v>7274</v>
      </c>
      <c r="C347" t="s">
        <v>2031</v>
      </c>
      <c r="D347">
        <v>1240</v>
      </c>
      <c r="E347">
        <v>13</v>
      </c>
      <c r="F347" t="s">
        <v>1444</v>
      </c>
      <c r="G347" t="s">
        <v>4678</v>
      </c>
      <c r="I347" t="s">
        <v>2232</v>
      </c>
      <c r="J347" t="s">
        <v>8668</v>
      </c>
      <c r="L347">
        <v>0</v>
      </c>
      <c r="R347" s="16" t="s">
        <v>8064</v>
      </c>
      <c r="S347" s="16" t="s">
        <v>8064</v>
      </c>
      <c r="T347" t="s">
        <v>7274</v>
      </c>
      <c r="U347">
        <v>0</v>
      </c>
    </row>
    <row r="348" spans="1:21">
      <c r="A348">
        <v>370</v>
      </c>
      <c r="B348" t="s">
        <v>7275</v>
      </c>
      <c r="C348" t="s">
        <v>4683</v>
      </c>
      <c r="D348">
        <v>1241</v>
      </c>
      <c r="E348">
        <v>13</v>
      </c>
      <c r="F348" t="s">
        <v>1444</v>
      </c>
      <c r="G348" t="s">
        <v>4678</v>
      </c>
      <c r="I348" t="s">
        <v>2235</v>
      </c>
      <c r="J348" t="s">
        <v>8668</v>
      </c>
      <c r="L348">
        <v>0</v>
      </c>
      <c r="R348" s="16" t="s">
        <v>8064</v>
      </c>
      <c r="S348" s="16" t="s">
        <v>8064</v>
      </c>
      <c r="T348" t="s">
        <v>7275</v>
      </c>
      <c r="U348">
        <v>0</v>
      </c>
    </row>
    <row r="349" spans="1:21">
      <c r="A349">
        <v>376</v>
      </c>
      <c r="B349" t="s">
        <v>7276</v>
      </c>
      <c r="C349" t="s">
        <v>4685</v>
      </c>
      <c r="D349">
        <v>1266</v>
      </c>
      <c r="E349">
        <v>13</v>
      </c>
      <c r="F349" t="s">
        <v>1444</v>
      </c>
      <c r="G349" t="s">
        <v>4678</v>
      </c>
      <c r="I349" t="s">
        <v>2241</v>
      </c>
      <c r="J349" t="s">
        <v>8668</v>
      </c>
      <c r="L349">
        <v>0</v>
      </c>
      <c r="R349" s="16" t="s">
        <v>8064</v>
      </c>
      <c r="S349" s="16" t="s">
        <v>8064</v>
      </c>
      <c r="T349" t="s">
        <v>7276</v>
      </c>
      <c r="U349">
        <v>0</v>
      </c>
    </row>
    <row r="350" spans="1:21">
      <c r="A350">
        <v>377</v>
      </c>
      <c r="B350" t="s">
        <v>7277</v>
      </c>
      <c r="C350" t="s">
        <v>4685</v>
      </c>
      <c r="D350">
        <v>1266</v>
      </c>
      <c r="E350">
        <v>13</v>
      </c>
      <c r="F350" t="s">
        <v>1444</v>
      </c>
      <c r="G350" t="s">
        <v>4678</v>
      </c>
      <c r="I350" t="s">
        <v>2240</v>
      </c>
      <c r="J350" t="s">
        <v>8668</v>
      </c>
      <c r="L350">
        <v>0</v>
      </c>
      <c r="R350" s="16" t="s">
        <v>8064</v>
      </c>
      <c r="S350" s="16" t="s">
        <v>8064</v>
      </c>
      <c r="T350" t="s">
        <v>7277</v>
      </c>
      <c r="U350">
        <v>0</v>
      </c>
    </row>
    <row r="351" spans="1:21">
      <c r="A351">
        <v>352</v>
      </c>
      <c r="B351" t="s">
        <v>7278</v>
      </c>
      <c r="C351" t="s">
        <v>2021</v>
      </c>
      <c r="D351">
        <v>1152</v>
      </c>
      <c r="E351">
        <v>12</v>
      </c>
      <c r="F351" t="s">
        <v>1444</v>
      </c>
      <c r="G351" t="s">
        <v>4678</v>
      </c>
      <c r="I351" t="s">
        <v>2215</v>
      </c>
      <c r="J351" t="s">
        <v>8668</v>
      </c>
      <c r="L351">
        <v>0</v>
      </c>
      <c r="R351" s="16" t="s">
        <v>8064</v>
      </c>
      <c r="S351" s="16" t="s">
        <v>8064</v>
      </c>
      <c r="T351" t="s">
        <v>7278</v>
      </c>
      <c r="U351">
        <v>0</v>
      </c>
    </row>
    <row r="352" spans="1:21">
      <c r="A352">
        <v>338</v>
      </c>
      <c r="B352" t="s">
        <v>7279</v>
      </c>
      <c r="C352" t="s">
        <v>4679</v>
      </c>
      <c r="D352">
        <v>1084</v>
      </c>
      <c r="E352">
        <v>11</v>
      </c>
      <c r="F352" t="s">
        <v>1444</v>
      </c>
      <c r="G352" t="s">
        <v>4678</v>
      </c>
      <c r="I352" t="s">
        <v>2206</v>
      </c>
      <c r="J352" t="s">
        <v>8668</v>
      </c>
      <c r="L352">
        <v>0</v>
      </c>
      <c r="R352" s="16" t="s">
        <v>8064</v>
      </c>
      <c r="S352" s="16" t="s">
        <v>8064</v>
      </c>
      <c r="T352" t="s">
        <v>7279</v>
      </c>
      <c r="U352">
        <v>0</v>
      </c>
    </row>
    <row r="353" spans="1:21">
      <c r="A353">
        <v>339</v>
      </c>
      <c r="B353" t="s">
        <v>7280</v>
      </c>
      <c r="C353" t="s">
        <v>4679</v>
      </c>
      <c r="D353">
        <v>1084</v>
      </c>
      <c r="E353">
        <v>11</v>
      </c>
      <c r="F353" t="s">
        <v>1444</v>
      </c>
      <c r="G353" t="s">
        <v>4678</v>
      </c>
      <c r="I353" t="s">
        <v>2206</v>
      </c>
      <c r="J353" t="s">
        <v>8668</v>
      </c>
      <c r="L353">
        <v>0</v>
      </c>
      <c r="R353" s="16" t="s">
        <v>8064</v>
      </c>
      <c r="S353" s="16" t="s">
        <v>8064</v>
      </c>
      <c r="T353" t="s">
        <v>7280</v>
      </c>
      <c r="U353">
        <v>0</v>
      </c>
    </row>
    <row r="354" spans="1:21">
      <c r="A354">
        <v>340</v>
      </c>
      <c r="B354" t="s">
        <v>7281</v>
      </c>
      <c r="C354" t="s">
        <v>4679</v>
      </c>
      <c r="D354">
        <v>1084</v>
      </c>
      <c r="E354">
        <v>11</v>
      </c>
      <c r="F354" t="s">
        <v>1444</v>
      </c>
      <c r="G354" t="s">
        <v>4678</v>
      </c>
      <c r="I354" t="s">
        <v>2206</v>
      </c>
      <c r="J354" t="s">
        <v>8668</v>
      </c>
      <c r="L354">
        <v>0</v>
      </c>
      <c r="R354" s="16" t="s">
        <v>8064</v>
      </c>
      <c r="S354" s="16" t="s">
        <v>8064</v>
      </c>
      <c r="T354" t="s">
        <v>7817</v>
      </c>
      <c r="U354">
        <v>0</v>
      </c>
    </row>
    <row r="355" spans="1:21">
      <c r="A355">
        <v>348</v>
      </c>
      <c r="B355" t="s">
        <v>7282</v>
      </c>
      <c r="C355" t="s">
        <v>2018</v>
      </c>
      <c r="D355">
        <v>1104</v>
      </c>
      <c r="E355">
        <v>12</v>
      </c>
      <c r="F355" t="s">
        <v>1444</v>
      </c>
      <c r="G355" t="s">
        <v>4678</v>
      </c>
      <c r="I355" t="s">
        <v>2212</v>
      </c>
      <c r="J355" t="s">
        <v>8668</v>
      </c>
      <c r="L355">
        <v>0</v>
      </c>
      <c r="R355" s="16" t="s">
        <v>8064</v>
      </c>
      <c r="S355" s="16" t="s">
        <v>8064</v>
      </c>
      <c r="T355" t="s">
        <v>7818</v>
      </c>
      <c r="U355">
        <v>0</v>
      </c>
    </row>
    <row r="356" spans="1:21">
      <c r="A356">
        <v>349</v>
      </c>
      <c r="B356" t="s">
        <v>7283</v>
      </c>
      <c r="C356" t="s">
        <v>2019</v>
      </c>
      <c r="D356">
        <v>1122</v>
      </c>
      <c r="E356">
        <v>12</v>
      </c>
      <c r="F356" t="s">
        <v>1444</v>
      </c>
      <c r="G356" t="s">
        <v>4678</v>
      </c>
      <c r="I356" t="s">
        <v>2213</v>
      </c>
      <c r="J356" t="s">
        <v>8668</v>
      </c>
      <c r="L356">
        <v>0</v>
      </c>
      <c r="R356" s="16" t="s">
        <v>8064</v>
      </c>
      <c r="S356" s="16" t="s">
        <v>8064</v>
      </c>
      <c r="T356" t="s">
        <v>7818</v>
      </c>
      <c r="U356">
        <v>0</v>
      </c>
    </row>
    <row r="357" spans="1:21">
      <c r="A357">
        <v>341</v>
      </c>
      <c r="B357" t="s">
        <v>7284</v>
      </c>
      <c r="C357" t="s">
        <v>4679</v>
      </c>
      <c r="D357">
        <v>1084</v>
      </c>
      <c r="E357">
        <v>11</v>
      </c>
      <c r="F357" t="s">
        <v>1444</v>
      </c>
      <c r="G357" t="s">
        <v>4678</v>
      </c>
      <c r="I357" t="s">
        <v>2207</v>
      </c>
      <c r="J357" t="s">
        <v>8668</v>
      </c>
      <c r="L357">
        <v>0</v>
      </c>
      <c r="R357" s="16" t="s">
        <v>8064</v>
      </c>
      <c r="S357" s="16" t="s">
        <v>8064</v>
      </c>
      <c r="T357" t="s">
        <v>7284</v>
      </c>
      <c r="U357">
        <v>0</v>
      </c>
    </row>
    <row r="358" spans="1:21">
      <c r="A358">
        <v>363</v>
      </c>
      <c r="B358" t="s">
        <v>7285</v>
      </c>
      <c r="C358" t="s">
        <v>2030</v>
      </c>
      <c r="D358">
        <v>1236</v>
      </c>
      <c r="E358">
        <v>13</v>
      </c>
      <c r="F358" t="s">
        <v>1444</v>
      </c>
      <c r="G358" t="s">
        <v>4678</v>
      </c>
      <c r="I358" t="s">
        <v>2227</v>
      </c>
      <c r="J358" t="s">
        <v>8668</v>
      </c>
      <c r="L358">
        <v>0</v>
      </c>
      <c r="R358" s="16" t="s">
        <v>8064</v>
      </c>
      <c r="S358" s="16" t="s">
        <v>8064</v>
      </c>
      <c r="T358" t="s">
        <v>7285</v>
      </c>
      <c r="U358">
        <v>0</v>
      </c>
    </row>
    <row r="359" spans="1:21">
      <c r="A359">
        <v>361</v>
      </c>
      <c r="B359" t="s">
        <v>7286</v>
      </c>
      <c r="C359" t="s">
        <v>2028</v>
      </c>
      <c r="D359">
        <v>1229</v>
      </c>
      <c r="E359">
        <v>13</v>
      </c>
      <c r="F359" t="s">
        <v>1444</v>
      </c>
      <c r="G359" t="s">
        <v>4678</v>
      </c>
      <c r="I359" t="s">
        <v>2225</v>
      </c>
      <c r="J359" t="s">
        <v>8668</v>
      </c>
      <c r="L359">
        <v>0</v>
      </c>
      <c r="R359" s="16" t="s">
        <v>8064</v>
      </c>
      <c r="S359" s="16" t="s">
        <v>8064</v>
      </c>
      <c r="T359" t="s">
        <v>7286</v>
      </c>
      <c r="U359">
        <v>0</v>
      </c>
    </row>
    <row r="360" spans="1:21">
      <c r="A360">
        <v>366</v>
      </c>
      <c r="B360" t="s">
        <v>7287</v>
      </c>
      <c r="C360" t="s">
        <v>2031</v>
      </c>
      <c r="D360">
        <v>1240</v>
      </c>
      <c r="E360">
        <v>13</v>
      </c>
      <c r="F360" t="s">
        <v>1444</v>
      </c>
      <c r="G360" t="s">
        <v>4678</v>
      </c>
      <c r="I360" t="s">
        <v>2228</v>
      </c>
      <c r="J360" t="s">
        <v>8668</v>
      </c>
      <c r="L360">
        <v>0</v>
      </c>
      <c r="R360" s="16" t="s">
        <v>8064</v>
      </c>
      <c r="S360" s="16" t="s">
        <v>8064</v>
      </c>
      <c r="T360" t="s">
        <v>7287</v>
      </c>
      <c r="U360">
        <v>0</v>
      </c>
    </row>
    <row r="361" spans="1:21">
      <c r="A361">
        <v>358</v>
      </c>
      <c r="B361" t="s">
        <v>7288</v>
      </c>
      <c r="C361" t="s">
        <v>2024</v>
      </c>
      <c r="D361">
        <v>1200</v>
      </c>
      <c r="E361">
        <v>13</v>
      </c>
      <c r="F361" t="s">
        <v>1444</v>
      </c>
      <c r="G361" t="s">
        <v>4678</v>
      </c>
      <c r="I361" t="s">
        <v>2221</v>
      </c>
      <c r="J361" t="s">
        <v>8668</v>
      </c>
      <c r="L361">
        <v>0</v>
      </c>
      <c r="R361" s="16" t="s">
        <v>8064</v>
      </c>
      <c r="S361" s="16" t="s">
        <v>8064</v>
      </c>
      <c r="T361" t="s">
        <v>7819</v>
      </c>
      <c r="U361">
        <v>0</v>
      </c>
    </row>
    <row r="362" spans="1:21">
      <c r="A362">
        <v>342</v>
      </c>
      <c r="B362" t="s">
        <v>7289</v>
      </c>
      <c r="C362" t="s">
        <v>4679</v>
      </c>
      <c r="D362">
        <v>1084</v>
      </c>
      <c r="E362">
        <v>11</v>
      </c>
      <c r="F362" t="s">
        <v>1444</v>
      </c>
      <c r="G362" t="s">
        <v>4678</v>
      </c>
      <c r="I362" t="s">
        <v>2208</v>
      </c>
      <c r="J362" t="s">
        <v>8668</v>
      </c>
      <c r="L362">
        <v>0</v>
      </c>
      <c r="R362" s="16" t="s">
        <v>8064</v>
      </c>
      <c r="S362" s="16" t="s">
        <v>8064</v>
      </c>
      <c r="T362" t="s">
        <v>7289</v>
      </c>
      <c r="U362">
        <v>0</v>
      </c>
    </row>
    <row r="363" spans="1:21">
      <c r="A363">
        <v>343</v>
      </c>
      <c r="B363" t="s">
        <v>7290</v>
      </c>
      <c r="C363" t="s">
        <v>4679</v>
      </c>
      <c r="D363">
        <v>1084</v>
      </c>
      <c r="E363">
        <v>11</v>
      </c>
      <c r="F363" t="s">
        <v>1444</v>
      </c>
      <c r="G363" t="s">
        <v>4678</v>
      </c>
      <c r="I363" t="s">
        <v>2209</v>
      </c>
      <c r="J363" t="s">
        <v>8668</v>
      </c>
      <c r="L363">
        <v>0</v>
      </c>
      <c r="R363" s="16" t="s">
        <v>8064</v>
      </c>
      <c r="S363" s="16" t="s">
        <v>8064</v>
      </c>
      <c r="T363" t="s">
        <v>7290</v>
      </c>
      <c r="U363">
        <v>0</v>
      </c>
    </row>
    <row r="364" spans="1:21">
      <c r="A364">
        <v>379</v>
      </c>
      <c r="B364" t="s">
        <v>7291</v>
      </c>
      <c r="C364" t="s">
        <v>4686</v>
      </c>
      <c r="D364">
        <v>1277</v>
      </c>
      <c r="E364">
        <v>13</v>
      </c>
      <c r="F364" t="s">
        <v>1444</v>
      </c>
      <c r="G364" t="s">
        <v>4678</v>
      </c>
      <c r="I364" t="s">
        <v>2243</v>
      </c>
      <c r="J364" t="s">
        <v>8668</v>
      </c>
      <c r="L364">
        <v>0</v>
      </c>
      <c r="R364" s="16" t="s">
        <v>8064</v>
      </c>
      <c r="S364" s="16" t="s">
        <v>8064</v>
      </c>
      <c r="T364" t="s">
        <v>7291</v>
      </c>
      <c r="U364">
        <v>0</v>
      </c>
    </row>
    <row r="365" spans="1:21">
      <c r="A365">
        <v>382</v>
      </c>
      <c r="B365" t="s">
        <v>7292</v>
      </c>
      <c r="C365" t="s">
        <v>783</v>
      </c>
      <c r="D365">
        <v>1292</v>
      </c>
      <c r="E365">
        <v>13</v>
      </c>
      <c r="F365" t="s">
        <v>1444</v>
      </c>
      <c r="G365" t="s">
        <v>4678</v>
      </c>
      <c r="I365" t="s">
        <v>2246</v>
      </c>
      <c r="J365" t="s">
        <v>8668</v>
      </c>
      <c r="L365">
        <v>0</v>
      </c>
      <c r="R365" s="16" t="s">
        <v>8064</v>
      </c>
      <c r="S365" s="16" t="s">
        <v>8064</v>
      </c>
      <c r="T365" t="s">
        <v>7292</v>
      </c>
      <c r="U365">
        <v>0</v>
      </c>
    </row>
    <row r="366" spans="1:21">
      <c r="A366">
        <v>367</v>
      </c>
      <c r="B366" t="s">
        <v>7293</v>
      </c>
      <c r="C366" t="s">
        <v>2031</v>
      </c>
      <c r="D366">
        <v>1240</v>
      </c>
      <c r="E366">
        <v>13</v>
      </c>
      <c r="F366" t="s">
        <v>1444</v>
      </c>
      <c r="G366" t="s">
        <v>4678</v>
      </c>
      <c r="I366" t="s">
        <v>2229</v>
      </c>
      <c r="J366" t="s">
        <v>8668</v>
      </c>
      <c r="L366">
        <v>0</v>
      </c>
      <c r="R366" s="16" t="s">
        <v>8064</v>
      </c>
      <c r="S366" s="16" t="s">
        <v>8064</v>
      </c>
      <c r="T366" t="s">
        <v>7820</v>
      </c>
      <c r="U366">
        <v>0</v>
      </c>
    </row>
    <row r="367" spans="1:21">
      <c r="A367">
        <v>357</v>
      </c>
      <c r="B367" t="s">
        <v>7294</v>
      </c>
      <c r="C367" t="s">
        <v>2025</v>
      </c>
      <c r="D367">
        <v>1191</v>
      </c>
      <c r="E367">
        <v>12</v>
      </c>
      <c r="F367" t="s">
        <v>1444</v>
      </c>
      <c r="G367" t="s">
        <v>4678</v>
      </c>
      <c r="I367" t="s">
        <v>2222</v>
      </c>
      <c r="J367" t="s">
        <v>8668</v>
      </c>
      <c r="L367">
        <v>0</v>
      </c>
      <c r="R367" s="16" t="s">
        <v>8064</v>
      </c>
      <c r="S367" s="16" t="s">
        <v>8064</v>
      </c>
      <c r="T367" t="s">
        <v>7294</v>
      </c>
      <c r="U367">
        <v>0</v>
      </c>
    </row>
    <row r="368" spans="1:21">
      <c r="A368">
        <v>372</v>
      </c>
      <c r="B368" t="s">
        <v>7295</v>
      </c>
      <c r="C368" t="s">
        <v>2032</v>
      </c>
      <c r="D368">
        <v>1245</v>
      </c>
      <c r="E368">
        <v>13</v>
      </c>
      <c r="F368" t="s">
        <v>1444</v>
      </c>
      <c r="G368" t="s">
        <v>4678</v>
      </c>
      <c r="I368" t="s">
        <v>2234</v>
      </c>
      <c r="J368" t="s">
        <v>8668</v>
      </c>
      <c r="L368">
        <v>0</v>
      </c>
      <c r="R368" s="16" t="s">
        <v>8064</v>
      </c>
      <c r="S368" s="16" t="s">
        <v>8064</v>
      </c>
      <c r="T368" t="s">
        <v>7295</v>
      </c>
      <c r="U368">
        <v>0</v>
      </c>
    </row>
    <row r="369" spans="1:21">
      <c r="A369">
        <v>344</v>
      </c>
      <c r="B369" t="s">
        <v>7296</v>
      </c>
      <c r="C369" t="s">
        <v>4679</v>
      </c>
      <c r="D369">
        <v>1084</v>
      </c>
      <c r="E369">
        <v>11</v>
      </c>
      <c r="F369" t="s">
        <v>1444</v>
      </c>
      <c r="G369" t="s">
        <v>4678</v>
      </c>
      <c r="I369" t="s">
        <v>2210</v>
      </c>
      <c r="J369" t="s">
        <v>8668</v>
      </c>
      <c r="L369">
        <v>0</v>
      </c>
      <c r="R369" s="16" t="s">
        <v>8064</v>
      </c>
      <c r="S369" s="16" t="s">
        <v>8064</v>
      </c>
      <c r="T369" t="s">
        <v>7296</v>
      </c>
      <c r="U369">
        <v>0</v>
      </c>
    </row>
    <row r="370" spans="1:21">
      <c r="A370">
        <v>362</v>
      </c>
      <c r="B370" t="s">
        <v>7297</v>
      </c>
      <c r="C370" t="s">
        <v>2029</v>
      </c>
      <c r="D370">
        <v>1234</v>
      </c>
      <c r="E370">
        <v>13</v>
      </c>
      <c r="F370" t="s">
        <v>1444</v>
      </c>
      <c r="G370" t="s">
        <v>4678</v>
      </c>
      <c r="I370" t="s">
        <v>2226</v>
      </c>
      <c r="J370" t="s">
        <v>8668</v>
      </c>
      <c r="L370">
        <v>0</v>
      </c>
      <c r="R370" s="16" t="s">
        <v>8064</v>
      </c>
      <c r="S370" s="16" t="s">
        <v>8064</v>
      </c>
      <c r="T370" t="s">
        <v>7821</v>
      </c>
      <c r="U370">
        <v>0</v>
      </c>
    </row>
    <row r="371" spans="1:21">
      <c r="A371">
        <v>345</v>
      </c>
      <c r="B371" t="s">
        <v>7298</v>
      </c>
      <c r="C371" t="s">
        <v>4679</v>
      </c>
      <c r="D371">
        <v>1084</v>
      </c>
      <c r="E371">
        <v>11</v>
      </c>
      <c r="F371" t="s">
        <v>1444</v>
      </c>
      <c r="G371" t="s">
        <v>4678</v>
      </c>
      <c r="I371" t="s">
        <v>2211</v>
      </c>
      <c r="J371" t="s">
        <v>8668</v>
      </c>
      <c r="L371">
        <v>0</v>
      </c>
      <c r="R371" s="16" t="s">
        <v>8064</v>
      </c>
      <c r="S371" s="16" t="s">
        <v>8064</v>
      </c>
      <c r="T371" t="s">
        <v>7298</v>
      </c>
      <c r="U371">
        <v>0</v>
      </c>
    </row>
    <row r="372" spans="1:21">
      <c r="A372">
        <v>356</v>
      </c>
      <c r="B372" t="s">
        <v>7299</v>
      </c>
      <c r="C372" t="s">
        <v>2023</v>
      </c>
      <c r="D372">
        <v>1165</v>
      </c>
      <c r="E372">
        <v>12</v>
      </c>
      <c r="F372" t="s">
        <v>1444</v>
      </c>
      <c r="G372" t="s">
        <v>4678</v>
      </c>
      <c r="I372" t="s">
        <v>2219</v>
      </c>
      <c r="J372" t="s">
        <v>8668</v>
      </c>
      <c r="L372">
        <v>0</v>
      </c>
      <c r="R372" s="16" t="s">
        <v>8064</v>
      </c>
      <c r="S372" s="16" t="s">
        <v>8064</v>
      </c>
      <c r="T372" t="s">
        <v>7822</v>
      </c>
      <c r="U372">
        <v>0</v>
      </c>
    </row>
    <row r="373" spans="1:21">
      <c r="A373">
        <v>351</v>
      </c>
      <c r="B373" t="s">
        <v>7300</v>
      </c>
      <c r="C373" t="s">
        <v>2022</v>
      </c>
      <c r="D373">
        <v>1145</v>
      </c>
      <c r="E373">
        <v>12</v>
      </c>
      <c r="F373" t="s">
        <v>1444</v>
      </c>
      <c r="G373" t="s">
        <v>4678</v>
      </c>
      <c r="I373" t="s">
        <v>2216</v>
      </c>
      <c r="J373" t="s">
        <v>8668</v>
      </c>
      <c r="L373">
        <v>0</v>
      </c>
      <c r="R373" s="16" t="s">
        <v>8064</v>
      </c>
      <c r="S373" s="16" t="s">
        <v>8064</v>
      </c>
      <c r="T373" t="s">
        <v>7300</v>
      </c>
      <c r="U373">
        <v>0</v>
      </c>
    </row>
    <row r="374" spans="1:21">
      <c r="A374">
        <v>360</v>
      </c>
      <c r="B374" t="s">
        <v>7301</v>
      </c>
      <c r="C374" t="s">
        <v>2027</v>
      </c>
      <c r="D374">
        <v>1216</v>
      </c>
      <c r="E374">
        <v>13</v>
      </c>
      <c r="F374" t="s">
        <v>1444</v>
      </c>
      <c r="G374" t="s">
        <v>4678</v>
      </c>
      <c r="I374" t="s">
        <v>2224</v>
      </c>
      <c r="J374" t="s">
        <v>8668</v>
      </c>
      <c r="L374">
        <v>0</v>
      </c>
      <c r="R374" s="16" t="s">
        <v>8064</v>
      </c>
      <c r="S374" s="16" t="s">
        <v>8064</v>
      </c>
      <c r="T374" t="s">
        <v>7301</v>
      </c>
      <c r="U374">
        <v>0</v>
      </c>
    </row>
    <row r="375" spans="1:21">
      <c r="A375">
        <v>346</v>
      </c>
      <c r="B375" t="s">
        <v>7302</v>
      </c>
      <c r="C375" t="s">
        <v>2017</v>
      </c>
      <c r="D375">
        <v>1084</v>
      </c>
      <c r="E375">
        <v>11</v>
      </c>
      <c r="F375" t="s">
        <v>1444</v>
      </c>
      <c r="G375" t="s">
        <v>4678</v>
      </c>
      <c r="I375" t="s">
        <v>2205</v>
      </c>
      <c r="J375" t="s">
        <v>8668</v>
      </c>
      <c r="L375">
        <v>0</v>
      </c>
      <c r="R375" s="16" t="s">
        <v>8064</v>
      </c>
      <c r="S375" s="16" t="s">
        <v>8064</v>
      </c>
      <c r="T375" t="s">
        <v>7302</v>
      </c>
      <c r="U375">
        <v>0</v>
      </c>
    </row>
    <row r="376" spans="1:21">
      <c r="A376">
        <v>347</v>
      </c>
      <c r="B376" t="s">
        <v>7303</v>
      </c>
      <c r="C376" t="s">
        <v>2017</v>
      </c>
      <c r="D376">
        <v>1084</v>
      </c>
      <c r="E376">
        <v>11</v>
      </c>
      <c r="F376" t="s">
        <v>1444</v>
      </c>
      <c r="G376" t="s">
        <v>4678</v>
      </c>
      <c r="J376" t="s">
        <v>8668</v>
      </c>
      <c r="L376">
        <v>0</v>
      </c>
      <c r="R376" s="16" t="s">
        <v>8064</v>
      </c>
      <c r="S376" s="16" t="s">
        <v>8064</v>
      </c>
      <c r="T376" t="s">
        <v>7303</v>
      </c>
      <c r="U376">
        <v>0</v>
      </c>
    </row>
    <row r="377" spans="1:21">
      <c r="A377">
        <v>354</v>
      </c>
      <c r="B377" t="s">
        <v>7304</v>
      </c>
      <c r="C377" t="s">
        <v>4681</v>
      </c>
      <c r="D377">
        <v>1164</v>
      </c>
      <c r="E377">
        <v>12</v>
      </c>
      <c r="F377" t="s">
        <v>1444</v>
      </c>
      <c r="G377" t="s">
        <v>4678</v>
      </c>
      <c r="I377" t="s">
        <v>2218</v>
      </c>
      <c r="J377" t="s">
        <v>8668</v>
      </c>
      <c r="L377">
        <v>0</v>
      </c>
      <c r="R377" s="16" t="s">
        <v>8064</v>
      </c>
      <c r="S377" s="16" t="s">
        <v>8064</v>
      </c>
      <c r="T377" t="s">
        <v>7304</v>
      </c>
      <c r="U377">
        <v>0</v>
      </c>
    </row>
    <row r="378" spans="1:21">
      <c r="A378">
        <v>368</v>
      </c>
      <c r="B378" t="s">
        <v>7305</v>
      </c>
      <c r="C378" t="s">
        <v>2031</v>
      </c>
      <c r="D378">
        <v>1240</v>
      </c>
      <c r="E378">
        <v>13</v>
      </c>
      <c r="F378" t="s">
        <v>1444</v>
      </c>
      <c r="G378" t="s">
        <v>4678</v>
      </c>
      <c r="I378" t="s">
        <v>2230</v>
      </c>
      <c r="J378" t="s">
        <v>8668</v>
      </c>
      <c r="L378">
        <v>0</v>
      </c>
      <c r="R378" s="16" t="s">
        <v>8064</v>
      </c>
      <c r="S378" s="16" t="s">
        <v>8064</v>
      </c>
      <c r="T378" t="s">
        <v>7823</v>
      </c>
      <c r="U378">
        <v>0</v>
      </c>
    </row>
    <row r="379" spans="1:21">
      <c r="A379">
        <v>369</v>
      </c>
      <c r="B379" t="s">
        <v>7306</v>
      </c>
      <c r="C379" t="s">
        <v>2031</v>
      </c>
      <c r="D379">
        <v>1240</v>
      </c>
      <c r="E379">
        <v>13</v>
      </c>
      <c r="F379" t="s">
        <v>1444</v>
      </c>
      <c r="G379" t="s">
        <v>4678</v>
      </c>
      <c r="I379" t="s">
        <v>2231</v>
      </c>
      <c r="J379" t="s">
        <v>8668</v>
      </c>
      <c r="L379">
        <v>0</v>
      </c>
      <c r="R379" s="16" t="s">
        <v>8064</v>
      </c>
      <c r="S379" s="16" t="s">
        <v>8064</v>
      </c>
      <c r="T379" t="s">
        <v>7306</v>
      </c>
      <c r="U379">
        <v>0</v>
      </c>
    </row>
    <row r="380" spans="1:21">
      <c r="A380">
        <v>353</v>
      </c>
      <c r="B380" t="s">
        <v>7307</v>
      </c>
      <c r="C380" t="s">
        <v>4680</v>
      </c>
      <c r="D380">
        <v>1155</v>
      </c>
      <c r="E380">
        <v>12</v>
      </c>
      <c r="F380" t="s">
        <v>1444</v>
      </c>
      <c r="G380" t="s">
        <v>4678</v>
      </c>
      <c r="I380" t="s">
        <v>2217</v>
      </c>
      <c r="J380" t="s">
        <v>8668</v>
      </c>
      <c r="L380">
        <v>0</v>
      </c>
      <c r="R380" s="16" t="s">
        <v>8064</v>
      </c>
      <c r="S380" s="16" t="s">
        <v>8064</v>
      </c>
      <c r="T380" t="s">
        <v>7307</v>
      </c>
      <c r="U380">
        <v>0</v>
      </c>
    </row>
    <row r="381" spans="1:21">
      <c r="A381">
        <v>378</v>
      </c>
      <c r="B381" t="s">
        <v>7308</v>
      </c>
      <c r="C381" t="s">
        <v>2036</v>
      </c>
      <c r="D381">
        <v>1275</v>
      </c>
      <c r="E381">
        <v>13</v>
      </c>
      <c r="F381" t="s">
        <v>1444</v>
      </c>
      <c r="G381" t="s">
        <v>4678</v>
      </c>
      <c r="I381" t="s">
        <v>2242</v>
      </c>
      <c r="J381" t="s">
        <v>8668</v>
      </c>
      <c r="L381">
        <v>0</v>
      </c>
      <c r="R381" s="16" t="s">
        <v>8064</v>
      </c>
      <c r="S381" s="16" t="s">
        <v>8064</v>
      </c>
      <c r="T381" t="s">
        <v>7308</v>
      </c>
      <c r="U381">
        <v>0</v>
      </c>
    </row>
    <row r="382" spans="1:21">
      <c r="A382">
        <v>1374</v>
      </c>
      <c r="B382" t="s">
        <v>2794</v>
      </c>
      <c r="C382" t="s">
        <v>2793</v>
      </c>
      <c r="D382">
        <v>985</v>
      </c>
      <c r="E382">
        <v>10</v>
      </c>
      <c r="F382" t="s">
        <v>2792</v>
      </c>
      <c r="I382">
        <v>1</v>
      </c>
      <c r="J382" t="s">
        <v>8668</v>
      </c>
      <c r="L382">
        <v>1</v>
      </c>
      <c r="M382" t="s">
        <v>6896</v>
      </c>
      <c r="N382" t="s">
        <v>6293</v>
      </c>
      <c r="O382" t="s">
        <v>3995</v>
      </c>
      <c r="P382" t="s">
        <v>6894</v>
      </c>
      <c r="Q382" t="s">
        <v>6895</v>
      </c>
      <c r="R382" s="16" t="s">
        <v>6894</v>
      </c>
      <c r="S382" s="16" t="s">
        <v>6895</v>
      </c>
      <c r="T382" t="s">
        <v>8019</v>
      </c>
      <c r="U382">
        <v>0</v>
      </c>
    </row>
    <row r="383" spans="1:21">
      <c r="A383">
        <v>1377</v>
      </c>
      <c r="B383" t="s">
        <v>2795</v>
      </c>
      <c r="C383" t="s">
        <v>2797</v>
      </c>
      <c r="D383">
        <v>1065</v>
      </c>
      <c r="E383">
        <v>11</v>
      </c>
      <c r="F383" t="s">
        <v>2796</v>
      </c>
      <c r="I383">
        <v>3</v>
      </c>
      <c r="J383" t="s">
        <v>8668</v>
      </c>
      <c r="L383">
        <v>1</v>
      </c>
      <c r="M383" t="s">
        <v>6699</v>
      </c>
      <c r="N383" t="s">
        <v>6700</v>
      </c>
      <c r="O383" t="s">
        <v>6700</v>
      </c>
      <c r="P383" t="s">
        <v>6701</v>
      </c>
      <c r="Q383" t="s">
        <v>6702</v>
      </c>
      <c r="R383" s="16" t="s">
        <v>8642</v>
      </c>
      <c r="S383" s="16" t="s">
        <v>6702</v>
      </c>
      <c r="T383" t="s">
        <v>8019</v>
      </c>
      <c r="U383">
        <v>0</v>
      </c>
    </row>
    <row r="384" spans="1:21">
      <c r="A384">
        <v>1381</v>
      </c>
      <c r="B384" t="s">
        <v>2784</v>
      </c>
      <c r="C384">
        <v>1263</v>
      </c>
      <c r="D384">
        <v>1263</v>
      </c>
      <c r="E384">
        <v>13</v>
      </c>
      <c r="F384" t="s">
        <v>1444</v>
      </c>
      <c r="I384" t="s">
        <v>5768</v>
      </c>
      <c r="J384" t="s">
        <v>8668</v>
      </c>
      <c r="L384">
        <v>0</v>
      </c>
      <c r="R384" s="16" t="s">
        <v>8064</v>
      </c>
      <c r="S384" s="16" t="s">
        <v>8064</v>
      </c>
      <c r="T384" t="s">
        <v>2784</v>
      </c>
      <c r="U384">
        <v>0</v>
      </c>
    </row>
    <row r="385" spans="1:21">
      <c r="A385">
        <v>386</v>
      </c>
      <c r="B385" t="s">
        <v>5709</v>
      </c>
      <c r="C385">
        <v>1285</v>
      </c>
      <c r="D385">
        <v>1285</v>
      </c>
      <c r="E385">
        <v>13</v>
      </c>
      <c r="F385" t="s">
        <v>1444</v>
      </c>
      <c r="G385" t="s">
        <v>5704</v>
      </c>
      <c r="I385" t="s">
        <v>5710</v>
      </c>
      <c r="J385" t="s">
        <v>8668</v>
      </c>
      <c r="L385">
        <v>0</v>
      </c>
      <c r="R385" s="16" t="s">
        <v>8064</v>
      </c>
      <c r="S385" s="16" t="s">
        <v>8064</v>
      </c>
      <c r="T385" t="s">
        <v>5709</v>
      </c>
      <c r="U385">
        <v>0</v>
      </c>
    </row>
    <row r="386" spans="1:21">
      <c r="A386">
        <v>384</v>
      </c>
      <c r="B386" t="s">
        <v>5703</v>
      </c>
      <c r="C386">
        <v>1172</v>
      </c>
      <c r="D386">
        <v>1172</v>
      </c>
      <c r="E386">
        <v>12</v>
      </c>
      <c r="F386" t="s">
        <v>5706</v>
      </c>
      <c r="G386" t="s">
        <v>5704</v>
      </c>
      <c r="I386" t="s">
        <v>5705</v>
      </c>
      <c r="J386" t="s">
        <v>8668</v>
      </c>
      <c r="L386">
        <v>1</v>
      </c>
      <c r="M386" t="s">
        <v>5706</v>
      </c>
      <c r="N386" t="s">
        <v>6293</v>
      </c>
      <c r="O386" t="s">
        <v>3995</v>
      </c>
      <c r="P386" t="s">
        <v>6628</v>
      </c>
      <c r="Q386" t="s">
        <v>6596</v>
      </c>
      <c r="R386" s="16" t="s">
        <v>8549</v>
      </c>
      <c r="S386" s="16" t="s">
        <v>8152</v>
      </c>
      <c r="T386" t="s">
        <v>5703</v>
      </c>
      <c r="U386">
        <v>0</v>
      </c>
    </row>
    <row r="387" spans="1:21">
      <c r="A387">
        <v>385</v>
      </c>
      <c r="B387" t="s">
        <v>5707</v>
      </c>
      <c r="C387">
        <v>1274</v>
      </c>
      <c r="D387">
        <v>1274</v>
      </c>
      <c r="E387">
        <v>13</v>
      </c>
      <c r="F387" t="s">
        <v>1444</v>
      </c>
      <c r="G387" t="s">
        <v>5704</v>
      </c>
      <c r="I387" t="s">
        <v>5708</v>
      </c>
      <c r="J387" t="s">
        <v>8668</v>
      </c>
      <c r="L387">
        <v>0</v>
      </c>
      <c r="R387" s="16" t="s">
        <v>8064</v>
      </c>
      <c r="S387" s="16" t="s">
        <v>8064</v>
      </c>
      <c r="T387" t="s">
        <v>5707</v>
      </c>
      <c r="U387">
        <v>0</v>
      </c>
    </row>
    <row r="388" spans="1:21">
      <c r="A388">
        <v>387</v>
      </c>
      <c r="B388" t="s">
        <v>5656</v>
      </c>
      <c r="C388">
        <v>1295</v>
      </c>
      <c r="D388">
        <v>1295</v>
      </c>
      <c r="E388">
        <v>13</v>
      </c>
      <c r="F388" t="s">
        <v>5657</v>
      </c>
      <c r="G388" t="s">
        <v>5665</v>
      </c>
      <c r="I388" t="s">
        <v>5666</v>
      </c>
      <c r="J388" t="s">
        <v>5658</v>
      </c>
      <c r="L388">
        <v>1</v>
      </c>
      <c r="M388" t="s">
        <v>5657</v>
      </c>
      <c r="N388" t="s">
        <v>6291</v>
      </c>
      <c r="O388" t="s">
        <v>3995</v>
      </c>
      <c r="P388" t="s">
        <v>6933</v>
      </c>
      <c r="Q388" t="s">
        <v>6934</v>
      </c>
      <c r="R388" s="16" t="s">
        <v>8374</v>
      </c>
      <c r="S388" s="16" t="s">
        <v>8255</v>
      </c>
      <c r="T388" t="s">
        <v>5656</v>
      </c>
      <c r="U388">
        <v>1</v>
      </c>
    </row>
    <row r="389" spans="1:21">
      <c r="A389">
        <v>391</v>
      </c>
      <c r="B389" t="s">
        <v>5701</v>
      </c>
      <c r="C389">
        <v>1172</v>
      </c>
      <c r="D389">
        <v>1172</v>
      </c>
      <c r="E389">
        <v>12</v>
      </c>
      <c r="F389" t="s">
        <v>5694</v>
      </c>
      <c r="G389" t="s">
        <v>5690</v>
      </c>
      <c r="I389" t="s">
        <v>5695</v>
      </c>
      <c r="J389" t="s">
        <v>8668</v>
      </c>
      <c r="L389">
        <v>1</v>
      </c>
      <c r="M389" t="s">
        <v>5694</v>
      </c>
      <c r="N389" t="s">
        <v>6604</v>
      </c>
      <c r="O389" t="s">
        <v>3995</v>
      </c>
      <c r="P389" t="s">
        <v>6939</v>
      </c>
      <c r="Q389" t="s">
        <v>6940</v>
      </c>
      <c r="R389" s="16" t="s">
        <v>8550</v>
      </c>
      <c r="S389" s="16" t="s">
        <v>8256</v>
      </c>
      <c r="T389" t="s">
        <v>5701</v>
      </c>
      <c r="U389">
        <v>0</v>
      </c>
    </row>
    <row r="390" spans="1:21">
      <c r="A390">
        <v>392</v>
      </c>
      <c r="B390" t="s">
        <v>5702</v>
      </c>
      <c r="C390" t="s">
        <v>5696</v>
      </c>
      <c r="D390">
        <v>1212</v>
      </c>
      <c r="E390">
        <v>13</v>
      </c>
      <c r="F390" t="s">
        <v>1444</v>
      </c>
      <c r="G390" t="s">
        <v>5690</v>
      </c>
      <c r="I390" t="s">
        <v>5697</v>
      </c>
      <c r="J390" t="s">
        <v>8668</v>
      </c>
      <c r="L390">
        <v>0</v>
      </c>
      <c r="R390" s="16" t="s">
        <v>8064</v>
      </c>
      <c r="S390" s="16" t="s">
        <v>8064</v>
      </c>
      <c r="T390" t="s">
        <v>5702</v>
      </c>
      <c r="U390">
        <v>0</v>
      </c>
    </row>
    <row r="391" spans="1:21">
      <c r="A391">
        <v>388</v>
      </c>
      <c r="B391" t="s">
        <v>5700</v>
      </c>
      <c r="C391" t="s">
        <v>5688</v>
      </c>
      <c r="D391">
        <v>1040</v>
      </c>
      <c r="E391">
        <v>11</v>
      </c>
      <c r="F391" t="s">
        <v>5689</v>
      </c>
      <c r="G391" t="s">
        <v>5690</v>
      </c>
      <c r="I391" t="s">
        <v>5693</v>
      </c>
      <c r="J391" t="s">
        <v>8668</v>
      </c>
      <c r="L391">
        <v>1</v>
      </c>
      <c r="M391" t="s">
        <v>5689</v>
      </c>
      <c r="N391" t="s">
        <v>6418</v>
      </c>
      <c r="O391" t="s">
        <v>3995</v>
      </c>
      <c r="P391">
        <v>91750</v>
      </c>
      <c r="Q391">
        <v>476770</v>
      </c>
      <c r="R391" s="16" t="s">
        <v>8396</v>
      </c>
      <c r="S391" s="16" t="s">
        <v>8100</v>
      </c>
      <c r="T391" t="s">
        <v>5700</v>
      </c>
      <c r="U391">
        <v>0</v>
      </c>
    </row>
    <row r="392" spans="1:21">
      <c r="A392">
        <v>389</v>
      </c>
      <c r="B392" t="s">
        <v>5698</v>
      </c>
      <c r="C392" t="s">
        <v>5688</v>
      </c>
      <c r="D392">
        <v>1040</v>
      </c>
      <c r="E392">
        <v>11</v>
      </c>
      <c r="F392" t="s">
        <v>5689</v>
      </c>
      <c r="G392" t="s">
        <v>5690</v>
      </c>
      <c r="I392" t="s">
        <v>5691</v>
      </c>
      <c r="J392" t="s">
        <v>8668</v>
      </c>
      <c r="L392">
        <v>1</v>
      </c>
      <c r="M392" t="s">
        <v>5689</v>
      </c>
      <c r="N392" t="s">
        <v>6418</v>
      </c>
      <c r="O392" t="s">
        <v>3995</v>
      </c>
      <c r="P392">
        <v>91750</v>
      </c>
      <c r="Q392">
        <v>476770</v>
      </c>
      <c r="R392" s="16" t="s">
        <v>8396</v>
      </c>
      <c r="S392" s="16" t="s">
        <v>8100</v>
      </c>
      <c r="T392" t="s">
        <v>5698</v>
      </c>
      <c r="U392">
        <v>0</v>
      </c>
    </row>
    <row r="393" spans="1:21">
      <c r="A393">
        <v>390</v>
      </c>
      <c r="B393" t="s">
        <v>5699</v>
      </c>
      <c r="C393" t="s">
        <v>5688</v>
      </c>
      <c r="D393">
        <v>1040</v>
      </c>
      <c r="E393">
        <v>11</v>
      </c>
      <c r="F393" t="s">
        <v>5689</v>
      </c>
      <c r="G393" t="s">
        <v>5690</v>
      </c>
      <c r="I393" t="s">
        <v>5692</v>
      </c>
      <c r="J393" t="s">
        <v>8668</v>
      </c>
      <c r="L393">
        <v>1</v>
      </c>
      <c r="M393" t="s">
        <v>5689</v>
      </c>
      <c r="N393" t="s">
        <v>6418</v>
      </c>
      <c r="O393" t="s">
        <v>3995</v>
      </c>
      <c r="P393">
        <v>91750</v>
      </c>
      <c r="Q393">
        <v>476770</v>
      </c>
      <c r="R393" s="16" t="s">
        <v>8396</v>
      </c>
      <c r="S393" s="16" t="s">
        <v>8100</v>
      </c>
      <c r="T393" t="s">
        <v>5699</v>
      </c>
      <c r="U393">
        <v>0</v>
      </c>
    </row>
    <row r="394" spans="1:21">
      <c r="A394">
        <v>393</v>
      </c>
      <c r="B394" t="s">
        <v>5687</v>
      </c>
      <c r="C394">
        <v>1284</v>
      </c>
      <c r="D394">
        <v>1284</v>
      </c>
      <c r="E394">
        <v>13</v>
      </c>
      <c r="F394" t="s">
        <v>5685</v>
      </c>
      <c r="G394" t="s">
        <v>5680</v>
      </c>
      <c r="I394" t="s">
        <v>5686</v>
      </c>
      <c r="J394" s="5" t="s">
        <v>9114</v>
      </c>
      <c r="L394">
        <v>1</v>
      </c>
      <c r="M394" t="s">
        <v>6877</v>
      </c>
      <c r="N394" t="s">
        <v>6287</v>
      </c>
      <c r="O394" t="s">
        <v>6288</v>
      </c>
      <c r="P394" t="s">
        <v>6878</v>
      </c>
      <c r="Q394" t="s">
        <v>6822</v>
      </c>
      <c r="R394" s="16" t="s">
        <v>8554</v>
      </c>
      <c r="S394" s="16" t="s">
        <v>8247</v>
      </c>
      <c r="T394" t="s">
        <v>7918</v>
      </c>
      <c r="U394">
        <v>1</v>
      </c>
    </row>
    <row r="395" spans="1:21">
      <c r="A395">
        <v>398</v>
      </c>
      <c r="B395" t="s">
        <v>5681</v>
      </c>
      <c r="C395" t="s">
        <v>5683</v>
      </c>
      <c r="D395">
        <v>1023</v>
      </c>
      <c r="E395">
        <v>11</v>
      </c>
      <c r="F395" t="s">
        <v>5682</v>
      </c>
      <c r="G395" t="s">
        <v>5680</v>
      </c>
      <c r="I395" t="s">
        <v>5684</v>
      </c>
      <c r="J395" t="s">
        <v>8668</v>
      </c>
      <c r="L395">
        <v>1</v>
      </c>
      <c r="M395" t="s">
        <v>6541</v>
      </c>
      <c r="N395" t="s">
        <v>6291</v>
      </c>
      <c r="O395" t="s">
        <v>3995</v>
      </c>
      <c r="P395" t="s">
        <v>6542</v>
      </c>
      <c r="Q395" t="s">
        <v>6543</v>
      </c>
      <c r="R395" s="16" t="s">
        <v>8555</v>
      </c>
      <c r="S395" s="16" t="s">
        <v>8260</v>
      </c>
      <c r="T395" t="s">
        <v>5681</v>
      </c>
      <c r="U395">
        <v>0</v>
      </c>
    </row>
    <row r="396" spans="1:21">
      <c r="A396">
        <v>395</v>
      </c>
      <c r="B396" t="s">
        <v>5675</v>
      </c>
      <c r="C396">
        <v>970</v>
      </c>
      <c r="D396">
        <v>970</v>
      </c>
      <c r="E396">
        <v>10</v>
      </c>
      <c r="F396" t="s">
        <v>5668</v>
      </c>
      <c r="G396" t="s">
        <v>5667</v>
      </c>
      <c r="I396" t="s">
        <v>5669</v>
      </c>
      <c r="J396" s="5" t="s">
        <v>9115</v>
      </c>
      <c r="L396">
        <v>1</v>
      </c>
      <c r="M396" t="s">
        <v>6499</v>
      </c>
      <c r="N396" t="s">
        <v>6291</v>
      </c>
      <c r="O396" t="s">
        <v>3995</v>
      </c>
      <c r="P396">
        <v>99350</v>
      </c>
      <c r="Q396">
        <v>497910</v>
      </c>
      <c r="R396" s="16" t="s">
        <v>8556</v>
      </c>
      <c r="S396" s="16" t="s">
        <v>8261</v>
      </c>
      <c r="T396" t="s">
        <v>5675</v>
      </c>
      <c r="U396">
        <v>1</v>
      </c>
    </row>
    <row r="397" spans="1:21">
      <c r="A397">
        <v>403</v>
      </c>
      <c r="B397" t="s">
        <v>5678</v>
      </c>
      <c r="C397">
        <v>1261</v>
      </c>
      <c r="D397">
        <v>1261</v>
      </c>
      <c r="E397">
        <v>13</v>
      </c>
      <c r="F397" t="s">
        <v>104</v>
      </c>
      <c r="G397" t="s">
        <v>5667</v>
      </c>
      <c r="I397" t="s">
        <v>5671</v>
      </c>
      <c r="J397" t="s">
        <v>8668</v>
      </c>
      <c r="L397">
        <v>0</v>
      </c>
      <c r="R397" s="16" t="s">
        <v>8064</v>
      </c>
      <c r="S397" s="16" t="s">
        <v>8064</v>
      </c>
      <c r="T397" t="s">
        <v>5678</v>
      </c>
      <c r="U397">
        <v>0</v>
      </c>
    </row>
    <row r="398" spans="1:21">
      <c r="A398">
        <v>401</v>
      </c>
      <c r="B398" t="s">
        <v>5676</v>
      </c>
      <c r="C398">
        <v>1246</v>
      </c>
      <c r="D398">
        <v>1246</v>
      </c>
      <c r="E398">
        <v>13</v>
      </c>
      <c r="F398" t="s">
        <v>5668</v>
      </c>
      <c r="G398" t="s">
        <v>5667</v>
      </c>
      <c r="I398" t="s">
        <v>5670</v>
      </c>
      <c r="J398" t="s">
        <v>8668</v>
      </c>
      <c r="L398">
        <v>1</v>
      </c>
      <c r="M398" t="s">
        <v>6499</v>
      </c>
      <c r="N398" t="s">
        <v>6291</v>
      </c>
      <c r="O398" t="s">
        <v>3995</v>
      </c>
      <c r="P398">
        <v>99350</v>
      </c>
      <c r="Q398">
        <v>497910</v>
      </c>
      <c r="R398" s="16" t="s">
        <v>8556</v>
      </c>
      <c r="S398" s="16" t="s">
        <v>8261</v>
      </c>
      <c r="T398" t="s">
        <v>5676</v>
      </c>
      <c r="U398">
        <v>0</v>
      </c>
    </row>
    <row r="399" spans="1:21">
      <c r="A399">
        <v>402</v>
      </c>
      <c r="B399" t="s">
        <v>5677</v>
      </c>
      <c r="C399">
        <v>1246</v>
      </c>
      <c r="D399">
        <v>1246</v>
      </c>
      <c r="E399">
        <v>13</v>
      </c>
      <c r="F399" t="s">
        <v>5668</v>
      </c>
      <c r="G399" t="s">
        <v>5667</v>
      </c>
      <c r="I399" t="s">
        <v>5672</v>
      </c>
      <c r="J399" t="s">
        <v>8668</v>
      </c>
      <c r="L399">
        <v>1</v>
      </c>
      <c r="M399" t="s">
        <v>6499</v>
      </c>
      <c r="N399" t="s">
        <v>6291</v>
      </c>
      <c r="O399" t="s">
        <v>3995</v>
      </c>
      <c r="P399">
        <v>99350</v>
      </c>
      <c r="Q399">
        <v>497910</v>
      </c>
      <c r="R399" s="16" t="s">
        <v>8556</v>
      </c>
      <c r="S399" s="16" t="s">
        <v>8261</v>
      </c>
      <c r="T399" t="s">
        <v>5677</v>
      </c>
      <c r="U399">
        <v>0</v>
      </c>
    </row>
    <row r="400" spans="1:21">
      <c r="A400">
        <v>399</v>
      </c>
      <c r="B400" t="s">
        <v>5713</v>
      </c>
      <c r="C400">
        <v>1147</v>
      </c>
      <c r="D400">
        <v>1147</v>
      </c>
      <c r="E400">
        <v>12</v>
      </c>
      <c r="F400" t="s">
        <v>5663</v>
      </c>
      <c r="G400" t="s">
        <v>9163</v>
      </c>
      <c r="I400" t="s">
        <v>9166</v>
      </c>
      <c r="J400" s="5" t="s">
        <v>9113</v>
      </c>
      <c r="L400">
        <v>1</v>
      </c>
      <c r="M400" t="s">
        <v>6987</v>
      </c>
      <c r="N400" t="s">
        <v>6988</v>
      </c>
      <c r="O400" t="s">
        <v>6979</v>
      </c>
      <c r="P400">
        <v>119010</v>
      </c>
      <c r="Q400">
        <v>488450</v>
      </c>
      <c r="R400" s="16" t="s">
        <v>8553</v>
      </c>
      <c r="S400" s="16" t="s">
        <v>8259</v>
      </c>
      <c r="T400" t="s">
        <v>7917</v>
      </c>
      <c r="U400">
        <v>1</v>
      </c>
    </row>
    <row r="401" spans="1:21">
      <c r="A401">
        <v>400</v>
      </c>
      <c r="B401" t="s">
        <v>5711</v>
      </c>
      <c r="C401" t="s">
        <v>46</v>
      </c>
      <c r="D401">
        <v>1075</v>
      </c>
      <c r="E401">
        <v>11</v>
      </c>
      <c r="F401" t="s">
        <v>5659</v>
      </c>
      <c r="G401" t="s">
        <v>9163</v>
      </c>
      <c r="I401" t="s">
        <v>9164</v>
      </c>
      <c r="J401" t="s">
        <v>8728</v>
      </c>
      <c r="L401">
        <v>1</v>
      </c>
      <c r="M401" t="s">
        <v>6941</v>
      </c>
      <c r="N401" t="s">
        <v>6461</v>
      </c>
      <c r="O401" t="s">
        <v>104</v>
      </c>
      <c r="P401" t="s">
        <v>6942</v>
      </c>
      <c r="Q401" t="s">
        <v>6943</v>
      </c>
      <c r="R401" s="16" t="s">
        <v>8551</v>
      </c>
      <c r="S401" s="16" t="s">
        <v>8257</v>
      </c>
      <c r="T401" t="s">
        <v>7915</v>
      </c>
      <c r="U401">
        <v>1</v>
      </c>
    </row>
    <row r="402" spans="1:21">
      <c r="A402">
        <v>396</v>
      </c>
      <c r="B402" t="s">
        <v>5714</v>
      </c>
      <c r="C402">
        <v>1163</v>
      </c>
      <c r="D402">
        <v>1163</v>
      </c>
      <c r="E402">
        <v>12</v>
      </c>
      <c r="F402" t="s">
        <v>5664</v>
      </c>
      <c r="G402" t="s">
        <v>9163</v>
      </c>
      <c r="I402" t="s">
        <v>9167</v>
      </c>
      <c r="J402" t="s">
        <v>8668</v>
      </c>
      <c r="L402">
        <v>1</v>
      </c>
      <c r="M402" t="s">
        <v>6987</v>
      </c>
      <c r="N402" t="s">
        <v>6988</v>
      </c>
      <c r="O402" t="s">
        <v>6979</v>
      </c>
      <c r="P402">
        <v>119010</v>
      </c>
      <c r="Q402">
        <v>488450</v>
      </c>
      <c r="R402" s="16" t="s">
        <v>8553</v>
      </c>
      <c r="S402" s="16" t="s">
        <v>8259</v>
      </c>
      <c r="T402" t="s">
        <v>5714</v>
      </c>
      <c r="U402">
        <v>0</v>
      </c>
    </row>
    <row r="403" spans="1:21">
      <c r="A403">
        <v>394</v>
      </c>
      <c r="B403" t="s">
        <v>5712</v>
      </c>
      <c r="C403" t="s">
        <v>5660</v>
      </c>
      <c r="D403">
        <v>1089</v>
      </c>
      <c r="E403">
        <v>11</v>
      </c>
      <c r="F403" t="s">
        <v>5662</v>
      </c>
      <c r="G403" t="s">
        <v>9163</v>
      </c>
      <c r="I403" t="s">
        <v>9165</v>
      </c>
      <c r="J403" t="s">
        <v>8668</v>
      </c>
      <c r="L403">
        <v>1</v>
      </c>
      <c r="M403" t="s">
        <v>7020</v>
      </c>
      <c r="N403" t="s">
        <v>7021</v>
      </c>
      <c r="O403" t="s">
        <v>7009</v>
      </c>
      <c r="P403">
        <v>-86167</v>
      </c>
      <c r="Q403">
        <v>411500</v>
      </c>
      <c r="R403" s="16" t="s">
        <v>8552</v>
      </c>
      <c r="S403" s="16" t="s">
        <v>8258</v>
      </c>
      <c r="T403" t="s">
        <v>5712</v>
      </c>
      <c r="U403">
        <v>0</v>
      </c>
    </row>
    <row r="404" spans="1:21">
      <c r="A404">
        <v>397</v>
      </c>
      <c r="B404" t="s">
        <v>5715</v>
      </c>
      <c r="C404" t="s">
        <v>4849</v>
      </c>
      <c r="D404">
        <v>1173</v>
      </c>
      <c r="E404">
        <v>12</v>
      </c>
      <c r="F404" t="s">
        <v>5661</v>
      </c>
      <c r="G404" t="s">
        <v>9163</v>
      </c>
      <c r="I404" t="s">
        <v>9168</v>
      </c>
      <c r="J404" t="s">
        <v>8668</v>
      </c>
      <c r="L404">
        <v>1</v>
      </c>
      <c r="M404" t="s">
        <v>6515</v>
      </c>
      <c r="N404" t="s">
        <v>6324</v>
      </c>
      <c r="O404" t="s">
        <v>11</v>
      </c>
      <c r="P404" t="s">
        <v>6516</v>
      </c>
      <c r="Q404" t="s">
        <v>6517</v>
      </c>
      <c r="R404" s="16" t="s">
        <v>6516</v>
      </c>
      <c r="S404" s="16" t="s">
        <v>6517</v>
      </c>
      <c r="T404" t="s">
        <v>7916</v>
      </c>
      <c r="U404">
        <v>0</v>
      </c>
    </row>
    <row r="405" spans="1:21">
      <c r="A405">
        <v>404</v>
      </c>
      <c r="B405" t="s">
        <v>7684</v>
      </c>
      <c r="C405" t="s">
        <v>4706</v>
      </c>
      <c r="D405">
        <v>1154</v>
      </c>
      <c r="E405">
        <v>12</v>
      </c>
      <c r="F405" t="s">
        <v>4486</v>
      </c>
      <c r="G405" t="s">
        <v>9234</v>
      </c>
      <c r="I405" t="s">
        <v>1331</v>
      </c>
      <c r="J405" t="s">
        <v>8977</v>
      </c>
      <c r="L405">
        <v>1</v>
      </c>
      <c r="M405" t="s">
        <v>6578</v>
      </c>
      <c r="N405" t="s">
        <v>6293</v>
      </c>
      <c r="O405" t="s">
        <v>3995</v>
      </c>
      <c r="P405" t="s">
        <v>6579</v>
      </c>
      <c r="Q405" t="s">
        <v>6580</v>
      </c>
      <c r="R405" s="16" t="s">
        <v>8372</v>
      </c>
      <c r="S405" s="16" t="s">
        <v>8076</v>
      </c>
      <c r="T405" t="s">
        <v>7684</v>
      </c>
      <c r="U405">
        <v>1</v>
      </c>
    </row>
    <row r="406" spans="1:21">
      <c r="A406">
        <v>411</v>
      </c>
      <c r="B406" t="s">
        <v>7695</v>
      </c>
      <c r="C406" t="s">
        <v>683</v>
      </c>
      <c r="D406">
        <v>1218</v>
      </c>
      <c r="E406">
        <v>13</v>
      </c>
      <c r="F406" t="s">
        <v>1444</v>
      </c>
      <c r="G406" t="s">
        <v>9237</v>
      </c>
      <c r="I406" t="s">
        <v>1332</v>
      </c>
      <c r="J406" t="s">
        <v>8803</v>
      </c>
      <c r="L406">
        <v>0</v>
      </c>
      <c r="R406" s="16" t="s">
        <v>8064</v>
      </c>
      <c r="S406" s="16" t="s">
        <v>8064</v>
      </c>
      <c r="T406" t="s">
        <v>7695</v>
      </c>
      <c r="U406">
        <v>1</v>
      </c>
    </row>
    <row r="407" spans="1:21">
      <c r="A407">
        <v>414</v>
      </c>
      <c r="B407" t="s">
        <v>7687</v>
      </c>
      <c r="C407" t="s">
        <v>4379</v>
      </c>
      <c r="D407">
        <v>1010</v>
      </c>
      <c r="E407">
        <v>11</v>
      </c>
      <c r="F407" t="s">
        <v>4380</v>
      </c>
      <c r="G407" t="s">
        <v>9238</v>
      </c>
      <c r="I407" t="s">
        <v>1328</v>
      </c>
      <c r="J407" t="s">
        <v>8976</v>
      </c>
      <c r="L407">
        <v>1</v>
      </c>
      <c r="M407" t="s">
        <v>4380</v>
      </c>
      <c r="N407" t="s">
        <v>6308</v>
      </c>
      <c r="O407" t="s">
        <v>104</v>
      </c>
      <c r="P407">
        <v>42950</v>
      </c>
      <c r="Q407">
        <v>469500</v>
      </c>
      <c r="R407" s="16" t="s">
        <v>8375</v>
      </c>
      <c r="S407" s="16" t="s">
        <v>8079</v>
      </c>
      <c r="T407" t="s">
        <v>7687</v>
      </c>
      <c r="U407">
        <v>1</v>
      </c>
    </row>
    <row r="408" spans="1:21">
      <c r="A408">
        <v>415</v>
      </c>
      <c r="B408" t="s">
        <v>7682</v>
      </c>
      <c r="C408" t="s">
        <v>4437</v>
      </c>
      <c r="D408">
        <v>1102</v>
      </c>
      <c r="E408">
        <v>12</v>
      </c>
      <c r="F408" t="s">
        <v>4438</v>
      </c>
      <c r="G408" t="s">
        <v>9239</v>
      </c>
      <c r="I408" t="s">
        <v>1329</v>
      </c>
      <c r="J408" t="s">
        <v>9116</v>
      </c>
      <c r="L408">
        <v>1</v>
      </c>
      <c r="M408" t="s">
        <v>6458</v>
      </c>
      <c r="N408" t="s">
        <v>6295</v>
      </c>
      <c r="O408" t="s">
        <v>11</v>
      </c>
      <c r="P408">
        <v>138220</v>
      </c>
      <c r="Q408">
        <v>414930</v>
      </c>
      <c r="R408" s="16" t="s">
        <v>8370</v>
      </c>
      <c r="S408" s="16" t="s">
        <v>8075</v>
      </c>
      <c r="T408" t="s">
        <v>7682</v>
      </c>
      <c r="U408">
        <v>1</v>
      </c>
    </row>
    <row r="409" spans="1:21">
      <c r="A409">
        <v>416</v>
      </c>
      <c r="B409" t="s">
        <v>7700</v>
      </c>
      <c r="C409" t="s">
        <v>790</v>
      </c>
      <c r="D409">
        <v>1295</v>
      </c>
      <c r="E409">
        <v>13</v>
      </c>
      <c r="F409" t="s">
        <v>1444</v>
      </c>
      <c r="G409" t="s">
        <v>9240</v>
      </c>
      <c r="I409" t="s">
        <v>1346</v>
      </c>
      <c r="J409" t="s">
        <v>8804</v>
      </c>
      <c r="L409">
        <v>0</v>
      </c>
      <c r="R409" s="16" t="s">
        <v>8064</v>
      </c>
      <c r="S409" s="16" t="s">
        <v>8064</v>
      </c>
      <c r="T409" t="s">
        <v>7700</v>
      </c>
      <c r="U409">
        <v>1</v>
      </c>
    </row>
    <row r="410" spans="1:21">
      <c r="A410">
        <v>418</v>
      </c>
      <c r="B410" t="s">
        <v>7678</v>
      </c>
      <c r="C410" t="s">
        <v>4713</v>
      </c>
      <c r="D410">
        <v>1270</v>
      </c>
      <c r="E410">
        <v>13</v>
      </c>
      <c r="F410" t="s">
        <v>4532</v>
      </c>
      <c r="G410" t="s">
        <v>9235</v>
      </c>
      <c r="I410" t="s">
        <v>1337</v>
      </c>
      <c r="J410" t="s">
        <v>8980</v>
      </c>
      <c r="L410">
        <v>1</v>
      </c>
      <c r="M410" t="s">
        <v>4532</v>
      </c>
      <c r="N410" t="s">
        <v>6308</v>
      </c>
      <c r="O410" t="s">
        <v>104</v>
      </c>
      <c r="P410">
        <v>32830</v>
      </c>
      <c r="Q410">
        <v>481980</v>
      </c>
      <c r="R410" s="16" t="s">
        <v>8366</v>
      </c>
      <c r="S410" s="16" t="s">
        <v>8071</v>
      </c>
      <c r="T410" t="s">
        <v>7678</v>
      </c>
      <c r="U410">
        <v>1</v>
      </c>
    </row>
    <row r="411" spans="1:21">
      <c r="A411">
        <v>419</v>
      </c>
      <c r="B411" t="s">
        <v>9358</v>
      </c>
      <c r="C411" t="s">
        <v>4442</v>
      </c>
      <c r="D411">
        <v>1109</v>
      </c>
      <c r="E411">
        <v>12</v>
      </c>
      <c r="F411" t="s">
        <v>4443</v>
      </c>
      <c r="G411" t="s">
        <v>9233</v>
      </c>
      <c r="I411" t="s">
        <v>1330</v>
      </c>
      <c r="J411" t="s">
        <v>8978</v>
      </c>
      <c r="L411">
        <v>1</v>
      </c>
      <c r="M411" t="s">
        <v>6944</v>
      </c>
      <c r="N411" t="s">
        <v>6334</v>
      </c>
      <c r="O411" t="s">
        <v>3995</v>
      </c>
      <c r="P411" t="s">
        <v>6945</v>
      </c>
      <c r="Q411" t="s">
        <v>6946</v>
      </c>
      <c r="R411" s="16" t="s">
        <v>8365</v>
      </c>
      <c r="S411" s="16" t="s">
        <v>8070</v>
      </c>
      <c r="T411" t="s">
        <v>9358</v>
      </c>
      <c r="U411">
        <v>1</v>
      </c>
    </row>
    <row r="412" spans="1:21">
      <c r="A412">
        <v>423</v>
      </c>
      <c r="B412" t="s">
        <v>7668</v>
      </c>
      <c r="C412" t="s">
        <v>4595</v>
      </c>
      <c r="D412">
        <v>1279</v>
      </c>
      <c r="E412">
        <v>13</v>
      </c>
      <c r="F412" t="s">
        <v>4596</v>
      </c>
      <c r="G412" t="s">
        <v>9241</v>
      </c>
      <c r="J412" t="s">
        <v>8730</v>
      </c>
      <c r="L412">
        <v>1</v>
      </c>
      <c r="M412" t="s">
        <v>4502</v>
      </c>
      <c r="N412" t="s">
        <v>6456</v>
      </c>
      <c r="O412" t="s">
        <v>104</v>
      </c>
      <c r="P412">
        <v>23522</v>
      </c>
      <c r="Q412">
        <v>488566</v>
      </c>
      <c r="R412" s="16" t="s">
        <v>8364</v>
      </c>
      <c r="S412" s="16" t="s">
        <v>8069</v>
      </c>
      <c r="T412" t="s">
        <v>7668</v>
      </c>
      <c r="U412">
        <v>1</v>
      </c>
    </row>
    <row r="413" spans="1:21">
      <c r="A413">
        <v>426</v>
      </c>
      <c r="B413" t="s">
        <v>7701</v>
      </c>
      <c r="C413" t="s">
        <v>4712</v>
      </c>
      <c r="D413">
        <v>1288</v>
      </c>
      <c r="E413">
        <v>13</v>
      </c>
      <c r="F413" t="s">
        <v>1444</v>
      </c>
      <c r="G413" t="s">
        <v>9242</v>
      </c>
      <c r="I413" t="s">
        <v>1342</v>
      </c>
      <c r="J413" t="s">
        <v>8805</v>
      </c>
      <c r="L413">
        <v>0</v>
      </c>
      <c r="R413" s="16" t="s">
        <v>8064</v>
      </c>
      <c r="S413" s="16" t="s">
        <v>8064</v>
      </c>
      <c r="T413" t="s">
        <v>7701</v>
      </c>
      <c r="U413">
        <v>1</v>
      </c>
    </row>
    <row r="414" spans="1:21">
      <c r="A414">
        <v>427</v>
      </c>
      <c r="B414" t="s">
        <v>7702</v>
      </c>
      <c r="C414" t="s">
        <v>1327</v>
      </c>
      <c r="D414">
        <v>1276</v>
      </c>
      <c r="E414">
        <v>13</v>
      </c>
      <c r="F414" t="s">
        <v>1444</v>
      </c>
      <c r="G414" t="s">
        <v>9243</v>
      </c>
      <c r="I414" t="s">
        <v>1338</v>
      </c>
      <c r="J414" t="s">
        <v>8806</v>
      </c>
      <c r="L414">
        <v>0</v>
      </c>
      <c r="R414" s="16" t="s">
        <v>8064</v>
      </c>
      <c r="S414" s="16" t="s">
        <v>8064</v>
      </c>
      <c r="T414" t="s">
        <v>7702</v>
      </c>
      <c r="U414">
        <v>1</v>
      </c>
    </row>
    <row r="415" spans="1:21">
      <c r="A415">
        <v>428</v>
      </c>
      <c r="B415" t="s">
        <v>7685</v>
      </c>
      <c r="C415" t="s">
        <v>4710</v>
      </c>
      <c r="D415">
        <v>1258</v>
      </c>
      <c r="E415">
        <v>13</v>
      </c>
      <c r="F415" t="s">
        <v>4548</v>
      </c>
      <c r="G415" t="s">
        <v>9244</v>
      </c>
      <c r="I415" t="s">
        <v>1335</v>
      </c>
      <c r="J415" t="s">
        <v>8979</v>
      </c>
      <c r="L415">
        <v>1</v>
      </c>
      <c r="M415" t="s">
        <v>4548</v>
      </c>
      <c r="N415" t="s">
        <v>6553</v>
      </c>
      <c r="O415" t="s">
        <v>104</v>
      </c>
      <c r="P415" t="s">
        <v>6554</v>
      </c>
      <c r="Q415" t="s">
        <v>6555</v>
      </c>
      <c r="R415" s="16" t="s">
        <v>8373</v>
      </c>
      <c r="S415" s="16" t="s">
        <v>8077</v>
      </c>
      <c r="T415" t="s">
        <v>7685</v>
      </c>
      <c r="U415">
        <v>1</v>
      </c>
    </row>
    <row r="416" spans="1:21">
      <c r="A416">
        <v>433</v>
      </c>
      <c r="B416" t="s">
        <v>7675</v>
      </c>
      <c r="C416" t="s">
        <v>5018</v>
      </c>
      <c r="D416">
        <v>1170</v>
      </c>
      <c r="E416">
        <v>12</v>
      </c>
      <c r="F416" t="s">
        <v>1444</v>
      </c>
      <c r="G416" t="s">
        <v>9245</v>
      </c>
      <c r="J416" t="s">
        <v>8802</v>
      </c>
      <c r="L416">
        <v>0</v>
      </c>
      <c r="R416" s="16" t="s">
        <v>8064</v>
      </c>
      <c r="S416" s="16" t="s">
        <v>8064</v>
      </c>
      <c r="T416" t="s">
        <v>7675</v>
      </c>
      <c r="U416">
        <v>1</v>
      </c>
    </row>
    <row r="417" spans="1:21">
      <c r="A417">
        <v>436</v>
      </c>
      <c r="B417" t="s">
        <v>7683</v>
      </c>
      <c r="C417" t="s">
        <v>4714</v>
      </c>
      <c r="D417">
        <v>1281</v>
      </c>
      <c r="E417">
        <v>13</v>
      </c>
      <c r="F417" t="s">
        <v>4560</v>
      </c>
      <c r="G417" t="s">
        <v>9236</v>
      </c>
      <c r="I417" t="s">
        <v>1338</v>
      </c>
      <c r="J417" t="s">
        <v>9117</v>
      </c>
      <c r="L417">
        <v>1</v>
      </c>
      <c r="M417" t="s">
        <v>6629</v>
      </c>
      <c r="N417" t="s">
        <v>6324</v>
      </c>
      <c r="O417" t="s">
        <v>11</v>
      </c>
      <c r="P417" t="s">
        <v>6630</v>
      </c>
      <c r="Q417" t="s">
        <v>6631</v>
      </c>
      <c r="R417" s="16" t="s">
        <v>8371</v>
      </c>
      <c r="S417" s="16" t="s">
        <v>6631</v>
      </c>
      <c r="T417" t="s">
        <v>7683</v>
      </c>
      <c r="U417">
        <v>1</v>
      </c>
    </row>
    <row r="418" spans="1:21">
      <c r="A418">
        <v>409</v>
      </c>
      <c r="B418" t="s">
        <v>7669</v>
      </c>
      <c r="C418" t="s">
        <v>4976</v>
      </c>
      <c r="D418">
        <v>1258</v>
      </c>
      <c r="E418">
        <v>13</v>
      </c>
      <c r="F418" t="s">
        <v>1444</v>
      </c>
      <c r="G418" t="s">
        <v>4693</v>
      </c>
      <c r="J418" t="s">
        <v>8668</v>
      </c>
      <c r="L418">
        <v>0</v>
      </c>
      <c r="R418" s="16" t="s">
        <v>8064</v>
      </c>
      <c r="S418" s="16" t="s">
        <v>8064</v>
      </c>
      <c r="T418" t="s">
        <v>7669</v>
      </c>
      <c r="U418">
        <v>0</v>
      </c>
    </row>
    <row r="419" spans="1:21">
      <c r="A419">
        <v>410</v>
      </c>
      <c r="B419" t="s">
        <v>7670</v>
      </c>
      <c r="C419" t="s">
        <v>4976</v>
      </c>
      <c r="D419">
        <v>1258</v>
      </c>
      <c r="E419">
        <v>13</v>
      </c>
      <c r="F419" t="s">
        <v>1444</v>
      </c>
      <c r="G419" t="s">
        <v>4693</v>
      </c>
      <c r="J419" t="s">
        <v>8668</v>
      </c>
      <c r="L419">
        <v>0</v>
      </c>
      <c r="R419" s="16" t="s">
        <v>8064</v>
      </c>
      <c r="S419" s="16" t="s">
        <v>8064</v>
      </c>
      <c r="T419" t="s">
        <v>7670</v>
      </c>
      <c r="U419">
        <v>0</v>
      </c>
    </row>
    <row r="420" spans="1:21">
      <c r="A420">
        <v>408</v>
      </c>
      <c r="B420" t="s">
        <v>4977</v>
      </c>
      <c r="C420" t="s">
        <v>4552</v>
      </c>
      <c r="D420">
        <v>1251</v>
      </c>
      <c r="E420">
        <v>13</v>
      </c>
      <c r="F420" t="s">
        <v>1444</v>
      </c>
      <c r="G420" t="s">
        <v>4693</v>
      </c>
      <c r="J420" t="s">
        <v>8668</v>
      </c>
      <c r="L420">
        <v>0</v>
      </c>
      <c r="R420" s="16" t="s">
        <v>8064</v>
      </c>
      <c r="S420" s="16" t="s">
        <v>8064</v>
      </c>
      <c r="T420" t="s">
        <v>4977</v>
      </c>
      <c r="U420">
        <v>0</v>
      </c>
    </row>
    <row r="421" spans="1:21">
      <c r="A421">
        <v>413</v>
      </c>
      <c r="B421" t="s">
        <v>7671</v>
      </c>
      <c r="C421" t="s">
        <v>4606</v>
      </c>
      <c r="D421">
        <v>1299</v>
      </c>
      <c r="E421">
        <v>13</v>
      </c>
      <c r="F421" t="s">
        <v>1444</v>
      </c>
      <c r="G421" t="s">
        <v>4693</v>
      </c>
      <c r="J421" t="s">
        <v>8668</v>
      </c>
      <c r="L421">
        <v>0</v>
      </c>
      <c r="R421" s="16" t="s">
        <v>8064</v>
      </c>
      <c r="S421" s="16" t="s">
        <v>8064</v>
      </c>
      <c r="T421" t="s">
        <v>7671</v>
      </c>
      <c r="U421">
        <v>0</v>
      </c>
    </row>
    <row r="422" spans="1:21">
      <c r="A422">
        <v>405</v>
      </c>
      <c r="B422" t="s">
        <v>7672</v>
      </c>
      <c r="C422" t="s">
        <v>5015</v>
      </c>
      <c r="D422">
        <v>1188</v>
      </c>
      <c r="E422">
        <v>12</v>
      </c>
      <c r="F422" t="s">
        <v>1444</v>
      </c>
      <c r="G422" t="s">
        <v>4693</v>
      </c>
      <c r="J422" t="s">
        <v>8668</v>
      </c>
      <c r="L422">
        <v>0</v>
      </c>
      <c r="R422" s="16" t="s">
        <v>8064</v>
      </c>
      <c r="S422" s="16" t="s">
        <v>8064</v>
      </c>
      <c r="T422" t="s">
        <v>7672</v>
      </c>
      <c r="U422">
        <v>0</v>
      </c>
    </row>
    <row r="423" spans="1:21">
      <c r="A423">
        <v>406</v>
      </c>
      <c r="B423" t="s">
        <v>7673</v>
      </c>
      <c r="C423" t="s">
        <v>5016</v>
      </c>
      <c r="D423">
        <v>1228</v>
      </c>
      <c r="E423">
        <v>13</v>
      </c>
      <c r="F423" t="s">
        <v>1444</v>
      </c>
      <c r="G423" t="s">
        <v>4693</v>
      </c>
      <c r="J423" t="s">
        <v>8668</v>
      </c>
      <c r="L423">
        <v>0</v>
      </c>
      <c r="R423" s="16" t="s">
        <v>8064</v>
      </c>
      <c r="S423" s="16" t="s">
        <v>8064</v>
      </c>
      <c r="T423" t="s">
        <v>7673</v>
      </c>
      <c r="U423">
        <v>0</v>
      </c>
    </row>
    <row r="424" spans="1:21">
      <c r="A424">
        <v>407</v>
      </c>
      <c r="B424" t="s">
        <v>7674</v>
      </c>
      <c r="C424" t="s">
        <v>5017</v>
      </c>
      <c r="D424">
        <v>1232</v>
      </c>
      <c r="E424">
        <v>13</v>
      </c>
      <c r="F424" t="s">
        <v>1444</v>
      </c>
      <c r="G424" t="s">
        <v>4693</v>
      </c>
      <c r="J424" t="s">
        <v>8668</v>
      </c>
      <c r="L424">
        <v>0</v>
      </c>
      <c r="R424" s="16" t="s">
        <v>8064</v>
      </c>
      <c r="S424" s="16" t="s">
        <v>8064</v>
      </c>
      <c r="T424" t="s">
        <v>7674</v>
      </c>
      <c r="U424">
        <v>0</v>
      </c>
    </row>
    <row r="425" spans="1:21">
      <c r="A425">
        <v>412</v>
      </c>
      <c r="B425" t="s">
        <v>7676</v>
      </c>
      <c r="C425" t="s">
        <v>778</v>
      </c>
      <c r="D425">
        <v>1286</v>
      </c>
      <c r="E425">
        <v>13</v>
      </c>
      <c r="F425" t="s">
        <v>1444</v>
      </c>
      <c r="G425" t="s">
        <v>4693</v>
      </c>
      <c r="I425" t="s">
        <v>4694</v>
      </c>
      <c r="J425" t="s">
        <v>8668</v>
      </c>
      <c r="L425">
        <v>0</v>
      </c>
      <c r="R425" s="16" t="s">
        <v>8064</v>
      </c>
      <c r="S425" s="16" t="s">
        <v>8064</v>
      </c>
      <c r="T425" t="s">
        <v>7676</v>
      </c>
      <c r="U425">
        <v>0</v>
      </c>
    </row>
    <row r="426" spans="1:21">
      <c r="A426">
        <v>425</v>
      </c>
      <c r="B426" t="s">
        <v>7688</v>
      </c>
      <c r="C426" t="s">
        <v>4713</v>
      </c>
      <c r="D426">
        <v>1270</v>
      </c>
      <c r="E426">
        <v>13</v>
      </c>
      <c r="F426" t="s">
        <v>1444</v>
      </c>
      <c r="G426" t="s">
        <v>4705</v>
      </c>
      <c r="I426" t="s">
        <v>1336</v>
      </c>
      <c r="J426" t="s">
        <v>8668</v>
      </c>
      <c r="L426">
        <v>0</v>
      </c>
      <c r="R426" s="16" t="s">
        <v>8064</v>
      </c>
      <c r="S426" s="16" t="s">
        <v>8064</v>
      </c>
      <c r="T426" t="s">
        <v>7688</v>
      </c>
      <c r="U426">
        <v>0</v>
      </c>
    </row>
    <row r="427" spans="1:21">
      <c r="A427">
        <v>424</v>
      </c>
      <c r="B427" t="s">
        <v>7689</v>
      </c>
      <c r="C427" t="s">
        <v>4709</v>
      </c>
      <c r="D427">
        <v>1268</v>
      </c>
      <c r="E427">
        <v>13</v>
      </c>
      <c r="F427" t="s">
        <v>1444</v>
      </c>
      <c r="G427" t="s">
        <v>4705</v>
      </c>
      <c r="I427" t="s">
        <v>1335</v>
      </c>
      <c r="J427" t="s">
        <v>8668</v>
      </c>
      <c r="L427">
        <v>0</v>
      </c>
      <c r="R427" s="16" t="s">
        <v>8064</v>
      </c>
      <c r="S427" s="16" t="s">
        <v>8064</v>
      </c>
      <c r="T427" t="s">
        <v>7689</v>
      </c>
      <c r="U427">
        <v>0</v>
      </c>
    </row>
    <row r="428" spans="1:21">
      <c r="A428">
        <v>420</v>
      </c>
      <c r="B428" t="s">
        <v>7690</v>
      </c>
      <c r="C428" t="s">
        <v>4707</v>
      </c>
      <c r="D428">
        <v>1237</v>
      </c>
      <c r="E428">
        <v>13</v>
      </c>
      <c r="F428" t="s">
        <v>1444</v>
      </c>
      <c r="G428" t="s">
        <v>4705</v>
      </c>
      <c r="I428" t="s">
        <v>1334</v>
      </c>
      <c r="J428" t="s">
        <v>8668</v>
      </c>
      <c r="L428">
        <v>0</v>
      </c>
      <c r="R428" s="16" t="s">
        <v>8064</v>
      </c>
      <c r="S428" s="16" t="s">
        <v>8064</v>
      </c>
      <c r="T428" t="s">
        <v>7690</v>
      </c>
      <c r="U428">
        <v>0</v>
      </c>
    </row>
    <row r="429" spans="1:21">
      <c r="A429">
        <v>431</v>
      </c>
      <c r="B429" t="s">
        <v>7691</v>
      </c>
      <c r="C429" t="s">
        <v>4712</v>
      </c>
      <c r="D429">
        <v>1288</v>
      </c>
      <c r="E429">
        <v>13</v>
      </c>
      <c r="F429" t="s">
        <v>1444</v>
      </c>
      <c r="G429" t="s">
        <v>4705</v>
      </c>
      <c r="I429" t="s">
        <v>1341</v>
      </c>
      <c r="J429" t="s">
        <v>8668</v>
      </c>
      <c r="L429">
        <v>0</v>
      </c>
      <c r="R429" s="16" t="s">
        <v>8064</v>
      </c>
      <c r="S429" s="16" t="s">
        <v>8064</v>
      </c>
      <c r="T429" t="s">
        <v>7691</v>
      </c>
      <c r="U429">
        <v>0</v>
      </c>
    </row>
    <row r="430" spans="1:21">
      <c r="A430">
        <v>422</v>
      </c>
      <c r="B430" t="s">
        <v>7692</v>
      </c>
      <c r="C430" t="s">
        <v>4708</v>
      </c>
      <c r="D430">
        <v>1244</v>
      </c>
      <c r="E430">
        <v>13</v>
      </c>
      <c r="F430" t="s">
        <v>1444</v>
      </c>
      <c r="G430" t="s">
        <v>4705</v>
      </c>
      <c r="I430" t="s">
        <v>1333</v>
      </c>
      <c r="J430" t="s">
        <v>8668</v>
      </c>
      <c r="L430">
        <v>0</v>
      </c>
      <c r="R430" s="16" t="s">
        <v>8064</v>
      </c>
      <c r="S430" s="16" t="s">
        <v>8064</v>
      </c>
      <c r="T430" t="s">
        <v>7692</v>
      </c>
      <c r="U430">
        <v>0</v>
      </c>
    </row>
    <row r="431" spans="1:21">
      <c r="A431">
        <v>437</v>
      </c>
      <c r="B431" t="s">
        <v>7693</v>
      </c>
      <c r="C431" t="s">
        <v>4718</v>
      </c>
      <c r="D431">
        <v>1296</v>
      </c>
      <c r="E431">
        <v>13</v>
      </c>
      <c r="F431" t="s">
        <v>1444</v>
      </c>
      <c r="G431" t="s">
        <v>4705</v>
      </c>
      <c r="I431" t="s">
        <v>1347</v>
      </c>
      <c r="J431" t="s">
        <v>8668</v>
      </c>
      <c r="L431">
        <v>0</v>
      </c>
      <c r="R431" s="16" t="s">
        <v>8064</v>
      </c>
      <c r="S431" s="16" t="s">
        <v>8064</v>
      </c>
      <c r="T431" t="s">
        <v>7693</v>
      </c>
      <c r="U431">
        <v>0</v>
      </c>
    </row>
    <row r="432" spans="1:21">
      <c r="A432">
        <v>435</v>
      </c>
      <c r="B432" t="s">
        <v>7694</v>
      </c>
      <c r="C432" t="s">
        <v>790</v>
      </c>
      <c r="D432">
        <v>1295</v>
      </c>
      <c r="E432">
        <v>13</v>
      </c>
      <c r="F432" t="s">
        <v>1444</v>
      </c>
      <c r="G432" t="s">
        <v>4705</v>
      </c>
      <c r="I432" t="s">
        <v>1345</v>
      </c>
      <c r="J432" t="s">
        <v>8668</v>
      </c>
      <c r="L432">
        <v>0</v>
      </c>
      <c r="R432" s="16" t="s">
        <v>8064</v>
      </c>
      <c r="S432" s="16" t="s">
        <v>8064</v>
      </c>
      <c r="T432" t="s">
        <v>7694</v>
      </c>
      <c r="U432">
        <v>0</v>
      </c>
    </row>
    <row r="433" spans="1:21">
      <c r="A433">
        <v>430</v>
      </c>
      <c r="B433" t="s">
        <v>7686</v>
      </c>
      <c r="C433" t="s">
        <v>4711</v>
      </c>
      <c r="D433">
        <v>1287</v>
      </c>
      <c r="E433">
        <v>13</v>
      </c>
      <c r="F433" t="s">
        <v>4616</v>
      </c>
      <c r="G433" t="s">
        <v>4705</v>
      </c>
      <c r="I433" t="s">
        <v>1340</v>
      </c>
      <c r="J433" t="s">
        <v>8668</v>
      </c>
      <c r="L433">
        <v>1</v>
      </c>
      <c r="M433" t="s">
        <v>4616</v>
      </c>
      <c r="N433" t="s">
        <v>6329</v>
      </c>
      <c r="O433" t="s">
        <v>11</v>
      </c>
      <c r="P433">
        <v>121660</v>
      </c>
      <c r="Q433">
        <v>434900</v>
      </c>
      <c r="R433" s="16" t="s">
        <v>8374</v>
      </c>
      <c r="S433" s="16" t="s">
        <v>8078</v>
      </c>
      <c r="T433" t="s">
        <v>7686</v>
      </c>
      <c r="U433">
        <v>0</v>
      </c>
    </row>
    <row r="434" spans="1:21">
      <c r="A434">
        <v>434</v>
      </c>
      <c r="B434" t="s">
        <v>7681</v>
      </c>
      <c r="C434" t="s">
        <v>4717</v>
      </c>
      <c r="D434">
        <v>1289</v>
      </c>
      <c r="E434">
        <v>13</v>
      </c>
      <c r="F434" t="s">
        <v>4620</v>
      </c>
      <c r="G434" t="s">
        <v>4705</v>
      </c>
      <c r="I434" t="s">
        <v>1344</v>
      </c>
      <c r="J434" t="s">
        <v>8668</v>
      </c>
      <c r="L434">
        <v>1</v>
      </c>
      <c r="M434" t="s">
        <v>6471</v>
      </c>
      <c r="N434" t="s">
        <v>6359</v>
      </c>
      <c r="O434" t="s">
        <v>104</v>
      </c>
      <c r="P434">
        <v>19090</v>
      </c>
      <c r="Q434">
        <v>479020</v>
      </c>
      <c r="R434" s="16" t="s">
        <v>8369</v>
      </c>
      <c r="S434" s="16" t="s">
        <v>8074</v>
      </c>
      <c r="T434" t="s">
        <v>7681</v>
      </c>
      <c r="U434">
        <v>0</v>
      </c>
    </row>
    <row r="435" spans="1:21">
      <c r="A435">
        <v>439</v>
      </c>
      <c r="B435" t="s">
        <v>7680</v>
      </c>
      <c r="C435" t="s">
        <v>1047</v>
      </c>
      <c r="D435">
        <v>1299</v>
      </c>
      <c r="E435">
        <v>13</v>
      </c>
      <c r="F435" t="s">
        <v>4646</v>
      </c>
      <c r="G435" t="s">
        <v>4705</v>
      </c>
      <c r="I435" t="s">
        <v>1349</v>
      </c>
      <c r="J435" t="s">
        <v>8668</v>
      </c>
      <c r="L435">
        <v>1</v>
      </c>
      <c r="M435" t="s">
        <v>4646</v>
      </c>
      <c r="N435" t="s">
        <v>6295</v>
      </c>
      <c r="O435" t="s">
        <v>11</v>
      </c>
      <c r="P435">
        <v>124964</v>
      </c>
      <c r="Q435">
        <v>419028</v>
      </c>
      <c r="R435" s="16" t="s">
        <v>8368</v>
      </c>
      <c r="S435" s="16" t="s">
        <v>8073</v>
      </c>
      <c r="T435" t="s">
        <v>7680</v>
      </c>
      <c r="U435">
        <v>0</v>
      </c>
    </row>
    <row r="436" spans="1:21">
      <c r="A436">
        <v>417</v>
      </c>
      <c r="B436" t="s">
        <v>7696</v>
      </c>
      <c r="C436" t="s">
        <v>4456</v>
      </c>
      <c r="D436">
        <v>1125</v>
      </c>
      <c r="E436">
        <v>12</v>
      </c>
      <c r="F436" t="s">
        <v>1444</v>
      </c>
      <c r="G436" t="s">
        <v>4705</v>
      </c>
      <c r="I436" t="s">
        <v>1330</v>
      </c>
      <c r="J436" t="s">
        <v>8668</v>
      </c>
      <c r="L436">
        <v>0</v>
      </c>
      <c r="R436" s="16" t="s">
        <v>8064</v>
      </c>
      <c r="S436" s="16" t="s">
        <v>8064</v>
      </c>
      <c r="T436" t="s">
        <v>7734</v>
      </c>
      <c r="U436">
        <v>0</v>
      </c>
    </row>
    <row r="437" spans="1:21">
      <c r="A437">
        <v>421</v>
      </c>
      <c r="B437" t="s">
        <v>7679</v>
      </c>
      <c r="C437" t="s">
        <v>4539</v>
      </c>
      <c r="D437">
        <v>1240</v>
      </c>
      <c r="E437">
        <v>13</v>
      </c>
      <c r="F437" t="s">
        <v>4540</v>
      </c>
      <c r="G437" t="s">
        <v>4705</v>
      </c>
      <c r="I437" t="s">
        <v>1333</v>
      </c>
      <c r="J437" t="s">
        <v>8668</v>
      </c>
      <c r="L437">
        <v>1</v>
      </c>
      <c r="M437" t="s">
        <v>6762</v>
      </c>
      <c r="N437" t="s">
        <v>6763</v>
      </c>
      <c r="O437" t="s">
        <v>104</v>
      </c>
      <c r="P437" t="s">
        <v>6764</v>
      </c>
      <c r="Q437" t="s">
        <v>6765</v>
      </c>
      <c r="R437" s="16" t="s">
        <v>8367</v>
      </c>
      <c r="S437" s="16" t="s">
        <v>8072</v>
      </c>
      <c r="T437" t="s">
        <v>7679</v>
      </c>
      <c r="U437">
        <v>0</v>
      </c>
    </row>
    <row r="438" spans="1:21">
      <c r="A438">
        <v>429</v>
      </c>
      <c r="B438" t="s">
        <v>7697</v>
      </c>
      <c r="C438" t="s">
        <v>4715</v>
      </c>
      <c r="D438">
        <v>1282</v>
      </c>
      <c r="E438">
        <v>13</v>
      </c>
      <c r="F438" t="s">
        <v>1444</v>
      </c>
      <c r="G438" t="s">
        <v>4705</v>
      </c>
      <c r="I438" t="s">
        <v>1339</v>
      </c>
      <c r="J438" t="s">
        <v>8668</v>
      </c>
      <c r="L438">
        <v>0</v>
      </c>
      <c r="R438" s="16" t="s">
        <v>8064</v>
      </c>
      <c r="S438" s="16" t="s">
        <v>8064</v>
      </c>
      <c r="T438" t="s">
        <v>7697</v>
      </c>
      <c r="U438">
        <v>0</v>
      </c>
    </row>
    <row r="439" spans="1:21">
      <c r="A439">
        <v>432</v>
      </c>
      <c r="B439" t="s">
        <v>7699</v>
      </c>
      <c r="C439" t="s">
        <v>4716</v>
      </c>
      <c r="D439">
        <v>1288</v>
      </c>
      <c r="E439">
        <v>13</v>
      </c>
      <c r="F439" t="s">
        <v>1444</v>
      </c>
      <c r="G439" t="s">
        <v>4705</v>
      </c>
      <c r="I439" t="s">
        <v>1343</v>
      </c>
      <c r="J439" t="s">
        <v>8668</v>
      </c>
      <c r="L439">
        <v>0</v>
      </c>
      <c r="R439" s="16" t="s">
        <v>8064</v>
      </c>
      <c r="S439" s="16" t="s">
        <v>8064</v>
      </c>
      <c r="T439" t="s">
        <v>7699</v>
      </c>
      <c r="U439">
        <v>0</v>
      </c>
    </row>
    <row r="440" spans="1:21">
      <c r="A440">
        <v>438</v>
      </c>
      <c r="B440" t="s">
        <v>7703</v>
      </c>
      <c r="C440" t="s">
        <v>1280</v>
      </c>
      <c r="D440">
        <v>1297</v>
      </c>
      <c r="E440">
        <v>13</v>
      </c>
      <c r="F440" t="s">
        <v>1444</v>
      </c>
      <c r="G440" t="s">
        <v>4705</v>
      </c>
      <c r="I440" t="s">
        <v>1348</v>
      </c>
      <c r="J440" t="s">
        <v>8668</v>
      </c>
      <c r="L440">
        <v>0</v>
      </c>
      <c r="R440" s="16" t="s">
        <v>8064</v>
      </c>
      <c r="S440" s="16" t="s">
        <v>8064</v>
      </c>
      <c r="T440" t="s">
        <v>7703</v>
      </c>
      <c r="U440">
        <v>0</v>
      </c>
    </row>
    <row r="441" spans="1:21">
      <c r="A441">
        <v>443</v>
      </c>
      <c r="B441" t="s">
        <v>9208</v>
      </c>
      <c r="C441" t="s">
        <v>4889</v>
      </c>
      <c r="D441">
        <v>951</v>
      </c>
      <c r="E441">
        <v>10</v>
      </c>
      <c r="F441" t="s">
        <v>4363</v>
      </c>
      <c r="G441" t="s">
        <v>9248</v>
      </c>
      <c r="I441" t="s">
        <v>1282</v>
      </c>
      <c r="J441" t="s">
        <v>9118</v>
      </c>
      <c r="L441">
        <v>1</v>
      </c>
      <c r="M441" t="s">
        <v>4363</v>
      </c>
      <c r="N441" t="s">
        <v>6289</v>
      </c>
      <c r="O441" t="s">
        <v>6290</v>
      </c>
      <c r="P441">
        <v>-25170</v>
      </c>
      <c r="Q441">
        <v>424580</v>
      </c>
      <c r="R441" s="16" t="s">
        <v>8562</v>
      </c>
      <c r="S441" s="16" t="s">
        <v>8267</v>
      </c>
      <c r="T441" t="s">
        <v>4888</v>
      </c>
      <c r="U441">
        <v>1</v>
      </c>
    </row>
    <row r="442" spans="1:21">
      <c r="A442">
        <v>465</v>
      </c>
      <c r="B442" t="s">
        <v>2050</v>
      </c>
      <c r="C442" t="s">
        <v>1267</v>
      </c>
      <c r="D442">
        <v>1218</v>
      </c>
      <c r="E442">
        <v>13</v>
      </c>
      <c r="F442" t="s">
        <v>4357</v>
      </c>
      <c r="G442" t="s">
        <v>9254</v>
      </c>
      <c r="I442" t="s">
        <v>1298</v>
      </c>
      <c r="J442" t="s">
        <v>8991</v>
      </c>
      <c r="L442">
        <v>1</v>
      </c>
      <c r="M442" t="s">
        <v>6437</v>
      </c>
      <c r="N442" t="s">
        <v>6438</v>
      </c>
      <c r="O442" t="s">
        <v>104</v>
      </c>
      <c r="P442">
        <v>12610</v>
      </c>
      <c r="Q442">
        <v>458330</v>
      </c>
      <c r="R442" s="16" t="s">
        <v>8559</v>
      </c>
      <c r="S442" s="16" t="s">
        <v>8264</v>
      </c>
      <c r="T442" t="s">
        <v>8025</v>
      </c>
      <c r="U442">
        <v>1</v>
      </c>
    </row>
    <row r="443" spans="1:21">
      <c r="A443">
        <v>445</v>
      </c>
      <c r="B443" t="s">
        <v>1419</v>
      </c>
      <c r="C443" t="s">
        <v>1262</v>
      </c>
      <c r="D443">
        <v>1188</v>
      </c>
      <c r="E443">
        <v>12</v>
      </c>
      <c r="F443" t="s">
        <v>1444</v>
      </c>
      <c r="G443" t="s">
        <v>9249</v>
      </c>
      <c r="J443" t="s">
        <v>8807</v>
      </c>
      <c r="L443">
        <v>0</v>
      </c>
      <c r="R443" s="16" t="s">
        <v>8064</v>
      </c>
      <c r="S443" s="16" t="s">
        <v>8064</v>
      </c>
      <c r="T443" t="s">
        <v>1419</v>
      </c>
      <c r="U443">
        <v>1</v>
      </c>
    </row>
    <row r="444" spans="1:21">
      <c r="A444">
        <v>472</v>
      </c>
      <c r="B444" t="s">
        <v>1394</v>
      </c>
      <c r="C444" t="s">
        <v>1256</v>
      </c>
      <c r="D444">
        <v>1149</v>
      </c>
      <c r="E444">
        <v>12</v>
      </c>
      <c r="F444" t="s">
        <v>4357</v>
      </c>
      <c r="G444" t="s">
        <v>9255</v>
      </c>
      <c r="I444" t="s">
        <v>1291</v>
      </c>
      <c r="J444" t="s">
        <v>8990</v>
      </c>
      <c r="L444">
        <v>1</v>
      </c>
      <c r="M444" t="s">
        <v>6437</v>
      </c>
      <c r="N444" t="s">
        <v>6438</v>
      </c>
      <c r="O444" t="s">
        <v>104</v>
      </c>
      <c r="P444">
        <v>12610</v>
      </c>
      <c r="Q444">
        <v>458330</v>
      </c>
      <c r="R444" s="16" t="s">
        <v>8559</v>
      </c>
      <c r="S444" s="16" t="s">
        <v>8264</v>
      </c>
      <c r="T444" t="s">
        <v>1394</v>
      </c>
      <c r="U444">
        <v>1</v>
      </c>
    </row>
    <row r="445" spans="1:21">
      <c r="A445">
        <v>474</v>
      </c>
      <c r="B445" t="s">
        <v>2041</v>
      </c>
      <c r="C445" t="s">
        <v>1248</v>
      </c>
      <c r="D445">
        <v>1064</v>
      </c>
      <c r="E445">
        <v>11</v>
      </c>
      <c r="F445" t="s">
        <v>4416</v>
      </c>
      <c r="G445" t="s">
        <v>9256</v>
      </c>
      <c r="I445" t="s">
        <v>1284</v>
      </c>
      <c r="J445" t="s">
        <v>8987</v>
      </c>
      <c r="L445">
        <v>1</v>
      </c>
      <c r="M445" t="s">
        <v>4416</v>
      </c>
      <c r="N445" t="s">
        <v>6308</v>
      </c>
      <c r="O445" t="s">
        <v>104</v>
      </c>
      <c r="P445">
        <v>35650</v>
      </c>
      <c r="Q445">
        <v>477980</v>
      </c>
      <c r="R445" s="16" t="s">
        <v>8479</v>
      </c>
      <c r="S445" s="16" t="s">
        <v>8184</v>
      </c>
      <c r="T445" t="s">
        <v>7930</v>
      </c>
      <c r="U445">
        <v>1</v>
      </c>
    </row>
    <row r="446" spans="1:21">
      <c r="A446">
        <v>477</v>
      </c>
      <c r="B446" t="s">
        <v>1398</v>
      </c>
      <c r="C446" t="s">
        <v>110</v>
      </c>
      <c r="D446">
        <v>1182</v>
      </c>
      <c r="E446">
        <v>12</v>
      </c>
      <c r="F446" t="s">
        <v>4510</v>
      </c>
      <c r="G446" t="s">
        <v>9257</v>
      </c>
      <c r="I446" t="s">
        <v>1294</v>
      </c>
      <c r="J446" t="s">
        <v>9119</v>
      </c>
      <c r="L446">
        <v>1</v>
      </c>
      <c r="M446" t="s">
        <v>6995</v>
      </c>
      <c r="N446" t="s">
        <v>6996</v>
      </c>
      <c r="O446" t="s">
        <v>6976</v>
      </c>
      <c r="P446">
        <v>138793</v>
      </c>
      <c r="Q446">
        <v>423183</v>
      </c>
      <c r="R446" s="16" t="s">
        <v>8568</v>
      </c>
      <c r="S446" s="16" t="s">
        <v>8273</v>
      </c>
      <c r="T446" t="s">
        <v>1398</v>
      </c>
      <c r="U446">
        <v>1</v>
      </c>
    </row>
    <row r="447" spans="1:21">
      <c r="A447">
        <v>481</v>
      </c>
      <c r="B447" t="s">
        <v>1391</v>
      </c>
      <c r="C447" t="s">
        <v>1253</v>
      </c>
      <c r="D447">
        <v>1132</v>
      </c>
      <c r="E447">
        <v>12</v>
      </c>
      <c r="F447" t="s">
        <v>4447</v>
      </c>
      <c r="G447" t="s">
        <v>9258</v>
      </c>
      <c r="I447" t="s">
        <v>1289</v>
      </c>
      <c r="J447" t="s">
        <v>8988</v>
      </c>
      <c r="L447">
        <v>1</v>
      </c>
      <c r="M447" t="s">
        <v>4447</v>
      </c>
      <c r="N447" t="s">
        <v>6509</v>
      </c>
      <c r="O447" t="s">
        <v>104</v>
      </c>
      <c r="P447" t="s">
        <v>6766</v>
      </c>
      <c r="Q447" t="s">
        <v>6767</v>
      </c>
      <c r="R447" s="16" t="s">
        <v>8363</v>
      </c>
      <c r="S447" s="16" t="s">
        <v>8067</v>
      </c>
      <c r="T447" t="s">
        <v>1391</v>
      </c>
      <c r="U447">
        <v>1</v>
      </c>
    </row>
    <row r="448" spans="1:21">
      <c r="A448">
        <v>449</v>
      </c>
      <c r="B448" t="s">
        <v>9209</v>
      </c>
      <c r="C448">
        <v>1143</v>
      </c>
      <c r="D448">
        <v>1143</v>
      </c>
      <c r="E448">
        <v>12</v>
      </c>
      <c r="F448" t="s">
        <v>4447</v>
      </c>
      <c r="G448" t="s">
        <v>9250</v>
      </c>
      <c r="I448" t="s">
        <v>1291</v>
      </c>
      <c r="J448" t="s">
        <v>8982</v>
      </c>
      <c r="L448">
        <v>1</v>
      </c>
      <c r="M448" t="s">
        <v>4447</v>
      </c>
      <c r="N448" t="s">
        <v>6509</v>
      </c>
      <c r="O448" t="s">
        <v>104</v>
      </c>
      <c r="P448" t="s">
        <v>6766</v>
      </c>
      <c r="Q448" t="s">
        <v>6767</v>
      </c>
      <c r="R448" s="16" t="s">
        <v>8363</v>
      </c>
      <c r="S448" s="16" t="s">
        <v>8067</v>
      </c>
      <c r="T448" t="s">
        <v>4908</v>
      </c>
      <c r="U448">
        <v>1</v>
      </c>
    </row>
    <row r="449" spans="1:21">
      <c r="A449">
        <v>489</v>
      </c>
      <c r="B449" t="s">
        <v>2053</v>
      </c>
      <c r="C449" t="s">
        <v>4727</v>
      </c>
      <c r="D449">
        <v>1267</v>
      </c>
      <c r="E449">
        <v>13</v>
      </c>
      <c r="F449" t="s">
        <v>4573</v>
      </c>
      <c r="G449" t="s">
        <v>9259</v>
      </c>
      <c r="I449" t="s">
        <v>1303</v>
      </c>
      <c r="J449" t="s">
        <v>8992</v>
      </c>
      <c r="L449">
        <v>1</v>
      </c>
      <c r="M449" t="s">
        <v>4573</v>
      </c>
      <c r="N449" t="s">
        <v>6594</v>
      </c>
      <c r="O449" t="s">
        <v>4016</v>
      </c>
      <c r="P449" t="s">
        <v>6768</v>
      </c>
      <c r="Q449" t="s">
        <v>6769</v>
      </c>
      <c r="R449" s="16" t="s">
        <v>8564</v>
      </c>
      <c r="S449" s="16" t="s">
        <v>8269</v>
      </c>
      <c r="T449" t="s">
        <v>7922</v>
      </c>
      <c r="U449">
        <v>1</v>
      </c>
    </row>
    <row r="450" spans="1:21">
      <c r="A450">
        <v>490</v>
      </c>
      <c r="B450" t="s">
        <v>1403</v>
      </c>
      <c r="C450" t="s">
        <v>4725</v>
      </c>
      <c r="D450">
        <v>1230</v>
      </c>
      <c r="E450">
        <v>13</v>
      </c>
      <c r="F450" t="s">
        <v>1444</v>
      </c>
      <c r="G450" t="s">
        <v>9260</v>
      </c>
      <c r="I450" t="s">
        <v>1299</v>
      </c>
      <c r="J450" t="s">
        <v>8808</v>
      </c>
      <c r="L450">
        <v>0</v>
      </c>
      <c r="R450" s="16" t="s">
        <v>8064</v>
      </c>
      <c r="S450" s="16" t="s">
        <v>8064</v>
      </c>
      <c r="T450" t="s">
        <v>1403</v>
      </c>
      <c r="U450">
        <v>1</v>
      </c>
    </row>
    <row r="451" spans="1:21">
      <c r="A451">
        <v>494</v>
      </c>
      <c r="B451" t="s">
        <v>1410</v>
      </c>
      <c r="C451" t="s">
        <v>1277</v>
      </c>
      <c r="D451">
        <v>1280</v>
      </c>
      <c r="E451">
        <v>13</v>
      </c>
      <c r="F451" t="s">
        <v>4601</v>
      </c>
      <c r="G451" t="s">
        <v>9261</v>
      </c>
      <c r="I451" t="s">
        <v>1305</v>
      </c>
      <c r="J451" t="s">
        <v>9120</v>
      </c>
      <c r="L451">
        <v>1</v>
      </c>
      <c r="M451" t="s">
        <v>4601</v>
      </c>
      <c r="N451" t="s">
        <v>6460</v>
      </c>
      <c r="O451" t="s">
        <v>11</v>
      </c>
      <c r="P451">
        <v>142681</v>
      </c>
      <c r="Q451">
        <v>408518</v>
      </c>
      <c r="R451" s="16" t="s">
        <v>8397</v>
      </c>
      <c r="S451" s="16" t="s">
        <v>8101</v>
      </c>
      <c r="T451" t="s">
        <v>1410</v>
      </c>
      <c r="U451">
        <v>1</v>
      </c>
    </row>
    <row r="452" spans="1:21">
      <c r="A452">
        <v>496</v>
      </c>
      <c r="B452" t="s">
        <v>2049</v>
      </c>
      <c r="C452" t="s">
        <v>4724</v>
      </c>
      <c r="D452">
        <v>1257</v>
      </c>
      <c r="E452">
        <v>13</v>
      </c>
      <c r="F452" t="s">
        <v>4560</v>
      </c>
      <c r="G452" t="s">
        <v>9262</v>
      </c>
      <c r="I452" t="s">
        <v>1297</v>
      </c>
      <c r="J452" t="s">
        <v>9132</v>
      </c>
      <c r="L452">
        <v>1</v>
      </c>
      <c r="M452" t="s">
        <v>6629</v>
      </c>
      <c r="N452" t="s">
        <v>6324</v>
      </c>
      <c r="O452" t="s">
        <v>11</v>
      </c>
      <c r="P452" t="s">
        <v>6630</v>
      </c>
      <c r="Q452" t="s">
        <v>6631</v>
      </c>
      <c r="R452" s="16" t="s">
        <v>8371</v>
      </c>
      <c r="S452" s="16" t="s">
        <v>6631</v>
      </c>
      <c r="T452" t="s">
        <v>7927</v>
      </c>
      <c r="U452">
        <v>1</v>
      </c>
    </row>
    <row r="453" spans="1:21">
      <c r="A453">
        <v>450</v>
      </c>
      <c r="B453" t="s">
        <v>1417</v>
      </c>
      <c r="C453" t="s">
        <v>1246</v>
      </c>
      <c r="D453">
        <v>1031</v>
      </c>
      <c r="E453">
        <v>11</v>
      </c>
      <c r="F453" t="s">
        <v>4357</v>
      </c>
      <c r="G453" t="s">
        <v>9251</v>
      </c>
      <c r="J453" t="s">
        <v>8984</v>
      </c>
      <c r="L453">
        <v>1</v>
      </c>
      <c r="M453" t="s">
        <v>6437</v>
      </c>
      <c r="N453" t="s">
        <v>6438</v>
      </c>
      <c r="O453" t="s">
        <v>104</v>
      </c>
      <c r="P453">
        <v>12610</v>
      </c>
      <c r="Q453">
        <v>458330</v>
      </c>
      <c r="R453" s="16" t="s">
        <v>8559</v>
      </c>
      <c r="S453" s="16" t="s">
        <v>8264</v>
      </c>
      <c r="T453" t="s">
        <v>1417</v>
      </c>
      <c r="U453">
        <v>1</v>
      </c>
    </row>
    <row r="454" spans="1:21">
      <c r="A454">
        <v>497</v>
      </c>
      <c r="B454" t="s">
        <v>2051</v>
      </c>
      <c r="C454" t="s">
        <v>4726</v>
      </c>
      <c r="D454">
        <v>1245</v>
      </c>
      <c r="E454">
        <v>13</v>
      </c>
      <c r="F454" t="s">
        <v>1444</v>
      </c>
      <c r="G454" t="s">
        <v>9263</v>
      </c>
      <c r="I454" t="s">
        <v>1301</v>
      </c>
      <c r="J454" t="s">
        <v>8809</v>
      </c>
      <c r="L454">
        <v>0</v>
      </c>
      <c r="R454" s="16" t="s">
        <v>8064</v>
      </c>
      <c r="S454" s="16" t="s">
        <v>8064</v>
      </c>
      <c r="T454" t="s">
        <v>7935</v>
      </c>
      <c r="U454">
        <v>1</v>
      </c>
    </row>
    <row r="455" spans="1:21">
      <c r="A455">
        <v>505</v>
      </c>
      <c r="B455" t="s">
        <v>1383</v>
      </c>
      <c r="C455" t="s">
        <v>1240</v>
      </c>
      <c r="D455">
        <v>980</v>
      </c>
      <c r="E455">
        <v>10</v>
      </c>
      <c r="F455" t="s">
        <v>4364</v>
      </c>
      <c r="G455" t="s">
        <v>9264</v>
      </c>
      <c r="I455" t="s">
        <v>1282</v>
      </c>
      <c r="J455" t="s">
        <v>8986</v>
      </c>
      <c r="L455">
        <v>1</v>
      </c>
      <c r="M455" t="s">
        <v>4364</v>
      </c>
      <c r="N455" t="s">
        <v>6355</v>
      </c>
      <c r="O455" t="s">
        <v>12</v>
      </c>
      <c r="P455" t="s">
        <v>6833</v>
      </c>
      <c r="Q455" t="s">
        <v>6834</v>
      </c>
      <c r="R455" s="16" t="s">
        <v>8404</v>
      </c>
      <c r="S455" s="16" t="s">
        <v>8108</v>
      </c>
      <c r="T455" t="s">
        <v>1383</v>
      </c>
      <c r="U455">
        <v>1</v>
      </c>
    </row>
    <row r="456" spans="1:21">
      <c r="A456">
        <v>460</v>
      </c>
      <c r="B456" t="s">
        <v>1382</v>
      </c>
      <c r="C456" t="s">
        <v>1242</v>
      </c>
      <c r="D456">
        <v>991</v>
      </c>
      <c r="E456">
        <v>10</v>
      </c>
      <c r="F456" t="s">
        <v>4357</v>
      </c>
      <c r="G456" t="s">
        <v>9252</v>
      </c>
      <c r="I456" t="s">
        <v>1281</v>
      </c>
      <c r="J456" t="s">
        <v>8985</v>
      </c>
      <c r="L456">
        <v>1</v>
      </c>
      <c r="M456" t="s">
        <v>6437</v>
      </c>
      <c r="N456" t="s">
        <v>6438</v>
      </c>
      <c r="O456" t="s">
        <v>104</v>
      </c>
      <c r="P456">
        <v>12610</v>
      </c>
      <c r="Q456">
        <v>458330</v>
      </c>
      <c r="R456" s="16" t="s">
        <v>8559</v>
      </c>
      <c r="S456" s="16" t="s">
        <v>8264</v>
      </c>
      <c r="T456" t="s">
        <v>1382</v>
      </c>
      <c r="U456">
        <v>1</v>
      </c>
    </row>
    <row r="457" spans="1:21">
      <c r="A457">
        <v>440</v>
      </c>
      <c r="B457" t="s">
        <v>2058</v>
      </c>
      <c r="C457" t="s">
        <v>1238</v>
      </c>
      <c r="D457">
        <v>932</v>
      </c>
      <c r="E457">
        <v>10</v>
      </c>
      <c r="F457" t="s">
        <v>4357</v>
      </c>
      <c r="G457" t="s">
        <v>9246</v>
      </c>
      <c r="J457" t="s">
        <v>8983</v>
      </c>
      <c r="L457">
        <v>1</v>
      </c>
      <c r="M457" t="s">
        <v>6437</v>
      </c>
      <c r="N457" t="s">
        <v>6438</v>
      </c>
      <c r="O457" t="s">
        <v>104</v>
      </c>
      <c r="P457">
        <v>12610</v>
      </c>
      <c r="Q457">
        <v>458330</v>
      </c>
      <c r="R457" s="16" t="s">
        <v>8559</v>
      </c>
      <c r="S457" s="16" t="s">
        <v>8264</v>
      </c>
      <c r="T457" t="s">
        <v>7919</v>
      </c>
      <c r="U457">
        <v>1</v>
      </c>
    </row>
    <row r="458" spans="1:21">
      <c r="A458">
        <v>461</v>
      </c>
      <c r="B458" t="s">
        <v>1392</v>
      </c>
      <c r="C458" t="s">
        <v>1255</v>
      </c>
      <c r="D458">
        <v>1142</v>
      </c>
      <c r="E458">
        <v>12</v>
      </c>
      <c r="F458" t="s">
        <v>4418</v>
      </c>
      <c r="G458" t="s">
        <v>9253</v>
      </c>
      <c r="I458" t="s">
        <v>1290</v>
      </c>
      <c r="J458" t="s">
        <v>8989</v>
      </c>
      <c r="L458">
        <v>1</v>
      </c>
      <c r="M458" t="s">
        <v>4418</v>
      </c>
      <c r="N458" t="s">
        <v>6773</v>
      </c>
      <c r="O458" t="s">
        <v>104</v>
      </c>
      <c r="P458" t="s">
        <v>6774</v>
      </c>
      <c r="Q458" t="s">
        <v>6775</v>
      </c>
      <c r="R458" s="16" t="s">
        <v>8558</v>
      </c>
      <c r="S458" s="16" t="s">
        <v>8263</v>
      </c>
      <c r="T458" t="s">
        <v>1392</v>
      </c>
      <c r="U458">
        <v>1</v>
      </c>
    </row>
    <row r="459" spans="1:21">
      <c r="A459">
        <v>441</v>
      </c>
      <c r="B459" t="s">
        <v>2059</v>
      </c>
      <c r="C459" t="s">
        <v>1241</v>
      </c>
      <c r="D459">
        <v>990</v>
      </c>
      <c r="E459">
        <v>10</v>
      </c>
      <c r="F459" t="s">
        <v>4357</v>
      </c>
      <c r="G459" t="s">
        <v>9247</v>
      </c>
      <c r="I459" t="s">
        <v>4699</v>
      </c>
      <c r="J459" t="s">
        <v>8981</v>
      </c>
      <c r="L459">
        <v>1</v>
      </c>
      <c r="M459" t="s">
        <v>6437</v>
      </c>
      <c r="N459" t="s">
        <v>6438</v>
      </c>
      <c r="O459" t="s">
        <v>104</v>
      </c>
      <c r="P459">
        <v>12610</v>
      </c>
      <c r="Q459">
        <v>458330</v>
      </c>
      <c r="R459" s="16" t="s">
        <v>8559</v>
      </c>
      <c r="S459" s="16" t="s">
        <v>8264</v>
      </c>
      <c r="T459" t="s">
        <v>7920</v>
      </c>
      <c r="U459">
        <v>1</v>
      </c>
    </row>
    <row r="460" spans="1:21">
      <c r="A460">
        <v>454</v>
      </c>
      <c r="B460" t="s">
        <v>1422</v>
      </c>
      <c r="C460" t="s">
        <v>1272</v>
      </c>
      <c r="D460">
        <v>1274</v>
      </c>
      <c r="E460">
        <v>13</v>
      </c>
      <c r="F460" t="s">
        <v>1444</v>
      </c>
      <c r="G460" t="s">
        <v>4688</v>
      </c>
      <c r="J460" t="s">
        <v>8668</v>
      </c>
      <c r="L460">
        <v>0</v>
      </c>
      <c r="R460" s="16" t="s">
        <v>8064</v>
      </c>
      <c r="S460" s="16" t="s">
        <v>8064</v>
      </c>
      <c r="T460" t="s">
        <v>1422</v>
      </c>
      <c r="U460">
        <v>0</v>
      </c>
    </row>
    <row r="461" spans="1:21">
      <c r="A461">
        <v>451</v>
      </c>
      <c r="B461" t="s">
        <v>1420</v>
      </c>
      <c r="C461" t="s">
        <v>1270</v>
      </c>
      <c r="D461">
        <v>1242</v>
      </c>
      <c r="E461">
        <v>13</v>
      </c>
      <c r="F461" t="s">
        <v>4534</v>
      </c>
      <c r="G461" t="s">
        <v>4688</v>
      </c>
      <c r="I461" t="s">
        <v>4689</v>
      </c>
      <c r="J461" t="s">
        <v>8668</v>
      </c>
      <c r="L461">
        <v>1</v>
      </c>
      <c r="M461" t="s">
        <v>6327</v>
      </c>
      <c r="N461" t="s">
        <v>6318</v>
      </c>
      <c r="O461" t="s">
        <v>104</v>
      </c>
      <c r="P461" t="s">
        <v>6328</v>
      </c>
      <c r="Q461">
        <v>491840</v>
      </c>
      <c r="R461" s="16" t="s">
        <v>8561</v>
      </c>
      <c r="S461" s="16" t="s">
        <v>8266</v>
      </c>
      <c r="T461" t="s">
        <v>1420</v>
      </c>
      <c r="U461">
        <v>0</v>
      </c>
    </row>
    <row r="462" spans="1:21">
      <c r="A462">
        <v>446</v>
      </c>
      <c r="B462" t="s">
        <v>4900</v>
      </c>
      <c r="C462">
        <v>1039</v>
      </c>
      <c r="D462">
        <v>1039</v>
      </c>
      <c r="E462">
        <v>11</v>
      </c>
      <c r="F462" t="s">
        <v>1444</v>
      </c>
      <c r="G462" t="s">
        <v>4688</v>
      </c>
      <c r="I462" t="s">
        <v>4901</v>
      </c>
      <c r="J462" t="s">
        <v>8668</v>
      </c>
      <c r="L462">
        <v>0</v>
      </c>
      <c r="R462" s="16" t="s">
        <v>8064</v>
      </c>
      <c r="S462" s="16" t="s">
        <v>8064</v>
      </c>
      <c r="T462" t="s">
        <v>4900</v>
      </c>
      <c r="U462">
        <v>0</v>
      </c>
    </row>
    <row r="463" spans="1:21">
      <c r="A463">
        <v>447</v>
      </c>
      <c r="B463" t="s">
        <v>1418</v>
      </c>
      <c r="C463" t="s">
        <v>4700</v>
      </c>
      <c r="D463">
        <v>1114</v>
      </c>
      <c r="E463">
        <v>12</v>
      </c>
      <c r="F463" t="s">
        <v>4453</v>
      </c>
      <c r="G463" t="s">
        <v>4688</v>
      </c>
      <c r="I463" t="s">
        <v>4701</v>
      </c>
      <c r="J463" t="s">
        <v>8668</v>
      </c>
      <c r="L463">
        <v>1</v>
      </c>
      <c r="M463" t="s">
        <v>4453</v>
      </c>
      <c r="N463" t="s">
        <v>7012</v>
      </c>
      <c r="O463" t="s">
        <v>6973</v>
      </c>
      <c r="P463">
        <v>-15833</v>
      </c>
      <c r="Q463">
        <v>466500</v>
      </c>
      <c r="R463" s="16" t="s">
        <v>8560</v>
      </c>
      <c r="S463" s="16" t="s">
        <v>8265</v>
      </c>
      <c r="T463" t="s">
        <v>1418</v>
      </c>
      <c r="U463">
        <v>0</v>
      </c>
    </row>
    <row r="464" spans="1:21">
      <c r="A464">
        <v>448</v>
      </c>
      <c r="B464" t="s">
        <v>5000</v>
      </c>
      <c r="C464">
        <v>1136</v>
      </c>
      <c r="D464">
        <v>1136</v>
      </c>
      <c r="E464">
        <v>12</v>
      </c>
      <c r="F464" t="s">
        <v>4462</v>
      </c>
      <c r="G464" t="s">
        <v>4688</v>
      </c>
      <c r="J464" t="s">
        <v>8668</v>
      </c>
      <c r="L464">
        <v>1</v>
      </c>
      <c r="M464" t="s">
        <v>6758</v>
      </c>
      <c r="N464" t="s">
        <v>6759</v>
      </c>
      <c r="O464" t="s">
        <v>104</v>
      </c>
      <c r="P464" t="s">
        <v>6760</v>
      </c>
      <c r="Q464" t="s">
        <v>6761</v>
      </c>
      <c r="R464" s="16" t="s">
        <v>8483</v>
      </c>
      <c r="S464" s="16" t="s">
        <v>8188</v>
      </c>
      <c r="T464" t="s">
        <v>5000</v>
      </c>
      <c r="U464">
        <v>0</v>
      </c>
    </row>
    <row r="465" spans="1:21">
      <c r="A465">
        <v>442</v>
      </c>
      <c r="B465" t="s">
        <v>1415</v>
      </c>
      <c r="C465" t="s">
        <v>1243</v>
      </c>
      <c r="D465">
        <v>988</v>
      </c>
      <c r="E465">
        <v>10</v>
      </c>
      <c r="F465" t="s">
        <v>1444</v>
      </c>
      <c r="G465" t="s">
        <v>4688</v>
      </c>
      <c r="J465" t="s">
        <v>8668</v>
      </c>
      <c r="L465">
        <v>0</v>
      </c>
      <c r="R465" s="16" t="s">
        <v>8064</v>
      </c>
      <c r="S465" s="16" t="s">
        <v>8064</v>
      </c>
      <c r="T465" t="s">
        <v>1415</v>
      </c>
      <c r="U465">
        <v>0</v>
      </c>
    </row>
    <row r="466" spans="1:21">
      <c r="A466">
        <v>453</v>
      </c>
      <c r="B466" t="s">
        <v>1423</v>
      </c>
      <c r="C466" t="s">
        <v>1273</v>
      </c>
      <c r="D466">
        <v>1270</v>
      </c>
      <c r="E466">
        <v>13</v>
      </c>
      <c r="F466" t="s">
        <v>4418</v>
      </c>
      <c r="G466" t="s">
        <v>4688</v>
      </c>
      <c r="I466" t="s">
        <v>4702</v>
      </c>
      <c r="J466" t="s">
        <v>8668</v>
      </c>
      <c r="L466">
        <v>1</v>
      </c>
      <c r="M466" t="s">
        <v>4418</v>
      </c>
      <c r="N466" t="s">
        <v>6773</v>
      </c>
      <c r="O466" t="s">
        <v>104</v>
      </c>
      <c r="P466" t="s">
        <v>6774</v>
      </c>
      <c r="Q466" t="s">
        <v>6775</v>
      </c>
      <c r="R466" s="16" t="s">
        <v>8558</v>
      </c>
      <c r="S466" s="16" t="s">
        <v>8263</v>
      </c>
      <c r="T466" t="s">
        <v>1423</v>
      </c>
      <c r="U466">
        <v>0</v>
      </c>
    </row>
    <row r="467" spans="1:21">
      <c r="A467">
        <v>452</v>
      </c>
      <c r="B467" t="s">
        <v>1421</v>
      </c>
      <c r="C467" t="s">
        <v>1271</v>
      </c>
      <c r="D467">
        <v>1266</v>
      </c>
      <c r="E467">
        <v>13</v>
      </c>
      <c r="F467" t="s">
        <v>1444</v>
      </c>
      <c r="G467" t="s">
        <v>4688</v>
      </c>
      <c r="J467" t="s">
        <v>8668</v>
      </c>
      <c r="L467">
        <v>0</v>
      </c>
      <c r="R467" s="16" t="s">
        <v>8064</v>
      </c>
      <c r="S467" s="16" t="s">
        <v>8064</v>
      </c>
      <c r="T467" t="s">
        <v>1421</v>
      </c>
      <c r="U467">
        <v>0</v>
      </c>
    </row>
    <row r="468" spans="1:21">
      <c r="A468">
        <v>456</v>
      </c>
      <c r="B468" t="s">
        <v>4933</v>
      </c>
      <c r="C468" t="s">
        <v>4934</v>
      </c>
      <c r="D468">
        <v>1295</v>
      </c>
      <c r="E468">
        <v>13</v>
      </c>
      <c r="F468" t="s">
        <v>1444</v>
      </c>
      <c r="G468" t="s">
        <v>4688</v>
      </c>
      <c r="I468" t="s">
        <v>4935</v>
      </c>
      <c r="J468" t="s">
        <v>8668</v>
      </c>
      <c r="L468">
        <v>0</v>
      </c>
      <c r="R468" s="16" t="s">
        <v>8064</v>
      </c>
      <c r="S468" s="16" t="s">
        <v>8064</v>
      </c>
      <c r="T468" t="s">
        <v>4933</v>
      </c>
      <c r="U468">
        <v>0</v>
      </c>
    </row>
    <row r="469" spans="1:21">
      <c r="A469">
        <v>458</v>
      </c>
      <c r="B469" t="s">
        <v>5001</v>
      </c>
      <c r="C469" t="s">
        <v>4647</v>
      </c>
      <c r="D469">
        <v>1300</v>
      </c>
      <c r="E469">
        <v>13</v>
      </c>
      <c r="F469" t="s">
        <v>1444</v>
      </c>
      <c r="G469" t="s">
        <v>4688</v>
      </c>
      <c r="J469" t="s">
        <v>8668</v>
      </c>
      <c r="L469">
        <v>0</v>
      </c>
      <c r="R469" s="16" t="s">
        <v>8064</v>
      </c>
      <c r="S469" s="16" t="s">
        <v>8064</v>
      </c>
      <c r="T469" t="s">
        <v>5001</v>
      </c>
      <c r="U469">
        <v>0</v>
      </c>
    </row>
    <row r="470" spans="1:21">
      <c r="A470">
        <v>455</v>
      </c>
      <c r="B470" t="s">
        <v>1424</v>
      </c>
      <c r="C470" t="s">
        <v>1278</v>
      </c>
      <c r="D470">
        <v>1280</v>
      </c>
      <c r="E470">
        <v>13</v>
      </c>
      <c r="F470" t="s">
        <v>1444</v>
      </c>
      <c r="G470" t="s">
        <v>4688</v>
      </c>
      <c r="J470" t="s">
        <v>8668</v>
      </c>
      <c r="L470">
        <v>0</v>
      </c>
      <c r="R470" s="16" t="s">
        <v>8064</v>
      </c>
      <c r="S470" s="16" t="s">
        <v>8064</v>
      </c>
      <c r="T470" t="s">
        <v>1424</v>
      </c>
      <c r="U470">
        <v>0</v>
      </c>
    </row>
    <row r="471" spans="1:21">
      <c r="A471">
        <v>444</v>
      </c>
      <c r="B471" t="s">
        <v>1416</v>
      </c>
      <c r="C471" t="s">
        <v>1244</v>
      </c>
      <c r="D471">
        <v>1028</v>
      </c>
      <c r="E471">
        <v>11</v>
      </c>
      <c r="F471" t="s">
        <v>4357</v>
      </c>
      <c r="G471" t="s">
        <v>4688</v>
      </c>
      <c r="J471" t="s">
        <v>8668</v>
      </c>
      <c r="L471">
        <v>1</v>
      </c>
      <c r="M471" t="s">
        <v>6437</v>
      </c>
      <c r="N471" t="s">
        <v>6438</v>
      </c>
      <c r="O471" t="s">
        <v>104</v>
      </c>
      <c r="P471">
        <v>12610</v>
      </c>
      <c r="Q471">
        <v>458330</v>
      </c>
      <c r="R471" s="16" t="s">
        <v>8559</v>
      </c>
      <c r="S471" s="16" t="s">
        <v>8264</v>
      </c>
      <c r="T471" t="s">
        <v>1416</v>
      </c>
      <c r="U471">
        <v>0</v>
      </c>
    </row>
    <row r="472" spans="1:21">
      <c r="A472">
        <v>457</v>
      </c>
      <c r="B472" t="s">
        <v>1425</v>
      </c>
      <c r="C472" t="s">
        <v>1280</v>
      </c>
      <c r="D472">
        <v>1297</v>
      </c>
      <c r="E472">
        <v>13</v>
      </c>
      <c r="F472" t="s">
        <v>4636</v>
      </c>
      <c r="G472" t="s">
        <v>4688</v>
      </c>
      <c r="J472" t="s">
        <v>8668</v>
      </c>
      <c r="L472">
        <v>1</v>
      </c>
      <c r="M472" t="s">
        <v>6479</v>
      </c>
      <c r="N472" t="s">
        <v>6343</v>
      </c>
      <c r="O472" t="s">
        <v>104</v>
      </c>
      <c r="P472">
        <v>12160</v>
      </c>
      <c r="Q472">
        <v>448830</v>
      </c>
      <c r="R472" s="16" t="s">
        <v>8557</v>
      </c>
      <c r="S472" s="16" t="s">
        <v>8262</v>
      </c>
      <c r="T472" t="s">
        <v>1425</v>
      </c>
      <c r="U472">
        <v>0</v>
      </c>
    </row>
    <row r="473" spans="1:21">
      <c r="A473">
        <v>509</v>
      </c>
      <c r="B473" t="s">
        <v>1414</v>
      </c>
      <c r="C473" t="s">
        <v>1279</v>
      </c>
      <c r="D473">
        <v>1296</v>
      </c>
      <c r="E473">
        <v>13</v>
      </c>
      <c r="F473" t="s">
        <v>1444</v>
      </c>
      <c r="G473" t="s">
        <v>4719</v>
      </c>
      <c r="I473" t="s">
        <v>1309</v>
      </c>
      <c r="J473" t="s">
        <v>8668</v>
      </c>
      <c r="L473">
        <v>0</v>
      </c>
      <c r="R473" s="16" t="s">
        <v>8064</v>
      </c>
      <c r="S473" s="16" t="s">
        <v>8064</v>
      </c>
      <c r="T473" t="s">
        <v>1414</v>
      </c>
      <c r="U473">
        <v>0</v>
      </c>
    </row>
    <row r="474" spans="1:21">
      <c r="A474">
        <v>498</v>
      </c>
      <c r="B474" t="s">
        <v>1407</v>
      </c>
      <c r="C474" t="s">
        <v>1274</v>
      </c>
      <c r="D474">
        <v>1268</v>
      </c>
      <c r="E474">
        <v>13</v>
      </c>
      <c r="F474" t="s">
        <v>4570</v>
      </c>
      <c r="G474" t="s">
        <v>4719</v>
      </c>
      <c r="I474" t="s">
        <v>1302</v>
      </c>
      <c r="J474" t="s">
        <v>8668</v>
      </c>
      <c r="L474">
        <v>1</v>
      </c>
      <c r="M474" t="s">
        <v>6317</v>
      </c>
      <c r="N474" t="s">
        <v>6318</v>
      </c>
      <c r="O474" t="s">
        <v>104</v>
      </c>
      <c r="P474" t="s">
        <v>6319</v>
      </c>
      <c r="Q474">
        <v>491830</v>
      </c>
      <c r="R474" s="16" t="s">
        <v>8459</v>
      </c>
      <c r="S474" s="16" t="s">
        <v>8163</v>
      </c>
      <c r="T474" t="s">
        <v>1407</v>
      </c>
      <c r="U474">
        <v>0</v>
      </c>
    </row>
    <row r="475" spans="1:21">
      <c r="A475">
        <v>466</v>
      </c>
      <c r="B475" t="s">
        <v>1386</v>
      </c>
      <c r="C475" t="s">
        <v>1249</v>
      </c>
      <c r="D475">
        <v>1074</v>
      </c>
      <c r="E475">
        <v>11</v>
      </c>
      <c r="F475" t="s">
        <v>1444</v>
      </c>
      <c r="G475" t="s">
        <v>4719</v>
      </c>
      <c r="I475" t="s">
        <v>1285</v>
      </c>
      <c r="J475" t="s">
        <v>8668</v>
      </c>
      <c r="L475">
        <v>0</v>
      </c>
      <c r="R475" s="16" t="s">
        <v>8064</v>
      </c>
      <c r="S475" s="16" t="s">
        <v>8064</v>
      </c>
      <c r="T475" t="s">
        <v>1386</v>
      </c>
      <c r="U475">
        <v>0</v>
      </c>
    </row>
    <row r="476" spans="1:21">
      <c r="A476">
        <v>475</v>
      </c>
      <c r="B476" t="s">
        <v>2044</v>
      </c>
      <c r="C476" t="s">
        <v>1258</v>
      </c>
      <c r="D476">
        <v>1148</v>
      </c>
      <c r="E476">
        <v>12</v>
      </c>
      <c r="F476" t="s">
        <v>4365</v>
      </c>
      <c r="G476" t="s">
        <v>4719</v>
      </c>
      <c r="I476" t="s">
        <v>1292</v>
      </c>
      <c r="J476" t="s">
        <v>8668</v>
      </c>
      <c r="L476">
        <v>1</v>
      </c>
      <c r="M476" t="s">
        <v>6758</v>
      </c>
      <c r="N476" t="s">
        <v>6759</v>
      </c>
      <c r="O476" t="s">
        <v>104</v>
      </c>
      <c r="P476" t="s">
        <v>6760</v>
      </c>
      <c r="Q476" t="s">
        <v>6761</v>
      </c>
      <c r="R476" s="16" t="s">
        <v>8483</v>
      </c>
      <c r="S476" s="16" t="s">
        <v>8188</v>
      </c>
      <c r="T476" t="s">
        <v>7923</v>
      </c>
      <c r="U476">
        <v>0</v>
      </c>
    </row>
    <row r="477" spans="1:21">
      <c r="A477">
        <v>471</v>
      </c>
      <c r="B477" t="s">
        <v>2043</v>
      </c>
      <c r="C477" t="s">
        <v>1254</v>
      </c>
      <c r="D477">
        <v>1127</v>
      </c>
      <c r="E477">
        <v>12</v>
      </c>
      <c r="F477" t="s">
        <v>4441</v>
      </c>
      <c r="G477" t="s">
        <v>4719</v>
      </c>
      <c r="I477" t="s">
        <v>1289</v>
      </c>
      <c r="J477" t="s">
        <v>8668</v>
      </c>
      <c r="L477">
        <v>1</v>
      </c>
      <c r="M477" t="s">
        <v>4441</v>
      </c>
      <c r="N477" t="s">
        <v>6594</v>
      </c>
      <c r="O477" t="s">
        <v>4016</v>
      </c>
      <c r="P477" t="s">
        <v>6891</v>
      </c>
      <c r="Q477" t="s">
        <v>6892</v>
      </c>
      <c r="R477" s="16" t="s">
        <v>8563</v>
      </c>
      <c r="S477" s="16" t="s">
        <v>8268</v>
      </c>
      <c r="T477" t="s">
        <v>7921</v>
      </c>
      <c r="U477">
        <v>0</v>
      </c>
    </row>
    <row r="478" spans="1:21">
      <c r="A478">
        <v>488</v>
      </c>
      <c r="B478" t="s">
        <v>1402</v>
      </c>
      <c r="C478" t="s">
        <v>1266</v>
      </c>
      <c r="D478">
        <v>1202</v>
      </c>
      <c r="E478">
        <v>13</v>
      </c>
      <c r="F478" t="s">
        <v>4357</v>
      </c>
      <c r="G478" t="s">
        <v>4719</v>
      </c>
      <c r="I478" t="s">
        <v>1296</v>
      </c>
      <c r="J478" t="s">
        <v>8668</v>
      </c>
      <c r="L478">
        <v>1</v>
      </c>
      <c r="M478" t="s">
        <v>6437</v>
      </c>
      <c r="N478" t="s">
        <v>6438</v>
      </c>
      <c r="O478" t="s">
        <v>104</v>
      </c>
      <c r="P478">
        <v>12610</v>
      </c>
      <c r="Q478">
        <v>458330</v>
      </c>
      <c r="R478" s="16" t="s">
        <v>8559</v>
      </c>
      <c r="S478" s="16" t="s">
        <v>8264</v>
      </c>
      <c r="T478" t="s">
        <v>1402</v>
      </c>
      <c r="U478">
        <v>0</v>
      </c>
    </row>
    <row r="479" spans="1:21">
      <c r="A479">
        <v>467</v>
      </c>
      <c r="B479" t="s">
        <v>2042</v>
      </c>
      <c r="C479" t="s">
        <v>1250</v>
      </c>
      <c r="D479">
        <v>1114</v>
      </c>
      <c r="E479">
        <v>12</v>
      </c>
      <c r="F479" t="s">
        <v>4445</v>
      </c>
      <c r="G479" t="s">
        <v>4719</v>
      </c>
      <c r="I479" t="s">
        <v>1286</v>
      </c>
      <c r="J479" t="s">
        <v>8668</v>
      </c>
      <c r="L479">
        <v>1</v>
      </c>
      <c r="M479" t="s">
        <v>4445</v>
      </c>
      <c r="N479" t="s">
        <v>6565</v>
      </c>
      <c r="O479" t="s">
        <v>104</v>
      </c>
      <c r="P479" t="s">
        <v>6756</v>
      </c>
      <c r="Q479" t="s">
        <v>6757</v>
      </c>
      <c r="R479" s="16" t="s">
        <v>8565</v>
      </c>
      <c r="S479" s="16" t="s">
        <v>8270</v>
      </c>
      <c r="T479" t="s">
        <v>7924</v>
      </c>
      <c r="U479">
        <v>0</v>
      </c>
    </row>
    <row r="480" spans="1:21">
      <c r="A480">
        <v>486</v>
      </c>
      <c r="B480" t="s">
        <v>1399</v>
      </c>
      <c r="C480" t="s">
        <v>666</v>
      </c>
      <c r="D480">
        <v>1202</v>
      </c>
      <c r="E480">
        <v>13</v>
      </c>
      <c r="F480" t="s">
        <v>4357</v>
      </c>
      <c r="G480" t="s">
        <v>4719</v>
      </c>
      <c r="I480" t="s">
        <v>1295</v>
      </c>
      <c r="J480" t="s">
        <v>8668</v>
      </c>
      <c r="L480">
        <v>1</v>
      </c>
      <c r="M480" t="s">
        <v>6437</v>
      </c>
      <c r="N480" t="s">
        <v>6438</v>
      </c>
      <c r="O480" t="s">
        <v>104</v>
      </c>
      <c r="P480">
        <v>12610</v>
      </c>
      <c r="Q480">
        <v>458330</v>
      </c>
      <c r="R480" s="16" t="s">
        <v>8559</v>
      </c>
      <c r="S480" s="16" t="s">
        <v>8264</v>
      </c>
      <c r="T480" t="s">
        <v>1399</v>
      </c>
      <c r="U480">
        <v>0</v>
      </c>
    </row>
    <row r="481" spans="1:21">
      <c r="A481">
        <v>487</v>
      </c>
      <c r="B481" t="s">
        <v>1400</v>
      </c>
      <c r="C481" t="s">
        <v>1266</v>
      </c>
      <c r="D481">
        <v>1202</v>
      </c>
      <c r="E481">
        <v>13</v>
      </c>
      <c r="F481" t="s">
        <v>4357</v>
      </c>
      <c r="G481" t="s">
        <v>4719</v>
      </c>
      <c r="I481" t="s">
        <v>1295</v>
      </c>
      <c r="J481" t="s">
        <v>8668</v>
      </c>
      <c r="L481">
        <v>1</v>
      </c>
      <c r="M481" t="s">
        <v>6437</v>
      </c>
      <c r="N481" t="s">
        <v>6438</v>
      </c>
      <c r="O481" t="s">
        <v>104</v>
      </c>
      <c r="P481">
        <v>12610</v>
      </c>
      <c r="Q481">
        <v>458330</v>
      </c>
      <c r="R481" s="16" t="s">
        <v>8559</v>
      </c>
      <c r="S481" s="16" t="s">
        <v>8264</v>
      </c>
      <c r="T481" t="s">
        <v>1400</v>
      </c>
      <c r="U481">
        <v>0</v>
      </c>
    </row>
    <row r="482" spans="1:21">
      <c r="A482">
        <v>479</v>
      </c>
      <c r="B482" t="s">
        <v>1396</v>
      </c>
      <c r="C482" t="s">
        <v>4721</v>
      </c>
      <c r="D482">
        <v>1162</v>
      </c>
      <c r="E482">
        <v>12</v>
      </c>
      <c r="F482" t="s">
        <v>1444</v>
      </c>
      <c r="G482" t="s">
        <v>4719</v>
      </c>
      <c r="I482" t="s">
        <v>1293</v>
      </c>
      <c r="J482" t="s">
        <v>8668</v>
      </c>
      <c r="L482">
        <v>0</v>
      </c>
      <c r="R482" s="16" t="s">
        <v>8064</v>
      </c>
      <c r="S482" s="16" t="s">
        <v>8064</v>
      </c>
      <c r="T482" t="s">
        <v>1396</v>
      </c>
      <c r="U482">
        <v>0</v>
      </c>
    </row>
    <row r="483" spans="1:21">
      <c r="A483">
        <v>463</v>
      </c>
      <c r="B483" t="s">
        <v>1385</v>
      </c>
      <c r="C483" t="s">
        <v>1247</v>
      </c>
      <c r="D483">
        <v>1032</v>
      </c>
      <c r="E483">
        <v>11</v>
      </c>
      <c r="F483" t="s">
        <v>4357</v>
      </c>
      <c r="G483" t="s">
        <v>4719</v>
      </c>
      <c r="I483" t="s">
        <v>1284</v>
      </c>
      <c r="J483" t="s">
        <v>8668</v>
      </c>
      <c r="L483">
        <v>1</v>
      </c>
      <c r="M483" t="s">
        <v>6437</v>
      </c>
      <c r="N483" t="s">
        <v>6438</v>
      </c>
      <c r="O483" t="s">
        <v>104</v>
      </c>
      <c r="P483">
        <v>12610</v>
      </c>
      <c r="Q483">
        <v>458330</v>
      </c>
      <c r="R483" s="16" t="s">
        <v>8559</v>
      </c>
      <c r="S483" s="16" t="s">
        <v>8264</v>
      </c>
      <c r="T483" t="s">
        <v>1385</v>
      </c>
      <c r="U483">
        <v>0</v>
      </c>
    </row>
    <row r="484" spans="1:21">
      <c r="A484">
        <v>495</v>
      </c>
      <c r="B484" t="s">
        <v>2048</v>
      </c>
      <c r="C484" t="s">
        <v>4723</v>
      </c>
      <c r="D484">
        <v>1256</v>
      </c>
      <c r="E484">
        <v>13</v>
      </c>
      <c r="F484" t="s">
        <v>4549</v>
      </c>
      <c r="G484" t="s">
        <v>4719</v>
      </c>
      <c r="I484" t="s">
        <v>1297</v>
      </c>
      <c r="J484" t="s">
        <v>8668</v>
      </c>
      <c r="L484">
        <v>1</v>
      </c>
      <c r="M484" t="s">
        <v>4549</v>
      </c>
      <c r="N484" t="s">
        <v>6345</v>
      </c>
      <c r="O484" t="s">
        <v>104</v>
      </c>
      <c r="P484">
        <v>38770</v>
      </c>
      <c r="Q484">
        <v>436110</v>
      </c>
      <c r="R484" s="16" t="s">
        <v>8538</v>
      </c>
      <c r="S484" s="16" t="s">
        <v>8243</v>
      </c>
      <c r="T484" t="s">
        <v>7926</v>
      </c>
      <c r="U484">
        <v>0</v>
      </c>
    </row>
    <row r="485" spans="1:21">
      <c r="A485">
        <v>468</v>
      </c>
      <c r="B485" t="s">
        <v>1387</v>
      </c>
      <c r="C485" t="s">
        <v>1251</v>
      </c>
      <c r="D485">
        <v>1118</v>
      </c>
      <c r="E485">
        <v>12</v>
      </c>
      <c r="F485" t="s">
        <v>4451</v>
      </c>
      <c r="G485" t="s">
        <v>4719</v>
      </c>
      <c r="I485" t="s">
        <v>1285</v>
      </c>
      <c r="J485" t="s">
        <v>8668</v>
      </c>
      <c r="L485">
        <v>1</v>
      </c>
      <c r="M485" t="s">
        <v>6657</v>
      </c>
      <c r="N485" t="s">
        <v>6658</v>
      </c>
      <c r="O485" t="s">
        <v>104</v>
      </c>
      <c r="P485" t="s">
        <v>6659</v>
      </c>
      <c r="Q485" t="s">
        <v>6660</v>
      </c>
      <c r="R485" s="16" t="s">
        <v>8566</v>
      </c>
      <c r="S485" s="16" t="s">
        <v>8271</v>
      </c>
      <c r="T485" t="s">
        <v>1387</v>
      </c>
      <c r="U485">
        <v>0</v>
      </c>
    </row>
    <row r="486" spans="1:21">
      <c r="A486">
        <v>469</v>
      </c>
      <c r="B486" t="s">
        <v>1388</v>
      </c>
      <c r="C486" t="s">
        <v>1252</v>
      </c>
      <c r="D486">
        <v>1122</v>
      </c>
      <c r="E486">
        <v>12</v>
      </c>
      <c r="F486" t="s">
        <v>4451</v>
      </c>
      <c r="G486" t="s">
        <v>4719</v>
      </c>
      <c r="I486" t="s">
        <v>1287</v>
      </c>
      <c r="J486" t="s">
        <v>8668</v>
      </c>
      <c r="L486">
        <v>1</v>
      </c>
      <c r="M486" t="s">
        <v>6657</v>
      </c>
      <c r="N486" t="s">
        <v>6658</v>
      </c>
      <c r="O486" t="s">
        <v>104</v>
      </c>
      <c r="P486" t="s">
        <v>6659</v>
      </c>
      <c r="Q486" t="s">
        <v>6660</v>
      </c>
      <c r="R486" s="16" t="s">
        <v>8566</v>
      </c>
      <c r="S486" s="16" t="s">
        <v>8271</v>
      </c>
      <c r="T486" t="s">
        <v>1388</v>
      </c>
      <c r="U486">
        <v>0</v>
      </c>
    </row>
    <row r="487" spans="1:21">
      <c r="A487">
        <v>492</v>
      </c>
      <c r="B487" t="s">
        <v>1405</v>
      </c>
      <c r="C487" t="s">
        <v>1269</v>
      </c>
      <c r="D487">
        <v>1240</v>
      </c>
      <c r="E487">
        <v>13</v>
      </c>
      <c r="F487" t="s">
        <v>1444</v>
      </c>
      <c r="G487" t="s">
        <v>4719</v>
      </c>
      <c r="I487" t="s">
        <v>1300</v>
      </c>
      <c r="J487" t="s">
        <v>8668</v>
      </c>
      <c r="L487">
        <v>0</v>
      </c>
      <c r="R487" s="16" t="s">
        <v>8064</v>
      </c>
      <c r="S487" s="16" t="s">
        <v>8064</v>
      </c>
      <c r="T487" t="s">
        <v>1405</v>
      </c>
      <c r="U487">
        <v>0</v>
      </c>
    </row>
    <row r="488" spans="1:21">
      <c r="A488">
        <v>483</v>
      </c>
      <c r="B488" t="s">
        <v>2046</v>
      </c>
      <c r="C488" t="s">
        <v>1263</v>
      </c>
      <c r="D488">
        <v>1201</v>
      </c>
      <c r="E488">
        <v>13</v>
      </c>
      <c r="F488" t="s">
        <v>4357</v>
      </c>
      <c r="G488" t="s">
        <v>4719</v>
      </c>
      <c r="I488" t="s">
        <v>1294</v>
      </c>
      <c r="J488" t="s">
        <v>8668</v>
      </c>
      <c r="L488">
        <v>1</v>
      </c>
      <c r="M488" t="s">
        <v>6437</v>
      </c>
      <c r="N488" t="s">
        <v>6438</v>
      </c>
      <c r="O488" t="s">
        <v>104</v>
      </c>
      <c r="P488">
        <v>12610</v>
      </c>
      <c r="Q488">
        <v>458330</v>
      </c>
      <c r="R488" s="16" t="s">
        <v>8559</v>
      </c>
      <c r="S488" s="16" t="s">
        <v>8264</v>
      </c>
      <c r="T488" t="s">
        <v>7928</v>
      </c>
      <c r="U488">
        <v>0</v>
      </c>
    </row>
    <row r="489" spans="1:21">
      <c r="A489">
        <v>459</v>
      </c>
      <c r="B489" t="s">
        <v>2039</v>
      </c>
      <c r="C489" t="s">
        <v>1239</v>
      </c>
      <c r="D489">
        <v>951</v>
      </c>
      <c r="E489">
        <v>10</v>
      </c>
      <c r="F489" t="s">
        <v>1444</v>
      </c>
      <c r="G489" t="s">
        <v>4719</v>
      </c>
      <c r="I489" t="s">
        <v>1282</v>
      </c>
      <c r="J489" t="s">
        <v>8668</v>
      </c>
      <c r="L489">
        <v>0</v>
      </c>
      <c r="R489" s="16" t="s">
        <v>8064</v>
      </c>
      <c r="S489" s="16" t="s">
        <v>8064</v>
      </c>
      <c r="T489" t="s">
        <v>7931</v>
      </c>
      <c r="U489">
        <v>0</v>
      </c>
    </row>
    <row r="490" spans="1:21">
      <c r="A490">
        <v>470</v>
      </c>
      <c r="B490" t="s">
        <v>1389</v>
      </c>
      <c r="C490" t="s">
        <v>1252</v>
      </c>
      <c r="D490">
        <v>1122</v>
      </c>
      <c r="E490">
        <v>12</v>
      </c>
      <c r="F490" t="s">
        <v>4451</v>
      </c>
      <c r="G490" t="s">
        <v>4719</v>
      </c>
      <c r="I490" t="s">
        <v>1287</v>
      </c>
      <c r="J490" t="s">
        <v>8668</v>
      </c>
      <c r="L490">
        <v>1</v>
      </c>
      <c r="M490" t="s">
        <v>6657</v>
      </c>
      <c r="N490" t="s">
        <v>6658</v>
      </c>
      <c r="O490" t="s">
        <v>104</v>
      </c>
      <c r="P490" t="s">
        <v>6659</v>
      </c>
      <c r="Q490" t="s">
        <v>6660</v>
      </c>
      <c r="R490" s="16" t="s">
        <v>8566</v>
      </c>
      <c r="S490" s="16" t="s">
        <v>8271</v>
      </c>
      <c r="T490" t="s">
        <v>1389</v>
      </c>
      <c r="U490">
        <v>0</v>
      </c>
    </row>
    <row r="491" spans="1:21">
      <c r="A491">
        <v>510</v>
      </c>
      <c r="B491" t="s">
        <v>1413</v>
      </c>
      <c r="C491" t="s">
        <v>414</v>
      </c>
      <c r="D491">
        <v>1300</v>
      </c>
      <c r="E491">
        <v>13</v>
      </c>
      <c r="F491" t="s">
        <v>1444</v>
      </c>
      <c r="G491" t="s">
        <v>4719</v>
      </c>
      <c r="I491" t="s">
        <v>1308</v>
      </c>
      <c r="J491" t="s">
        <v>8668</v>
      </c>
      <c r="L491">
        <v>0</v>
      </c>
      <c r="R491" s="16" t="s">
        <v>8064</v>
      </c>
      <c r="S491" s="16" t="s">
        <v>8064</v>
      </c>
      <c r="T491" t="s">
        <v>1413</v>
      </c>
      <c r="U491">
        <v>0</v>
      </c>
    </row>
    <row r="492" spans="1:21">
      <c r="A492">
        <v>502</v>
      </c>
      <c r="B492" t="s">
        <v>2055</v>
      </c>
      <c r="C492" t="s">
        <v>4728</v>
      </c>
      <c r="D492">
        <v>1274</v>
      </c>
      <c r="E492">
        <v>13</v>
      </c>
      <c r="F492" t="s">
        <v>1444</v>
      </c>
      <c r="G492" t="s">
        <v>4719</v>
      </c>
      <c r="I492" t="s">
        <v>1304</v>
      </c>
      <c r="J492" t="s">
        <v>8668</v>
      </c>
      <c r="L492">
        <v>0</v>
      </c>
      <c r="R492" s="16" t="s">
        <v>8064</v>
      </c>
      <c r="S492" s="16" t="s">
        <v>8064</v>
      </c>
      <c r="T492" t="s">
        <v>7932</v>
      </c>
      <c r="U492">
        <v>0</v>
      </c>
    </row>
    <row r="493" spans="1:21">
      <c r="A493">
        <v>507</v>
      </c>
      <c r="B493" t="s">
        <v>1412</v>
      </c>
      <c r="C493" t="s">
        <v>4730</v>
      </c>
      <c r="D493">
        <v>1283</v>
      </c>
      <c r="E493">
        <v>13</v>
      </c>
      <c r="F493" t="s">
        <v>1444</v>
      </c>
      <c r="G493" t="s">
        <v>4719</v>
      </c>
      <c r="I493" t="s">
        <v>1307</v>
      </c>
      <c r="J493" t="s">
        <v>8668</v>
      </c>
      <c r="L493">
        <v>0</v>
      </c>
      <c r="R493" s="16" t="s">
        <v>8064</v>
      </c>
      <c r="S493" s="16" t="s">
        <v>8064</v>
      </c>
      <c r="T493" t="s">
        <v>1412</v>
      </c>
      <c r="U493">
        <v>0</v>
      </c>
    </row>
    <row r="494" spans="1:21">
      <c r="A494">
        <v>485</v>
      </c>
      <c r="B494" t="s">
        <v>2047</v>
      </c>
      <c r="C494" t="s">
        <v>1264</v>
      </c>
      <c r="D494">
        <v>1202</v>
      </c>
      <c r="E494">
        <v>13</v>
      </c>
      <c r="F494" t="s">
        <v>4357</v>
      </c>
      <c r="G494" t="s">
        <v>4719</v>
      </c>
      <c r="I494" t="s">
        <v>1310</v>
      </c>
      <c r="J494" t="s">
        <v>8668</v>
      </c>
      <c r="L494">
        <v>1</v>
      </c>
      <c r="M494" t="s">
        <v>6437</v>
      </c>
      <c r="N494" t="s">
        <v>6438</v>
      </c>
      <c r="O494" t="s">
        <v>104</v>
      </c>
      <c r="P494">
        <v>12610</v>
      </c>
      <c r="Q494">
        <v>458330</v>
      </c>
      <c r="R494" s="16" t="s">
        <v>8559</v>
      </c>
      <c r="S494" s="16" t="s">
        <v>8264</v>
      </c>
      <c r="T494" t="s">
        <v>8039</v>
      </c>
      <c r="U494">
        <v>0</v>
      </c>
    </row>
    <row r="495" spans="1:21">
      <c r="A495">
        <v>493</v>
      </c>
      <c r="B495" t="s">
        <v>1404</v>
      </c>
      <c r="C495" t="s">
        <v>1269</v>
      </c>
      <c r="D495">
        <v>1240</v>
      </c>
      <c r="E495">
        <v>13</v>
      </c>
      <c r="F495" t="s">
        <v>1444</v>
      </c>
      <c r="G495" t="s">
        <v>4719</v>
      </c>
      <c r="I495" t="s">
        <v>1300</v>
      </c>
      <c r="J495" t="s">
        <v>8668</v>
      </c>
      <c r="L495">
        <v>0</v>
      </c>
      <c r="R495" s="16" t="s">
        <v>8064</v>
      </c>
      <c r="S495" s="16" t="s">
        <v>8064</v>
      </c>
      <c r="T495" t="s">
        <v>1404</v>
      </c>
      <c r="U495">
        <v>0</v>
      </c>
    </row>
    <row r="496" spans="1:21">
      <c r="A496">
        <v>464</v>
      </c>
      <c r="B496" t="s">
        <v>2040</v>
      </c>
      <c r="C496" t="s">
        <v>4720</v>
      </c>
      <c r="D496">
        <v>1058</v>
      </c>
      <c r="E496">
        <v>11</v>
      </c>
      <c r="F496" t="s">
        <v>4418</v>
      </c>
      <c r="G496" t="s">
        <v>4719</v>
      </c>
      <c r="I496" t="s">
        <v>1283</v>
      </c>
      <c r="J496" t="s">
        <v>8668</v>
      </c>
      <c r="L496">
        <v>1</v>
      </c>
      <c r="M496" t="s">
        <v>4418</v>
      </c>
      <c r="N496" t="s">
        <v>6773</v>
      </c>
      <c r="O496" t="s">
        <v>104</v>
      </c>
      <c r="P496" t="s">
        <v>6774</v>
      </c>
      <c r="Q496" t="s">
        <v>6775</v>
      </c>
      <c r="R496" s="16" t="s">
        <v>8558</v>
      </c>
      <c r="S496" s="16" t="s">
        <v>8263</v>
      </c>
      <c r="T496" t="s">
        <v>8024</v>
      </c>
      <c r="U496">
        <v>0</v>
      </c>
    </row>
    <row r="497" spans="1:21">
      <c r="A497">
        <v>473</v>
      </c>
      <c r="B497" t="s">
        <v>1393</v>
      </c>
      <c r="C497" t="s">
        <v>592</v>
      </c>
      <c r="D497">
        <v>1138</v>
      </c>
      <c r="E497">
        <v>12</v>
      </c>
      <c r="F497" t="s">
        <v>1444</v>
      </c>
      <c r="G497" t="s">
        <v>4719</v>
      </c>
      <c r="I497" t="s">
        <v>1290</v>
      </c>
      <c r="J497" t="s">
        <v>8668</v>
      </c>
      <c r="L497">
        <v>0</v>
      </c>
      <c r="R497" s="16" t="s">
        <v>8064</v>
      </c>
      <c r="S497" s="16" t="s">
        <v>8064</v>
      </c>
      <c r="T497" t="s">
        <v>1393</v>
      </c>
      <c r="U497">
        <v>0</v>
      </c>
    </row>
    <row r="498" spans="1:21">
      <c r="A498">
        <v>478</v>
      </c>
      <c r="B498" t="s">
        <v>1390</v>
      </c>
      <c r="C498" t="s">
        <v>1259</v>
      </c>
      <c r="D498">
        <v>1154</v>
      </c>
      <c r="E498">
        <v>12</v>
      </c>
      <c r="F498" t="s">
        <v>4445</v>
      </c>
      <c r="G498" t="s">
        <v>4719</v>
      </c>
      <c r="I498" t="s">
        <v>1288</v>
      </c>
      <c r="J498" t="s">
        <v>8668</v>
      </c>
      <c r="L498">
        <v>1</v>
      </c>
      <c r="M498" t="s">
        <v>4445</v>
      </c>
      <c r="N498" t="s">
        <v>6565</v>
      </c>
      <c r="O498" t="s">
        <v>104</v>
      </c>
      <c r="P498" t="s">
        <v>6756</v>
      </c>
      <c r="Q498" t="s">
        <v>6757</v>
      </c>
      <c r="R498" s="16" t="s">
        <v>8565</v>
      </c>
      <c r="S498" s="16" t="s">
        <v>8270</v>
      </c>
      <c r="T498" t="s">
        <v>1390</v>
      </c>
      <c r="U498">
        <v>0</v>
      </c>
    </row>
    <row r="499" spans="1:21">
      <c r="A499">
        <v>500</v>
      </c>
      <c r="B499" t="s">
        <v>1408</v>
      </c>
      <c r="C499" t="s">
        <v>1275</v>
      </c>
      <c r="D499">
        <v>1270</v>
      </c>
      <c r="E499">
        <v>13</v>
      </c>
      <c r="F499" t="s">
        <v>1444</v>
      </c>
      <c r="G499" t="s">
        <v>4719</v>
      </c>
      <c r="I499" t="s">
        <v>1303</v>
      </c>
      <c r="J499" t="s">
        <v>8668</v>
      </c>
      <c r="L499">
        <v>0</v>
      </c>
      <c r="R499" s="16" t="s">
        <v>8064</v>
      </c>
      <c r="S499" s="16" t="s">
        <v>8064</v>
      </c>
      <c r="T499" t="s">
        <v>1408</v>
      </c>
      <c r="U499">
        <v>0</v>
      </c>
    </row>
    <row r="500" spans="1:21">
      <c r="A500">
        <v>499</v>
      </c>
      <c r="B500" t="s">
        <v>2052</v>
      </c>
      <c r="C500" t="s">
        <v>751</v>
      </c>
      <c r="D500">
        <v>1269</v>
      </c>
      <c r="E500">
        <v>13</v>
      </c>
      <c r="F500" t="s">
        <v>1444</v>
      </c>
      <c r="G500" t="s">
        <v>4719</v>
      </c>
      <c r="I500" t="s">
        <v>1302</v>
      </c>
      <c r="J500" t="s">
        <v>8668</v>
      </c>
      <c r="L500">
        <v>0</v>
      </c>
      <c r="R500" s="16" t="s">
        <v>8064</v>
      </c>
      <c r="S500" s="16" t="s">
        <v>8064</v>
      </c>
      <c r="T500" t="s">
        <v>7933</v>
      </c>
      <c r="U500">
        <v>0</v>
      </c>
    </row>
    <row r="501" spans="1:21">
      <c r="A501">
        <v>491</v>
      </c>
      <c r="B501" t="s">
        <v>1406</v>
      </c>
      <c r="C501" t="s">
        <v>1268</v>
      </c>
      <c r="D501">
        <v>1239</v>
      </c>
      <c r="E501">
        <v>13</v>
      </c>
      <c r="F501" t="s">
        <v>1444</v>
      </c>
      <c r="G501" t="s">
        <v>4719</v>
      </c>
      <c r="I501" t="s">
        <v>1301</v>
      </c>
      <c r="J501" t="s">
        <v>8668</v>
      </c>
      <c r="L501">
        <v>0</v>
      </c>
      <c r="R501" s="16" t="s">
        <v>8064</v>
      </c>
      <c r="S501" s="16" t="s">
        <v>8064</v>
      </c>
      <c r="T501" t="s">
        <v>1406</v>
      </c>
      <c r="U501">
        <v>0</v>
      </c>
    </row>
    <row r="502" spans="1:21">
      <c r="A502">
        <v>508</v>
      </c>
      <c r="B502" t="s">
        <v>2057</v>
      </c>
      <c r="C502" t="s">
        <v>778</v>
      </c>
      <c r="D502">
        <v>1286</v>
      </c>
      <c r="E502">
        <v>13</v>
      </c>
      <c r="F502" t="s">
        <v>1444</v>
      </c>
      <c r="G502" t="s">
        <v>4719</v>
      </c>
      <c r="I502" t="s">
        <v>1307</v>
      </c>
      <c r="J502" t="s">
        <v>8668</v>
      </c>
      <c r="L502">
        <v>0</v>
      </c>
      <c r="R502" s="16" t="s">
        <v>8064</v>
      </c>
      <c r="S502" s="16" t="s">
        <v>8064</v>
      </c>
      <c r="T502" t="s">
        <v>7934</v>
      </c>
      <c r="U502">
        <v>0</v>
      </c>
    </row>
    <row r="503" spans="1:21">
      <c r="A503">
        <v>504</v>
      </c>
      <c r="B503" t="s">
        <v>1409</v>
      </c>
      <c r="C503" t="s">
        <v>1276</v>
      </c>
      <c r="D503">
        <v>1279</v>
      </c>
      <c r="E503">
        <v>13</v>
      </c>
      <c r="F503" t="s">
        <v>1444</v>
      </c>
      <c r="G503" t="s">
        <v>4719</v>
      </c>
      <c r="I503" t="s">
        <v>1305</v>
      </c>
      <c r="J503" t="s">
        <v>8668</v>
      </c>
      <c r="L503">
        <v>0</v>
      </c>
      <c r="R503" s="16" t="s">
        <v>8064</v>
      </c>
      <c r="S503" s="16" t="s">
        <v>8064</v>
      </c>
      <c r="T503" t="s">
        <v>1409</v>
      </c>
      <c r="U503">
        <v>0</v>
      </c>
    </row>
    <row r="504" spans="1:21">
      <c r="A504">
        <v>476</v>
      </c>
      <c r="B504" t="s">
        <v>1395</v>
      </c>
      <c r="C504" t="s">
        <v>1257</v>
      </c>
      <c r="D504">
        <v>1149</v>
      </c>
      <c r="E504">
        <v>12</v>
      </c>
      <c r="F504" t="s">
        <v>1444</v>
      </c>
      <c r="G504" t="s">
        <v>4719</v>
      </c>
      <c r="I504" t="s">
        <v>1291</v>
      </c>
      <c r="J504" t="s">
        <v>8668</v>
      </c>
      <c r="L504">
        <v>0</v>
      </c>
      <c r="R504" s="16" t="s">
        <v>8064</v>
      </c>
      <c r="S504" s="16" t="s">
        <v>8064</v>
      </c>
      <c r="T504" t="s">
        <v>1395</v>
      </c>
      <c r="U504">
        <v>0</v>
      </c>
    </row>
    <row r="505" spans="1:21">
      <c r="A505">
        <v>503</v>
      </c>
      <c r="B505" t="s">
        <v>1411</v>
      </c>
      <c r="C505" t="s">
        <v>1020</v>
      </c>
      <c r="D505">
        <v>1276</v>
      </c>
      <c r="E505">
        <v>13</v>
      </c>
      <c r="F505" t="s">
        <v>1444</v>
      </c>
      <c r="G505" t="s">
        <v>4719</v>
      </c>
      <c r="I505" t="s">
        <v>1306</v>
      </c>
      <c r="J505" t="s">
        <v>8668</v>
      </c>
      <c r="L505">
        <v>0</v>
      </c>
      <c r="R505" s="16" t="s">
        <v>8064</v>
      </c>
      <c r="S505" s="16" t="s">
        <v>8064</v>
      </c>
      <c r="T505" t="s">
        <v>1411</v>
      </c>
      <c r="U505">
        <v>0</v>
      </c>
    </row>
    <row r="506" spans="1:21">
      <c r="A506">
        <v>501</v>
      </c>
      <c r="B506" t="s">
        <v>2054</v>
      </c>
      <c r="C506" t="s">
        <v>760</v>
      </c>
      <c r="D506">
        <v>1273</v>
      </c>
      <c r="E506">
        <v>13</v>
      </c>
      <c r="F506" t="s">
        <v>4502</v>
      </c>
      <c r="G506" t="s">
        <v>4719</v>
      </c>
      <c r="I506" t="s">
        <v>1304</v>
      </c>
      <c r="J506" t="s">
        <v>8668</v>
      </c>
      <c r="L506">
        <v>1</v>
      </c>
      <c r="M506" t="s">
        <v>4502</v>
      </c>
      <c r="N506" t="s">
        <v>6456</v>
      </c>
      <c r="O506" t="s">
        <v>104</v>
      </c>
      <c r="P506">
        <v>23522</v>
      </c>
      <c r="Q506">
        <v>488566</v>
      </c>
      <c r="R506" s="16" t="s">
        <v>8364</v>
      </c>
      <c r="S506" s="16" t="s">
        <v>8069</v>
      </c>
      <c r="T506" t="s">
        <v>7925</v>
      </c>
      <c r="U506">
        <v>0</v>
      </c>
    </row>
    <row r="507" spans="1:21">
      <c r="A507">
        <v>506</v>
      </c>
      <c r="B507" t="s">
        <v>2056</v>
      </c>
      <c r="C507" t="s">
        <v>4729</v>
      </c>
      <c r="D507">
        <v>1281</v>
      </c>
      <c r="E507">
        <v>13</v>
      </c>
      <c r="F507" t="s">
        <v>4614</v>
      </c>
      <c r="G507" t="s">
        <v>4719</v>
      </c>
      <c r="I507" t="s">
        <v>1306</v>
      </c>
      <c r="J507" t="s">
        <v>8668</v>
      </c>
      <c r="L507">
        <v>1</v>
      </c>
      <c r="M507" t="s">
        <v>4614</v>
      </c>
      <c r="N507" t="s">
        <v>6404</v>
      </c>
      <c r="O507" t="s">
        <v>11</v>
      </c>
      <c r="P507">
        <v>155450</v>
      </c>
      <c r="Q507">
        <v>414620</v>
      </c>
      <c r="R507" s="16" t="s">
        <v>8567</v>
      </c>
      <c r="S507" s="16" t="s">
        <v>8272</v>
      </c>
      <c r="T507" t="s">
        <v>7929</v>
      </c>
      <c r="U507">
        <v>0</v>
      </c>
    </row>
    <row r="508" spans="1:21">
      <c r="A508">
        <v>462</v>
      </c>
      <c r="B508" t="s">
        <v>1384</v>
      </c>
      <c r="C508" t="s">
        <v>1245</v>
      </c>
      <c r="D508">
        <v>1031</v>
      </c>
      <c r="E508">
        <v>11</v>
      </c>
      <c r="F508" t="s">
        <v>4357</v>
      </c>
      <c r="G508" t="s">
        <v>4719</v>
      </c>
      <c r="I508" t="s">
        <v>1283</v>
      </c>
      <c r="J508" t="s">
        <v>8668</v>
      </c>
      <c r="L508">
        <v>1</v>
      </c>
      <c r="M508" t="s">
        <v>6437</v>
      </c>
      <c r="N508" t="s">
        <v>6438</v>
      </c>
      <c r="O508" t="s">
        <v>104</v>
      </c>
      <c r="P508">
        <v>12610</v>
      </c>
      <c r="Q508">
        <v>458330</v>
      </c>
      <c r="R508" s="16" t="s">
        <v>8559</v>
      </c>
      <c r="S508" s="16" t="s">
        <v>8264</v>
      </c>
      <c r="T508" t="s">
        <v>1384</v>
      </c>
      <c r="U508">
        <v>0</v>
      </c>
    </row>
    <row r="509" spans="1:21">
      <c r="A509">
        <v>484</v>
      </c>
      <c r="B509" t="s">
        <v>1401</v>
      </c>
      <c r="C509" t="s">
        <v>1265</v>
      </c>
      <c r="D509">
        <v>1201</v>
      </c>
      <c r="E509">
        <v>13</v>
      </c>
      <c r="F509" t="s">
        <v>1444</v>
      </c>
      <c r="G509" t="s">
        <v>4719</v>
      </c>
      <c r="I509" t="s">
        <v>1296</v>
      </c>
      <c r="J509" t="s">
        <v>8668</v>
      </c>
      <c r="L509">
        <v>0</v>
      </c>
      <c r="R509" s="16" t="s">
        <v>8064</v>
      </c>
      <c r="S509" s="16" t="s">
        <v>8064</v>
      </c>
      <c r="T509" t="s">
        <v>1401</v>
      </c>
      <c r="U509">
        <v>0</v>
      </c>
    </row>
    <row r="510" spans="1:21">
      <c r="A510">
        <v>480</v>
      </c>
      <c r="B510" t="s">
        <v>1397</v>
      </c>
      <c r="C510" t="s">
        <v>1261</v>
      </c>
      <c r="D510">
        <v>1175</v>
      </c>
      <c r="E510">
        <v>12</v>
      </c>
      <c r="F510" t="s">
        <v>1444</v>
      </c>
      <c r="G510" t="s">
        <v>4719</v>
      </c>
      <c r="I510" t="s">
        <v>1293</v>
      </c>
      <c r="J510" t="s">
        <v>8668</v>
      </c>
      <c r="L510">
        <v>0</v>
      </c>
      <c r="R510" s="16" t="s">
        <v>8064</v>
      </c>
      <c r="S510" s="16" t="s">
        <v>8064</v>
      </c>
      <c r="T510" t="s">
        <v>1397</v>
      </c>
      <c r="U510">
        <v>0</v>
      </c>
    </row>
    <row r="511" spans="1:21">
      <c r="A511">
        <v>482</v>
      </c>
      <c r="B511" t="s">
        <v>2045</v>
      </c>
      <c r="C511" t="s">
        <v>4722</v>
      </c>
      <c r="D511">
        <v>1195</v>
      </c>
      <c r="E511">
        <v>12</v>
      </c>
      <c r="F511" t="s">
        <v>1444</v>
      </c>
      <c r="G511" t="s">
        <v>4719</v>
      </c>
      <c r="I511" t="s">
        <v>1294</v>
      </c>
      <c r="J511" t="s">
        <v>8668</v>
      </c>
      <c r="L511">
        <v>0</v>
      </c>
      <c r="R511" s="16" t="s">
        <v>8064</v>
      </c>
      <c r="S511" s="16" t="s">
        <v>8064</v>
      </c>
      <c r="T511" t="s">
        <v>7936</v>
      </c>
      <c r="U511">
        <v>0</v>
      </c>
    </row>
    <row r="512" spans="1:21">
      <c r="A512">
        <v>513</v>
      </c>
      <c r="B512" t="s">
        <v>1719</v>
      </c>
      <c r="C512" t="s">
        <v>4718</v>
      </c>
      <c r="D512">
        <v>1296</v>
      </c>
      <c r="E512">
        <v>13</v>
      </c>
      <c r="F512" t="s">
        <v>4550</v>
      </c>
      <c r="G512" t="s">
        <v>9213</v>
      </c>
      <c r="I512" t="s">
        <v>1505</v>
      </c>
      <c r="J512" t="s">
        <v>9011</v>
      </c>
      <c r="L512">
        <v>1</v>
      </c>
      <c r="M512" t="s">
        <v>4550</v>
      </c>
      <c r="N512" t="s">
        <v>6345</v>
      </c>
      <c r="O512" t="s">
        <v>104</v>
      </c>
      <c r="P512">
        <v>14440</v>
      </c>
      <c r="Q512">
        <v>436040</v>
      </c>
      <c r="R512" s="16" t="s">
        <v>8474</v>
      </c>
      <c r="S512" s="16" t="s">
        <v>8178</v>
      </c>
      <c r="T512" t="s">
        <v>1719</v>
      </c>
      <c r="U512">
        <v>1</v>
      </c>
    </row>
    <row r="513" spans="1:21">
      <c r="A513">
        <v>514</v>
      </c>
      <c r="B513" t="s">
        <v>2061</v>
      </c>
      <c r="C513" t="s">
        <v>5003</v>
      </c>
      <c r="D513">
        <v>1005</v>
      </c>
      <c r="E513">
        <v>11</v>
      </c>
      <c r="F513" t="s">
        <v>4369</v>
      </c>
      <c r="G513" t="s">
        <v>9184</v>
      </c>
      <c r="J513" t="s">
        <v>8999</v>
      </c>
      <c r="L513">
        <v>1</v>
      </c>
      <c r="M513" t="s">
        <v>4369</v>
      </c>
      <c r="N513" t="s">
        <v>6787</v>
      </c>
      <c r="O513" t="s">
        <v>104</v>
      </c>
      <c r="P513" t="s">
        <v>6788</v>
      </c>
      <c r="Q513" t="s">
        <v>6789</v>
      </c>
      <c r="R513" s="16" t="s">
        <v>8463</v>
      </c>
      <c r="S513" s="16" t="s">
        <v>8167</v>
      </c>
      <c r="T513" t="s">
        <v>7937</v>
      </c>
      <c r="U513">
        <v>1</v>
      </c>
    </row>
    <row r="514" spans="1:21">
      <c r="A514">
        <v>515</v>
      </c>
      <c r="B514" t="s">
        <v>1634</v>
      </c>
      <c r="C514" t="s">
        <v>4748</v>
      </c>
      <c r="D514">
        <v>1232</v>
      </c>
      <c r="E514">
        <v>13</v>
      </c>
      <c r="F514" t="s">
        <v>4367</v>
      </c>
      <c r="G514" t="s">
        <v>9210</v>
      </c>
      <c r="I514" t="s">
        <v>1472</v>
      </c>
      <c r="J514" t="s">
        <v>9016</v>
      </c>
      <c r="L514">
        <v>1</v>
      </c>
      <c r="M514" t="s">
        <v>4367</v>
      </c>
      <c r="N514" t="s">
        <v>6359</v>
      </c>
      <c r="O514" t="s">
        <v>104</v>
      </c>
      <c r="P514" t="s">
        <v>6491</v>
      </c>
      <c r="Q514">
        <v>473940</v>
      </c>
      <c r="R514" s="16" t="s">
        <v>8482</v>
      </c>
      <c r="S514" s="16" t="s">
        <v>8187</v>
      </c>
      <c r="T514" t="s">
        <v>1634</v>
      </c>
      <c r="U514">
        <v>1</v>
      </c>
    </row>
    <row r="515" spans="1:21">
      <c r="A515">
        <v>516</v>
      </c>
      <c r="B515" t="s">
        <v>1608</v>
      </c>
      <c r="C515" t="s">
        <v>1364</v>
      </c>
      <c r="D515">
        <v>1100</v>
      </c>
      <c r="E515">
        <v>12</v>
      </c>
      <c r="F515" t="s">
        <v>4436</v>
      </c>
      <c r="G515" t="s">
        <v>9185</v>
      </c>
      <c r="J515" t="s">
        <v>9006</v>
      </c>
      <c r="L515">
        <v>1</v>
      </c>
      <c r="M515" t="s">
        <v>6437</v>
      </c>
      <c r="N515" t="s">
        <v>6438</v>
      </c>
      <c r="O515" t="s">
        <v>104</v>
      </c>
      <c r="P515">
        <v>12610</v>
      </c>
      <c r="Q515">
        <v>458330</v>
      </c>
      <c r="R515" s="16" t="s">
        <v>8559</v>
      </c>
      <c r="S515" s="16" t="s">
        <v>8264</v>
      </c>
      <c r="T515" t="s">
        <v>1608</v>
      </c>
      <c r="U515">
        <v>1</v>
      </c>
    </row>
    <row r="516" spans="1:21">
      <c r="A516">
        <v>517</v>
      </c>
      <c r="B516" t="s">
        <v>1584</v>
      </c>
      <c r="C516" t="s">
        <v>5004</v>
      </c>
      <c r="D516">
        <v>993</v>
      </c>
      <c r="E516">
        <v>10</v>
      </c>
      <c r="F516" t="s">
        <v>4370</v>
      </c>
      <c r="G516" t="s">
        <v>9186</v>
      </c>
      <c r="J516" t="s">
        <v>9001</v>
      </c>
      <c r="L516">
        <v>1</v>
      </c>
      <c r="M516" t="s">
        <v>4370</v>
      </c>
      <c r="N516" t="s">
        <v>6293</v>
      </c>
      <c r="O516" t="s">
        <v>3995</v>
      </c>
      <c r="P516" t="s">
        <v>6716</v>
      </c>
      <c r="Q516" t="s">
        <v>6717</v>
      </c>
      <c r="R516" s="16" t="s">
        <v>8573</v>
      </c>
      <c r="S516" s="16" t="s">
        <v>8278</v>
      </c>
      <c r="T516" t="s">
        <v>1584</v>
      </c>
      <c r="U516">
        <v>1</v>
      </c>
    </row>
    <row r="517" spans="1:21">
      <c r="A517">
        <v>522</v>
      </c>
      <c r="B517" t="s">
        <v>1602</v>
      </c>
      <c r="C517" t="s">
        <v>4419</v>
      </c>
      <c r="D517">
        <v>1059</v>
      </c>
      <c r="E517">
        <v>11</v>
      </c>
      <c r="F517" t="s">
        <v>4387</v>
      </c>
      <c r="G517" t="s">
        <v>9214</v>
      </c>
      <c r="I517" t="s">
        <v>1454</v>
      </c>
      <c r="J517" t="s">
        <v>9021</v>
      </c>
      <c r="L517">
        <v>1</v>
      </c>
      <c r="M517" t="s">
        <v>4387</v>
      </c>
      <c r="N517" t="s">
        <v>6308</v>
      </c>
      <c r="O517" t="s">
        <v>104</v>
      </c>
      <c r="P517">
        <v>31610</v>
      </c>
      <c r="Q517">
        <v>469890</v>
      </c>
      <c r="R517" s="16" t="s">
        <v>8574</v>
      </c>
      <c r="S517" s="16" t="s">
        <v>8279</v>
      </c>
      <c r="T517" t="s">
        <v>1602</v>
      </c>
      <c r="U517">
        <v>1</v>
      </c>
    </row>
    <row r="518" spans="1:21">
      <c r="A518">
        <v>525</v>
      </c>
      <c r="B518" t="s">
        <v>1592</v>
      </c>
      <c r="C518" t="s">
        <v>4394</v>
      </c>
      <c r="D518">
        <v>1041</v>
      </c>
      <c r="E518">
        <v>11</v>
      </c>
      <c r="F518" t="s">
        <v>4395</v>
      </c>
      <c r="G518" t="s">
        <v>9187</v>
      </c>
      <c r="I518" t="s">
        <v>1449</v>
      </c>
      <c r="J518" t="s">
        <v>9020</v>
      </c>
      <c r="L518">
        <v>1</v>
      </c>
      <c r="M518" t="s">
        <v>6383</v>
      </c>
      <c r="N518" t="s">
        <v>6308</v>
      </c>
      <c r="O518" t="s">
        <v>104</v>
      </c>
      <c r="P518">
        <v>50450</v>
      </c>
      <c r="Q518">
        <v>473220</v>
      </c>
      <c r="R518" s="16" t="s">
        <v>8588</v>
      </c>
      <c r="S518" s="16" t="s">
        <v>8293</v>
      </c>
      <c r="T518" t="s">
        <v>1592</v>
      </c>
      <c r="U518">
        <v>1</v>
      </c>
    </row>
    <row r="519" spans="1:21">
      <c r="A519">
        <v>526</v>
      </c>
      <c r="B519" t="s">
        <v>1598</v>
      </c>
      <c r="C519" t="s">
        <v>4414</v>
      </c>
      <c r="D519">
        <v>1066</v>
      </c>
      <c r="E519">
        <v>11</v>
      </c>
      <c r="F519" t="s">
        <v>4408</v>
      </c>
      <c r="G519" t="s">
        <v>9187</v>
      </c>
      <c r="J519" t="s">
        <v>9007</v>
      </c>
      <c r="L519">
        <v>1</v>
      </c>
      <c r="M519" t="s">
        <v>6389</v>
      </c>
      <c r="N519" t="s">
        <v>6389</v>
      </c>
      <c r="O519" t="s">
        <v>6390</v>
      </c>
      <c r="P519">
        <v>64790</v>
      </c>
      <c r="Q519">
        <v>498110</v>
      </c>
      <c r="R519" s="16" t="s">
        <v>8576</v>
      </c>
      <c r="S519" s="16" t="s">
        <v>8281</v>
      </c>
      <c r="T519" t="s">
        <v>1598</v>
      </c>
      <c r="U519">
        <v>1</v>
      </c>
    </row>
    <row r="520" spans="1:21">
      <c r="A520">
        <v>530</v>
      </c>
      <c r="B520" t="s">
        <v>1621</v>
      </c>
      <c r="C520" t="s">
        <v>4758</v>
      </c>
      <c r="D520">
        <v>1167</v>
      </c>
      <c r="E520">
        <v>12</v>
      </c>
      <c r="F520" t="s">
        <v>4499</v>
      </c>
      <c r="G520" t="s">
        <v>9215</v>
      </c>
      <c r="I520" t="s">
        <v>1463</v>
      </c>
      <c r="J520" t="s">
        <v>9028</v>
      </c>
      <c r="L520">
        <v>1</v>
      </c>
      <c r="M520" t="s">
        <v>4499</v>
      </c>
      <c r="N520" t="s">
        <v>6456</v>
      </c>
      <c r="O520" t="s">
        <v>104</v>
      </c>
      <c r="P520">
        <v>33030</v>
      </c>
      <c r="Q520">
        <v>485590</v>
      </c>
      <c r="R520" s="16" t="s">
        <v>8582</v>
      </c>
      <c r="S520" s="16" t="s">
        <v>8288</v>
      </c>
      <c r="T520" t="s">
        <v>1621</v>
      </c>
      <c r="U520">
        <v>1</v>
      </c>
    </row>
    <row r="521" spans="1:21">
      <c r="A521">
        <v>532</v>
      </c>
      <c r="B521" t="s">
        <v>1633</v>
      </c>
      <c r="C521" t="s">
        <v>1428</v>
      </c>
      <c r="D521">
        <v>1240</v>
      </c>
      <c r="E521">
        <v>13</v>
      </c>
      <c r="F521" t="s">
        <v>4535</v>
      </c>
      <c r="G521" t="s">
        <v>9188</v>
      </c>
      <c r="J521" t="s">
        <v>8997</v>
      </c>
      <c r="L521">
        <v>1</v>
      </c>
      <c r="M521" t="s">
        <v>6492</v>
      </c>
      <c r="N521" t="s">
        <v>6357</v>
      </c>
      <c r="O521" t="s">
        <v>104</v>
      </c>
      <c r="P521">
        <v>40830</v>
      </c>
      <c r="Q521">
        <v>482970</v>
      </c>
      <c r="R521" s="16" t="s">
        <v>8505</v>
      </c>
      <c r="S521" s="16" t="s">
        <v>8211</v>
      </c>
      <c r="T521" t="s">
        <v>1633</v>
      </c>
      <c r="U521">
        <v>1</v>
      </c>
    </row>
    <row r="522" spans="1:21">
      <c r="A522">
        <v>533</v>
      </c>
      <c r="B522" t="s">
        <v>2067</v>
      </c>
      <c r="C522" t="s">
        <v>1366</v>
      </c>
      <c r="D522">
        <v>1113</v>
      </c>
      <c r="E522">
        <v>12</v>
      </c>
      <c r="F522" t="s">
        <v>4447</v>
      </c>
      <c r="G522" t="s">
        <v>9202</v>
      </c>
      <c r="I522" t="s">
        <v>1457</v>
      </c>
      <c r="J522" t="s">
        <v>9024</v>
      </c>
      <c r="L522">
        <v>1</v>
      </c>
      <c r="M522" t="s">
        <v>4447</v>
      </c>
      <c r="N522" t="s">
        <v>6509</v>
      </c>
      <c r="O522" t="s">
        <v>104</v>
      </c>
      <c r="P522" t="s">
        <v>6766</v>
      </c>
      <c r="Q522" t="s">
        <v>6767</v>
      </c>
      <c r="R522" s="16" t="s">
        <v>8363</v>
      </c>
      <c r="S522" s="16" t="s">
        <v>8067</v>
      </c>
      <c r="T522" t="s">
        <v>8026</v>
      </c>
      <c r="U522">
        <v>1</v>
      </c>
    </row>
    <row r="523" spans="1:21">
      <c r="A523">
        <v>535</v>
      </c>
      <c r="B523" t="s">
        <v>1593</v>
      </c>
      <c r="C523" t="s">
        <v>4396</v>
      </c>
      <c r="D523">
        <v>1048</v>
      </c>
      <c r="E523">
        <v>11</v>
      </c>
      <c r="F523" t="s">
        <v>4397</v>
      </c>
      <c r="G523" t="s">
        <v>9189</v>
      </c>
      <c r="I523" t="s">
        <v>1450</v>
      </c>
      <c r="J523" t="s">
        <v>9014</v>
      </c>
      <c r="L523">
        <v>1</v>
      </c>
      <c r="M523" t="s">
        <v>6321</v>
      </c>
      <c r="N523" t="s">
        <v>6308</v>
      </c>
      <c r="O523" t="s">
        <v>104</v>
      </c>
      <c r="P523">
        <v>60240</v>
      </c>
      <c r="Q523">
        <v>472370</v>
      </c>
      <c r="R523" s="16" t="s">
        <v>8591</v>
      </c>
      <c r="S523" s="16" t="s">
        <v>8296</v>
      </c>
      <c r="T523" t="s">
        <v>1593</v>
      </c>
      <c r="U523">
        <v>1</v>
      </c>
    </row>
    <row r="524" spans="1:21">
      <c r="A524">
        <v>536</v>
      </c>
      <c r="B524" t="s">
        <v>1654</v>
      </c>
      <c r="C524" t="s">
        <v>1442</v>
      </c>
      <c r="D524">
        <v>1264</v>
      </c>
      <c r="E524">
        <v>13</v>
      </c>
      <c r="F524" t="s">
        <v>4502</v>
      </c>
      <c r="G524" t="s">
        <v>9172</v>
      </c>
      <c r="J524" t="s">
        <v>9004</v>
      </c>
      <c r="L524">
        <v>1</v>
      </c>
      <c r="M524" t="s">
        <v>4502</v>
      </c>
      <c r="N524" t="s">
        <v>6456</v>
      </c>
      <c r="O524" t="s">
        <v>104</v>
      </c>
      <c r="P524">
        <v>23522</v>
      </c>
      <c r="Q524">
        <v>488566</v>
      </c>
      <c r="R524" s="16" t="s">
        <v>8364</v>
      </c>
      <c r="S524" s="16" t="s">
        <v>8069</v>
      </c>
      <c r="T524" t="s">
        <v>1654</v>
      </c>
      <c r="U524">
        <v>1</v>
      </c>
    </row>
    <row r="525" spans="1:21">
      <c r="A525">
        <v>539</v>
      </c>
      <c r="B525" t="s">
        <v>2079</v>
      </c>
      <c r="C525" t="s">
        <v>1441</v>
      </c>
      <c r="D525">
        <v>1266</v>
      </c>
      <c r="E525">
        <v>13</v>
      </c>
      <c r="F525" t="s">
        <v>4362</v>
      </c>
      <c r="G525" t="s">
        <v>9190</v>
      </c>
      <c r="I525" t="s">
        <v>1479</v>
      </c>
      <c r="J525" t="s">
        <v>9018</v>
      </c>
      <c r="L525">
        <v>1</v>
      </c>
      <c r="M525" t="s">
        <v>4362</v>
      </c>
      <c r="N525" t="s">
        <v>6373</v>
      </c>
      <c r="O525" t="s">
        <v>104</v>
      </c>
      <c r="P525">
        <v>46540</v>
      </c>
      <c r="Q525">
        <v>464340</v>
      </c>
      <c r="R525" s="16" t="s">
        <v>8392</v>
      </c>
      <c r="S525" s="16" t="s">
        <v>8096</v>
      </c>
      <c r="T525" t="s">
        <v>8029</v>
      </c>
      <c r="U525">
        <v>1</v>
      </c>
    </row>
    <row r="526" spans="1:21">
      <c r="A526">
        <v>542</v>
      </c>
      <c r="B526" t="s">
        <v>1624</v>
      </c>
      <c r="C526" t="s">
        <v>1378</v>
      </c>
      <c r="D526">
        <v>1176</v>
      </c>
      <c r="E526">
        <v>12</v>
      </c>
      <c r="F526" t="s">
        <v>4374</v>
      </c>
      <c r="G526" t="s">
        <v>9191</v>
      </c>
      <c r="I526" t="s">
        <v>1464</v>
      </c>
      <c r="J526" t="s">
        <v>9029</v>
      </c>
      <c r="L526">
        <v>1</v>
      </c>
      <c r="M526" t="s">
        <v>6377</v>
      </c>
      <c r="N526" t="s">
        <v>6378</v>
      </c>
      <c r="O526" t="s">
        <v>104</v>
      </c>
      <c r="P526">
        <v>25400</v>
      </c>
      <c r="Q526">
        <v>499370</v>
      </c>
      <c r="R526" s="16" t="s">
        <v>8577</v>
      </c>
      <c r="S526" s="16" t="s">
        <v>8282</v>
      </c>
      <c r="T526" t="s">
        <v>1624</v>
      </c>
      <c r="U526">
        <v>1</v>
      </c>
    </row>
    <row r="527" spans="1:21">
      <c r="A527">
        <v>546</v>
      </c>
      <c r="B527" t="s">
        <v>1619</v>
      </c>
      <c r="C527" t="s">
        <v>4757</v>
      </c>
      <c r="D527">
        <v>1164</v>
      </c>
      <c r="E527">
        <v>12</v>
      </c>
      <c r="F527" t="s">
        <v>4374</v>
      </c>
      <c r="G527" t="s">
        <v>9173</v>
      </c>
      <c r="J527" t="s">
        <v>9008</v>
      </c>
      <c r="L527">
        <v>1</v>
      </c>
      <c r="M527" t="s">
        <v>6377</v>
      </c>
      <c r="N527" t="s">
        <v>6378</v>
      </c>
      <c r="O527" t="s">
        <v>104</v>
      </c>
      <c r="P527">
        <v>25400</v>
      </c>
      <c r="Q527">
        <v>499370</v>
      </c>
      <c r="R527" s="16" t="s">
        <v>8577</v>
      </c>
      <c r="S527" s="16" t="s">
        <v>8282</v>
      </c>
      <c r="T527" t="s">
        <v>1619</v>
      </c>
      <c r="U527">
        <v>1</v>
      </c>
    </row>
    <row r="528" spans="1:21">
      <c r="A528">
        <v>548</v>
      </c>
      <c r="B528" t="s">
        <v>1620</v>
      </c>
      <c r="C528" t="s">
        <v>4757</v>
      </c>
      <c r="D528">
        <v>1164</v>
      </c>
      <c r="E528">
        <v>12</v>
      </c>
      <c r="F528" t="s">
        <v>4374</v>
      </c>
      <c r="G528" t="s">
        <v>9173</v>
      </c>
      <c r="I528" t="s">
        <v>1462</v>
      </c>
      <c r="J528" t="s">
        <v>9027</v>
      </c>
      <c r="L528">
        <v>1</v>
      </c>
      <c r="M528" t="s">
        <v>6377</v>
      </c>
      <c r="N528" t="s">
        <v>6378</v>
      </c>
      <c r="O528" t="s">
        <v>104</v>
      </c>
      <c r="P528">
        <v>25400</v>
      </c>
      <c r="Q528">
        <v>499370</v>
      </c>
      <c r="R528" s="16" t="s">
        <v>8577</v>
      </c>
      <c r="S528" s="16" t="s">
        <v>8282</v>
      </c>
      <c r="T528" t="s">
        <v>1620</v>
      </c>
      <c r="U528">
        <v>1</v>
      </c>
    </row>
    <row r="529" spans="1:21">
      <c r="A529">
        <v>583</v>
      </c>
      <c r="B529" t="s">
        <v>1591</v>
      </c>
      <c r="C529" t="s">
        <v>4393</v>
      </c>
      <c r="D529">
        <v>1045</v>
      </c>
      <c r="E529">
        <v>11</v>
      </c>
      <c r="F529" t="s">
        <v>4392</v>
      </c>
      <c r="G529" t="s">
        <v>9192</v>
      </c>
      <c r="I529" t="s">
        <v>1448</v>
      </c>
      <c r="J529" t="s">
        <v>9019</v>
      </c>
      <c r="L529">
        <v>1</v>
      </c>
      <c r="M529" t="s">
        <v>4502</v>
      </c>
      <c r="N529" t="s">
        <v>6456</v>
      </c>
      <c r="O529" t="s">
        <v>104</v>
      </c>
      <c r="P529">
        <v>23522</v>
      </c>
      <c r="Q529">
        <v>488566</v>
      </c>
      <c r="R529" s="16" t="s">
        <v>8364</v>
      </c>
      <c r="S529" s="16" t="s">
        <v>8069</v>
      </c>
      <c r="T529" t="s">
        <v>1591</v>
      </c>
      <c r="U529">
        <v>1</v>
      </c>
    </row>
    <row r="530" spans="1:21">
      <c r="A530">
        <v>589</v>
      </c>
      <c r="B530" t="s">
        <v>1612</v>
      </c>
      <c r="C530" t="s">
        <v>1368</v>
      </c>
      <c r="D530">
        <v>1142</v>
      </c>
      <c r="E530">
        <v>12</v>
      </c>
      <c r="F530" t="s">
        <v>4418</v>
      </c>
      <c r="G530" t="s">
        <v>9193</v>
      </c>
      <c r="I530" t="s">
        <v>1459</v>
      </c>
      <c r="J530" t="s">
        <v>9025</v>
      </c>
      <c r="L530">
        <v>1</v>
      </c>
      <c r="M530" t="s">
        <v>4418</v>
      </c>
      <c r="N530" t="s">
        <v>6773</v>
      </c>
      <c r="O530" t="s">
        <v>104</v>
      </c>
      <c r="P530" t="s">
        <v>6774</v>
      </c>
      <c r="Q530" t="s">
        <v>6775</v>
      </c>
      <c r="R530" s="16" t="s">
        <v>8558</v>
      </c>
      <c r="S530" s="16" t="s">
        <v>8263</v>
      </c>
      <c r="T530" t="s">
        <v>1612</v>
      </c>
      <c r="U530">
        <v>1</v>
      </c>
    </row>
    <row r="531" spans="1:21">
      <c r="A531">
        <v>590</v>
      </c>
      <c r="B531" t="s">
        <v>1603</v>
      </c>
      <c r="C531" t="s">
        <v>4754</v>
      </c>
      <c r="D531">
        <v>1061</v>
      </c>
      <c r="E531">
        <v>11</v>
      </c>
      <c r="F531" t="s">
        <v>4392</v>
      </c>
      <c r="G531" t="s">
        <v>9194</v>
      </c>
      <c r="I531" t="s">
        <v>1455</v>
      </c>
      <c r="J531" t="s">
        <v>9022</v>
      </c>
      <c r="L531">
        <v>1</v>
      </c>
      <c r="M531" t="s">
        <v>4502</v>
      </c>
      <c r="N531" t="s">
        <v>6456</v>
      </c>
      <c r="O531" t="s">
        <v>104</v>
      </c>
      <c r="P531">
        <v>23522</v>
      </c>
      <c r="Q531">
        <v>488566</v>
      </c>
      <c r="R531" s="16" t="s">
        <v>8364</v>
      </c>
      <c r="S531" s="16" t="s">
        <v>8069</v>
      </c>
      <c r="T531" t="s">
        <v>1603</v>
      </c>
      <c r="U531">
        <v>1</v>
      </c>
    </row>
    <row r="532" spans="1:21">
      <c r="A532">
        <v>591</v>
      </c>
      <c r="B532" t="s">
        <v>1586</v>
      </c>
      <c r="C532" t="s">
        <v>4376</v>
      </c>
      <c r="D532">
        <v>999</v>
      </c>
      <c r="E532">
        <v>10</v>
      </c>
      <c r="F532" t="s">
        <v>4377</v>
      </c>
      <c r="G532" t="s">
        <v>9195</v>
      </c>
      <c r="I532" t="s">
        <v>1445</v>
      </c>
      <c r="J532" t="s">
        <v>9013</v>
      </c>
      <c r="L532">
        <v>1</v>
      </c>
      <c r="M532" t="s">
        <v>4377</v>
      </c>
      <c r="N532" t="s">
        <v>6308</v>
      </c>
      <c r="O532" t="s">
        <v>104</v>
      </c>
      <c r="P532">
        <v>35650</v>
      </c>
      <c r="Q532">
        <v>477980</v>
      </c>
      <c r="R532" s="16" t="s">
        <v>8479</v>
      </c>
      <c r="S532" s="16" t="s">
        <v>8184</v>
      </c>
      <c r="T532" t="s">
        <v>1586</v>
      </c>
      <c r="U532">
        <v>1</v>
      </c>
    </row>
    <row r="533" spans="1:21">
      <c r="A533">
        <v>593</v>
      </c>
      <c r="B533" t="s">
        <v>2063</v>
      </c>
      <c r="C533" t="s">
        <v>4420</v>
      </c>
      <c r="D533">
        <v>1083</v>
      </c>
      <c r="E533">
        <v>11</v>
      </c>
      <c r="F533" t="s">
        <v>4392</v>
      </c>
      <c r="G533" t="s">
        <v>9174</v>
      </c>
      <c r="J533" t="s">
        <v>9002</v>
      </c>
      <c r="L533">
        <v>1</v>
      </c>
      <c r="M533" t="s">
        <v>4502</v>
      </c>
      <c r="N533" t="s">
        <v>6456</v>
      </c>
      <c r="O533" t="s">
        <v>104</v>
      </c>
      <c r="P533">
        <v>23522</v>
      </c>
      <c r="Q533">
        <v>488566</v>
      </c>
      <c r="R533" s="16" t="s">
        <v>8364</v>
      </c>
      <c r="S533" s="16" t="s">
        <v>8069</v>
      </c>
      <c r="T533" t="s">
        <v>7940</v>
      </c>
      <c r="U533">
        <v>1</v>
      </c>
    </row>
    <row r="534" spans="1:21">
      <c r="A534">
        <v>594</v>
      </c>
      <c r="B534" t="s">
        <v>2081</v>
      </c>
      <c r="C534" t="s">
        <v>4572</v>
      </c>
      <c r="D534">
        <v>1272</v>
      </c>
      <c r="E534">
        <v>13</v>
      </c>
      <c r="F534" t="s">
        <v>4392</v>
      </c>
      <c r="G534" t="s">
        <v>9196</v>
      </c>
      <c r="I534" t="s">
        <v>1478</v>
      </c>
      <c r="J534" t="s">
        <v>9017</v>
      </c>
      <c r="L534">
        <v>1</v>
      </c>
      <c r="M534" t="s">
        <v>4502</v>
      </c>
      <c r="N534" t="s">
        <v>6456</v>
      </c>
      <c r="O534" t="s">
        <v>104</v>
      </c>
      <c r="P534">
        <v>23522</v>
      </c>
      <c r="Q534">
        <v>488566</v>
      </c>
      <c r="R534" s="16" t="s">
        <v>8364</v>
      </c>
      <c r="S534" s="16" t="s">
        <v>8069</v>
      </c>
      <c r="T534" t="s">
        <v>7953</v>
      </c>
      <c r="U534">
        <v>1</v>
      </c>
    </row>
    <row r="535" spans="1:21">
      <c r="A535">
        <v>595</v>
      </c>
      <c r="B535" t="s">
        <v>2060</v>
      </c>
      <c r="C535" t="s">
        <v>4373</v>
      </c>
      <c r="D535">
        <v>1000</v>
      </c>
      <c r="E535">
        <v>11</v>
      </c>
      <c r="F535" t="s">
        <v>4374</v>
      </c>
      <c r="G535" t="s">
        <v>9197</v>
      </c>
      <c r="I535" t="s">
        <v>1445</v>
      </c>
      <c r="J535" t="s">
        <v>9012</v>
      </c>
      <c r="L535">
        <v>1</v>
      </c>
      <c r="M535" t="s">
        <v>6377</v>
      </c>
      <c r="N535" t="s">
        <v>6378</v>
      </c>
      <c r="O535" t="s">
        <v>104</v>
      </c>
      <c r="P535">
        <v>25400</v>
      </c>
      <c r="Q535">
        <v>499370</v>
      </c>
      <c r="R535" s="16" t="s">
        <v>8577</v>
      </c>
      <c r="S535" s="16" t="s">
        <v>8282</v>
      </c>
      <c r="T535" t="s">
        <v>7960</v>
      </c>
      <c r="U535">
        <v>1</v>
      </c>
    </row>
    <row r="536" spans="1:21">
      <c r="A536">
        <v>596</v>
      </c>
      <c r="B536" t="s">
        <v>1706</v>
      </c>
      <c r="C536" t="s">
        <v>4717</v>
      </c>
      <c r="D536">
        <v>1289</v>
      </c>
      <c r="E536">
        <v>13</v>
      </c>
      <c r="F536" t="s">
        <v>1444</v>
      </c>
      <c r="G536" t="s">
        <v>9198</v>
      </c>
      <c r="I536" t="s">
        <v>1502</v>
      </c>
      <c r="J536" t="s">
        <v>8811</v>
      </c>
      <c r="L536">
        <v>0</v>
      </c>
      <c r="R536" s="16" t="s">
        <v>8064</v>
      </c>
      <c r="S536" s="16" t="s">
        <v>8064</v>
      </c>
      <c r="T536" t="s">
        <v>1706</v>
      </c>
      <c r="U536">
        <v>1</v>
      </c>
    </row>
    <row r="537" spans="1:21">
      <c r="A537">
        <v>597</v>
      </c>
      <c r="B537" t="s">
        <v>2068</v>
      </c>
      <c r="C537" t="s">
        <v>1369</v>
      </c>
      <c r="D537">
        <v>1136</v>
      </c>
      <c r="E537">
        <v>12</v>
      </c>
      <c r="F537" t="s">
        <v>4463</v>
      </c>
      <c r="G537" t="s">
        <v>9175</v>
      </c>
      <c r="J537" t="s">
        <v>9009</v>
      </c>
      <c r="L537">
        <v>1</v>
      </c>
      <c r="M537" t="s">
        <v>4463</v>
      </c>
      <c r="N537" t="s">
        <v>6364</v>
      </c>
      <c r="O537" t="s">
        <v>12</v>
      </c>
      <c r="P537" t="s">
        <v>6365</v>
      </c>
      <c r="Q537">
        <v>508360</v>
      </c>
      <c r="R537" s="16" t="s">
        <v>8423</v>
      </c>
      <c r="S537" s="16" t="s">
        <v>8127</v>
      </c>
      <c r="T537" t="s">
        <v>7946</v>
      </c>
      <c r="U537">
        <v>1</v>
      </c>
    </row>
    <row r="538" spans="1:21">
      <c r="A538">
        <v>602</v>
      </c>
      <c r="B538" t="s">
        <v>1717</v>
      </c>
      <c r="C538" t="s">
        <v>4632</v>
      </c>
      <c r="D538">
        <v>1300</v>
      </c>
      <c r="E538">
        <v>13</v>
      </c>
      <c r="F538" t="s">
        <v>4530</v>
      </c>
      <c r="G538" t="s">
        <v>9176</v>
      </c>
      <c r="J538" t="s">
        <v>9003</v>
      </c>
      <c r="L538">
        <v>1</v>
      </c>
      <c r="M538" t="s">
        <v>4502</v>
      </c>
      <c r="N538" t="s">
        <v>6456</v>
      </c>
      <c r="O538" t="s">
        <v>104</v>
      </c>
      <c r="P538">
        <v>23522</v>
      </c>
      <c r="Q538">
        <v>488566</v>
      </c>
      <c r="R538" s="16" t="s">
        <v>8364</v>
      </c>
      <c r="S538" s="16" t="s">
        <v>8069</v>
      </c>
      <c r="T538" t="s">
        <v>1717</v>
      </c>
      <c r="U538">
        <v>1</v>
      </c>
    </row>
    <row r="539" spans="1:21">
      <c r="A539">
        <v>603</v>
      </c>
      <c r="B539" t="s">
        <v>1588</v>
      </c>
      <c r="C539" t="s">
        <v>4752</v>
      </c>
      <c r="D539">
        <v>1009</v>
      </c>
      <c r="E539">
        <v>11</v>
      </c>
      <c r="F539" t="s">
        <v>4385</v>
      </c>
      <c r="G539" t="s">
        <v>9177</v>
      </c>
      <c r="I539" t="s">
        <v>1446</v>
      </c>
      <c r="J539" t="s">
        <v>8994</v>
      </c>
      <c r="L539">
        <v>1</v>
      </c>
      <c r="M539" t="s">
        <v>4385</v>
      </c>
      <c r="N539" t="s">
        <v>6357</v>
      </c>
      <c r="O539" t="s">
        <v>104</v>
      </c>
      <c r="P539" t="s">
        <v>6915</v>
      </c>
      <c r="Q539" t="s">
        <v>6916</v>
      </c>
      <c r="R539" s="16" t="s">
        <v>6915</v>
      </c>
      <c r="S539" s="16" t="s">
        <v>8274</v>
      </c>
      <c r="T539" t="s">
        <v>1588</v>
      </c>
      <c r="U539">
        <v>1</v>
      </c>
    </row>
    <row r="540" spans="1:21">
      <c r="A540">
        <v>609</v>
      </c>
      <c r="B540" t="s">
        <v>2076</v>
      </c>
      <c r="C540" t="s">
        <v>4707</v>
      </c>
      <c r="D540">
        <v>1237</v>
      </c>
      <c r="E540">
        <v>13</v>
      </c>
      <c r="F540" t="s">
        <v>1444</v>
      </c>
      <c r="G540" t="s">
        <v>9199</v>
      </c>
      <c r="I540" t="s">
        <v>1472</v>
      </c>
      <c r="J540" t="s">
        <v>8812</v>
      </c>
      <c r="L540">
        <v>0</v>
      </c>
      <c r="R540" s="16" t="s">
        <v>8064</v>
      </c>
      <c r="S540" s="16" t="s">
        <v>8064</v>
      </c>
      <c r="T540" t="s">
        <v>7966</v>
      </c>
      <c r="U540">
        <v>1</v>
      </c>
    </row>
    <row r="541" spans="1:21">
      <c r="A541">
        <v>610</v>
      </c>
      <c r="B541" t="s">
        <v>9344</v>
      </c>
      <c r="C541" t="s">
        <v>4990</v>
      </c>
      <c r="D541">
        <v>1261</v>
      </c>
      <c r="E541">
        <v>13</v>
      </c>
      <c r="F541" t="s">
        <v>4502</v>
      </c>
      <c r="G541" t="s">
        <v>9178</v>
      </c>
      <c r="J541" t="s">
        <v>9005</v>
      </c>
      <c r="L541">
        <v>1</v>
      </c>
      <c r="M541" t="s">
        <v>4502</v>
      </c>
      <c r="N541" t="s">
        <v>6456</v>
      </c>
      <c r="O541" t="s">
        <v>104</v>
      </c>
      <c r="P541">
        <v>23522</v>
      </c>
      <c r="Q541">
        <v>488566</v>
      </c>
      <c r="R541" s="16" t="s">
        <v>8364</v>
      </c>
      <c r="S541" s="16" t="s">
        <v>8069</v>
      </c>
      <c r="T541" t="s">
        <v>1666</v>
      </c>
      <c r="U541">
        <v>1</v>
      </c>
    </row>
    <row r="542" spans="1:21">
      <c r="A542">
        <v>613</v>
      </c>
      <c r="B542" t="s">
        <v>1679</v>
      </c>
      <c r="C542" t="s">
        <v>4735</v>
      </c>
      <c r="D542">
        <v>1279</v>
      </c>
      <c r="E542">
        <v>13</v>
      </c>
      <c r="F542" t="s">
        <v>4502</v>
      </c>
      <c r="G542" t="s">
        <v>9200</v>
      </c>
      <c r="I542" t="s">
        <v>1488</v>
      </c>
      <c r="J542" t="s">
        <v>9010</v>
      </c>
      <c r="L542">
        <v>1</v>
      </c>
      <c r="M542" t="s">
        <v>4502</v>
      </c>
      <c r="N542" t="s">
        <v>6456</v>
      </c>
      <c r="O542" t="s">
        <v>104</v>
      </c>
      <c r="P542">
        <v>23522</v>
      </c>
      <c r="Q542">
        <v>488566</v>
      </c>
      <c r="R542" s="16" t="s">
        <v>8364</v>
      </c>
      <c r="S542" s="16" t="s">
        <v>8069</v>
      </c>
      <c r="T542" t="s">
        <v>1679</v>
      </c>
      <c r="U542">
        <v>1</v>
      </c>
    </row>
    <row r="543" spans="1:21">
      <c r="A543">
        <v>614</v>
      </c>
      <c r="B543" t="s">
        <v>1631</v>
      </c>
      <c r="C543" t="s">
        <v>4747</v>
      </c>
      <c r="D543">
        <v>1213</v>
      </c>
      <c r="E543">
        <v>13</v>
      </c>
      <c r="F543" t="s">
        <v>4502</v>
      </c>
      <c r="G543" t="s">
        <v>9201</v>
      </c>
      <c r="I543" t="s">
        <v>1471</v>
      </c>
      <c r="J543" t="s">
        <v>9015</v>
      </c>
      <c r="L543">
        <v>1</v>
      </c>
      <c r="M543" t="s">
        <v>4502</v>
      </c>
      <c r="N543" t="s">
        <v>6456</v>
      </c>
      <c r="O543" t="s">
        <v>104</v>
      </c>
      <c r="P543">
        <v>23522</v>
      </c>
      <c r="Q543">
        <v>488566</v>
      </c>
      <c r="R543" s="16" t="s">
        <v>8364</v>
      </c>
      <c r="S543" s="16" t="s">
        <v>8069</v>
      </c>
      <c r="T543" t="s">
        <v>1631</v>
      </c>
      <c r="U543">
        <v>1</v>
      </c>
    </row>
    <row r="544" spans="1:21">
      <c r="A544">
        <v>617</v>
      </c>
      <c r="B544" t="s">
        <v>1648</v>
      </c>
      <c r="C544" t="s">
        <v>4723</v>
      </c>
      <c r="D544">
        <v>1256</v>
      </c>
      <c r="E544">
        <v>13</v>
      </c>
      <c r="F544" t="s">
        <v>1444</v>
      </c>
      <c r="G544" t="s">
        <v>9203</v>
      </c>
      <c r="I544" t="s">
        <v>1478</v>
      </c>
      <c r="J544" t="s">
        <v>8813</v>
      </c>
      <c r="L544">
        <v>0</v>
      </c>
      <c r="R544" s="16" t="s">
        <v>8064</v>
      </c>
      <c r="S544" s="16" t="s">
        <v>8064</v>
      </c>
      <c r="T544" t="s">
        <v>1648</v>
      </c>
      <c r="U544">
        <v>1</v>
      </c>
    </row>
    <row r="545" spans="1:21">
      <c r="A545">
        <v>622</v>
      </c>
      <c r="B545" t="s">
        <v>4879</v>
      </c>
      <c r="C545">
        <v>1299</v>
      </c>
      <c r="D545">
        <v>1299</v>
      </c>
      <c r="E545">
        <v>13</v>
      </c>
      <c r="F545" t="s">
        <v>1444</v>
      </c>
      <c r="G545" t="s">
        <v>9179</v>
      </c>
      <c r="I545" t="s">
        <v>4878</v>
      </c>
      <c r="J545" s="5" t="s">
        <v>8810</v>
      </c>
      <c r="L545">
        <v>0</v>
      </c>
      <c r="R545" s="16" t="s">
        <v>8064</v>
      </c>
      <c r="S545" s="16" t="s">
        <v>8064</v>
      </c>
      <c r="T545" t="s">
        <v>4879</v>
      </c>
      <c r="U545">
        <v>1</v>
      </c>
    </row>
    <row r="546" spans="1:21">
      <c r="A546">
        <v>623</v>
      </c>
      <c r="B546" t="s">
        <v>1628</v>
      </c>
      <c r="C546" t="s">
        <v>4761</v>
      </c>
      <c r="D546">
        <v>1183</v>
      </c>
      <c r="E546">
        <v>12</v>
      </c>
      <c r="F546" t="s">
        <v>4374</v>
      </c>
      <c r="G546" t="s">
        <v>9204</v>
      </c>
      <c r="I546" t="s">
        <v>1468</v>
      </c>
      <c r="J546" t="s">
        <v>9031</v>
      </c>
      <c r="L546">
        <v>1</v>
      </c>
      <c r="M546" t="s">
        <v>6377</v>
      </c>
      <c r="N546" t="s">
        <v>6378</v>
      </c>
      <c r="O546" t="s">
        <v>104</v>
      </c>
      <c r="P546">
        <v>25400</v>
      </c>
      <c r="Q546">
        <v>499370</v>
      </c>
      <c r="R546" s="16" t="s">
        <v>8577</v>
      </c>
      <c r="S546" s="16" t="s">
        <v>8282</v>
      </c>
      <c r="T546" t="s">
        <v>1628</v>
      </c>
      <c r="U546">
        <v>1</v>
      </c>
    </row>
    <row r="547" spans="1:21">
      <c r="A547">
        <v>628</v>
      </c>
      <c r="B547" t="s">
        <v>2082</v>
      </c>
      <c r="C547" t="s">
        <v>4709</v>
      </c>
      <c r="D547">
        <v>1268</v>
      </c>
      <c r="E547">
        <v>13</v>
      </c>
      <c r="F547" t="s">
        <v>1444</v>
      </c>
      <c r="G547" t="s">
        <v>9211</v>
      </c>
      <c r="I547" t="s">
        <v>1484</v>
      </c>
      <c r="J547" t="s">
        <v>8815</v>
      </c>
      <c r="L547">
        <v>0</v>
      </c>
      <c r="R547" s="16" t="s">
        <v>8064</v>
      </c>
      <c r="S547" s="16" t="s">
        <v>8064</v>
      </c>
      <c r="T547" t="s">
        <v>7970</v>
      </c>
      <c r="U547">
        <v>1</v>
      </c>
    </row>
    <row r="548" spans="1:21">
      <c r="A548">
        <v>631</v>
      </c>
      <c r="B548" t="s">
        <v>1589</v>
      </c>
      <c r="C548" t="s">
        <v>4386</v>
      </c>
      <c r="D548">
        <v>1039</v>
      </c>
      <c r="E548">
        <v>11</v>
      </c>
      <c r="F548" t="s">
        <v>4387</v>
      </c>
      <c r="G548" t="s">
        <v>9180</v>
      </c>
      <c r="I548" t="s">
        <v>1454</v>
      </c>
      <c r="J548" t="s">
        <v>8995</v>
      </c>
      <c r="L548">
        <v>1</v>
      </c>
      <c r="M548" t="s">
        <v>4387</v>
      </c>
      <c r="N548" t="s">
        <v>6308</v>
      </c>
      <c r="O548" t="s">
        <v>104</v>
      </c>
      <c r="P548">
        <v>31610</v>
      </c>
      <c r="Q548">
        <v>469890</v>
      </c>
      <c r="R548" s="16" t="s">
        <v>8574</v>
      </c>
      <c r="S548" s="16" t="s">
        <v>8279</v>
      </c>
      <c r="T548" t="s">
        <v>1589</v>
      </c>
      <c r="U548">
        <v>1</v>
      </c>
    </row>
    <row r="549" spans="1:21">
      <c r="A549">
        <v>633</v>
      </c>
      <c r="B549" t="s">
        <v>1614</v>
      </c>
      <c r="C549" t="s">
        <v>1370</v>
      </c>
      <c r="D549">
        <v>1142</v>
      </c>
      <c r="E549">
        <v>12</v>
      </c>
      <c r="F549" t="s">
        <v>4455</v>
      </c>
      <c r="G549" t="s">
        <v>9205</v>
      </c>
      <c r="I549" t="s">
        <v>1459</v>
      </c>
      <c r="J549" t="s">
        <v>9026</v>
      </c>
      <c r="L549">
        <v>1</v>
      </c>
      <c r="M549" t="s">
        <v>4455</v>
      </c>
      <c r="N549" t="s">
        <v>6305</v>
      </c>
      <c r="O549" t="s">
        <v>104</v>
      </c>
      <c r="P549">
        <v>20860</v>
      </c>
      <c r="Q549">
        <v>494300</v>
      </c>
      <c r="R549" s="16" t="s">
        <v>8427</v>
      </c>
      <c r="S549" s="16" t="s">
        <v>8131</v>
      </c>
      <c r="T549" t="s">
        <v>1614</v>
      </c>
      <c r="U549">
        <v>1</v>
      </c>
    </row>
    <row r="550" spans="1:21">
      <c r="A550">
        <v>641</v>
      </c>
      <c r="B550" t="s">
        <v>2065</v>
      </c>
      <c r="C550" t="s">
        <v>1363</v>
      </c>
      <c r="D550">
        <v>1091</v>
      </c>
      <c r="E550">
        <v>11</v>
      </c>
      <c r="F550" t="s">
        <v>4362</v>
      </c>
      <c r="G550" t="s">
        <v>9181</v>
      </c>
      <c r="I550" t="s">
        <v>4692</v>
      </c>
      <c r="J550" t="s">
        <v>8993</v>
      </c>
      <c r="L550">
        <v>1</v>
      </c>
      <c r="M550" t="s">
        <v>4362</v>
      </c>
      <c r="N550" t="s">
        <v>6373</v>
      </c>
      <c r="O550" t="s">
        <v>104</v>
      </c>
      <c r="P550">
        <v>46540</v>
      </c>
      <c r="Q550">
        <v>464340</v>
      </c>
      <c r="R550" s="16" t="s">
        <v>8392</v>
      </c>
      <c r="S550" s="16" t="s">
        <v>8096</v>
      </c>
      <c r="T550" t="s">
        <v>7945</v>
      </c>
      <c r="U550">
        <v>1</v>
      </c>
    </row>
    <row r="551" spans="1:21">
      <c r="A551">
        <v>645</v>
      </c>
      <c r="B551" t="s">
        <v>2066</v>
      </c>
      <c r="C551" t="s">
        <v>1365</v>
      </c>
      <c r="D551">
        <v>1112</v>
      </c>
      <c r="E551">
        <v>12</v>
      </c>
      <c r="F551" t="s">
        <v>4374</v>
      </c>
      <c r="G551" t="s">
        <v>9206</v>
      </c>
      <c r="I551" t="s">
        <v>1456</v>
      </c>
      <c r="J551" t="s">
        <v>9023</v>
      </c>
      <c r="L551">
        <v>1</v>
      </c>
      <c r="M551" t="s">
        <v>6377</v>
      </c>
      <c r="N551" t="s">
        <v>6378</v>
      </c>
      <c r="O551" t="s">
        <v>104</v>
      </c>
      <c r="P551">
        <v>25400</v>
      </c>
      <c r="Q551">
        <v>499370</v>
      </c>
      <c r="R551" s="16" t="s">
        <v>8577</v>
      </c>
      <c r="S551" s="16" t="s">
        <v>8282</v>
      </c>
      <c r="T551" t="s">
        <v>8028</v>
      </c>
      <c r="U551">
        <v>1</v>
      </c>
    </row>
    <row r="552" spans="1:21">
      <c r="A552">
        <v>649</v>
      </c>
      <c r="B552" t="s">
        <v>1655</v>
      </c>
      <c r="C552" t="s">
        <v>4751</v>
      </c>
      <c r="D552">
        <v>1259</v>
      </c>
      <c r="E552">
        <v>13</v>
      </c>
      <c r="F552" t="s">
        <v>1444</v>
      </c>
      <c r="G552" t="s">
        <v>9207</v>
      </c>
      <c r="I552" t="s">
        <v>1480</v>
      </c>
      <c r="J552" t="s">
        <v>8814</v>
      </c>
      <c r="L552">
        <v>0</v>
      </c>
      <c r="R552" s="16" t="s">
        <v>8064</v>
      </c>
      <c r="S552" s="16" t="s">
        <v>8064</v>
      </c>
      <c r="T552" t="s">
        <v>1655</v>
      </c>
      <c r="U552">
        <v>1</v>
      </c>
    </row>
    <row r="553" spans="1:21">
      <c r="A553">
        <v>654</v>
      </c>
      <c r="B553" t="s">
        <v>2069</v>
      </c>
      <c r="C553" t="s">
        <v>1373</v>
      </c>
      <c r="D553">
        <v>1161</v>
      </c>
      <c r="E553">
        <v>12</v>
      </c>
      <c r="F553" t="s">
        <v>4476</v>
      </c>
      <c r="G553" t="s">
        <v>9217</v>
      </c>
      <c r="J553" t="s">
        <v>8999</v>
      </c>
      <c r="L553">
        <v>1</v>
      </c>
      <c r="M553" t="s">
        <v>6883</v>
      </c>
      <c r="N553" t="s">
        <v>6367</v>
      </c>
      <c r="O553" t="s">
        <v>12</v>
      </c>
      <c r="P553" t="s">
        <v>6884</v>
      </c>
      <c r="Q553" t="s">
        <v>6885</v>
      </c>
      <c r="R553" s="16" t="s">
        <v>8410</v>
      </c>
      <c r="S553" s="16" t="s">
        <v>8113</v>
      </c>
      <c r="T553" t="s">
        <v>7937</v>
      </c>
      <c r="U553">
        <v>1</v>
      </c>
    </row>
    <row r="554" spans="1:21">
      <c r="A554">
        <v>512</v>
      </c>
      <c r="B554" t="s">
        <v>1635</v>
      </c>
      <c r="C554" t="s">
        <v>4979</v>
      </c>
      <c r="D554">
        <v>1232</v>
      </c>
      <c r="E554">
        <v>13</v>
      </c>
      <c r="F554" t="s">
        <v>4537</v>
      </c>
      <c r="G554" t="s">
        <v>9274</v>
      </c>
      <c r="J554" t="s">
        <v>9121</v>
      </c>
      <c r="L554">
        <v>1</v>
      </c>
      <c r="M554" t="s">
        <v>6897</v>
      </c>
      <c r="N554" t="s">
        <v>6473</v>
      </c>
      <c r="O554" t="s">
        <v>11</v>
      </c>
      <c r="P554" t="s">
        <v>6898</v>
      </c>
      <c r="Q554" t="s">
        <v>6899</v>
      </c>
      <c r="R554" s="16" t="s">
        <v>8570</v>
      </c>
      <c r="S554" s="16" t="s">
        <v>6899</v>
      </c>
      <c r="T554" t="s">
        <v>1635</v>
      </c>
      <c r="U554">
        <v>1</v>
      </c>
    </row>
    <row r="555" spans="1:21">
      <c r="A555">
        <v>660</v>
      </c>
      <c r="B555" t="s">
        <v>1606</v>
      </c>
      <c r="C555" t="s">
        <v>1361</v>
      </c>
      <c r="D555">
        <v>1073</v>
      </c>
      <c r="E555">
        <v>11</v>
      </c>
      <c r="F555" t="s">
        <v>4421</v>
      </c>
      <c r="G555" t="s">
        <v>9216</v>
      </c>
      <c r="J555" t="s">
        <v>8996</v>
      </c>
      <c r="L555">
        <v>1</v>
      </c>
      <c r="M555" t="s">
        <v>4402</v>
      </c>
      <c r="N555" t="s">
        <v>6908</v>
      </c>
      <c r="O555" t="s">
        <v>104</v>
      </c>
      <c r="P555" t="s">
        <v>6909</v>
      </c>
      <c r="Q555" t="s">
        <v>6910</v>
      </c>
      <c r="R555" s="16" t="s">
        <v>8489</v>
      </c>
      <c r="S555" s="16" t="s">
        <v>8195</v>
      </c>
      <c r="T555" t="s">
        <v>1606</v>
      </c>
      <c r="U555">
        <v>1</v>
      </c>
    </row>
    <row r="556" spans="1:21">
      <c r="A556">
        <v>665</v>
      </c>
      <c r="B556" t="s">
        <v>1587</v>
      </c>
      <c r="C556" t="s">
        <v>4381</v>
      </c>
      <c r="D556">
        <v>1008</v>
      </c>
      <c r="E556">
        <v>11</v>
      </c>
      <c r="F556" t="s">
        <v>4382</v>
      </c>
      <c r="G556" t="s">
        <v>9182</v>
      </c>
      <c r="J556" t="s">
        <v>8998</v>
      </c>
      <c r="L556">
        <v>1</v>
      </c>
      <c r="M556" t="s">
        <v>6893</v>
      </c>
      <c r="N556" t="s">
        <v>6293</v>
      </c>
      <c r="O556" t="s">
        <v>3995</v>
      </c>
      <c r="P556" t="s">
        <v>6894</v>
      </c>
      <c r="Q556" t="s">
        <v>6895</v>
      </c>
      <c r="R556" s="16" t="s">
        <v>6894</v>
      </c>
      <c r="S556" s="16" t="s">
        <v>6895</v>
      </c>
      <c r="T556" t="s">
        <v>1587</v>
      </c>
      <c r="U556">
        <v>1</v>
      </c>
    </row>
    <row r="557" spans="1:21">
      <c r="A557">
        <v>682</v>
      </c>
      <c r="B557" t="s">
        <v>1590</v>
      </c>
      <c r="C557" t="s">
        <v>4390</v>
      </c>
      <c r="D557">
        <v>1050</v>
      </c>
      <c r="E557">
        <v>11</v>
      </c>
      <c r="F557" t="s">
        <v>4391</v>
      </c>
      <c r="G557" t="s">
        <v>9183</v>
      </c>
      <c r="J557" t="s">
        <v>9000</v>
      </c>
      <c r="L557">
        <v>1</v>
      </c>
      <c r="M557" t="s">
        <v>6783</v>
      </c>
      <c r="N557" t="s">
        <v>6784</v>
      </c>
      <c r="O557" t="s">
        <v>104</v>
      </c>
      <c r="P557" t="s">
        <v>6785</v>
      </c>
      <c r="Q557" t="s">
        <v>6786</v>
      </c>
      <c r="R557" s="16" t="s">
        <v>8572</v>
      </c>
      <c r="S557" s="16" t="s">
        <v>8277</v>
      </c>
      <c r="T557" t="s">
        <v>1590</v>
      </c>
      <c r="U557">
        <v>1</v>
      </c>
    </row>
    <row r="558" spans="1:21">
      <c r="A558">
        <v>688</v>
      </c>
      <c r="B558" t="s">
        <v>1626</v>
      </c>
      <c r="C558" t="s">
        <v>1379</v>
      </c>
      <c r="D558">
        <v>1185</v>
      </c>
      <c r="E558">
        <v>12</v>
      </c>
      <c r="F558" t="s">
        <v>4507</v>
      </c>
      <c r="G558" t="s">
        <v>9212</v>
      </c>
      <c r="I558" t="s">
        <v>1466</v>
      </c>
      <c r="J558" t="s">
        <v>9030</v>
      </c>
      <c r="L558">
        <v>1</v>
      </c>
      <c r="M558" t="s">
        <v>4507</v>
      </c>
      <c r="N558" t="s">
        <v>6485</v>
      </c>
      <c r="O558" t="s">
        <v>104</v>
      </c>
      <c r="P558">
        <v>32960</v>
      </c>
      <c r="Q558">
        <v>493810</v>
      </c>
      <c r="R558" s="16" t="s">
        <v>8580</v>
      </c>
      <c r="S558" s="16" t="s">
        <v>8285</v>
      </c>
      <c r="T558" t="s">
        <v>1626</v>
      </c>
      <c r="U558">
        <v>1</v>
      </c>
    </row>
    <row r="559" spans="1:21">
      <c r="A559">
        <v>519</v>
      </c>
      <c r="B559" t="s">
        <v>1594</v>
      </c>
      <c r="C559" t="s">
        <v>4412</v>
      </c>
      <c r="D559">
        <v>1061</v>
      </c>
      <c r="E559">
        <v>11</v>
      </c>
      <c r="F559" t="s">
        <v>1444</v>
      </c>
      <c r="G559" t="s">
        <v>4690</v>
      </c>
      <c r="J559" t="s">
        <v>8668</v>
      </c>
      <c r="L559">
        <v>0</v>
      </c>
      <c r="R559" s="16" t="s">
        <v>8064</v>
      </c>
      <c r="S559" s="16" t="s">
        <v>8064</v>
      </c>
      <c r="T559" t="s">
        <v>1594</v>
      </c>
      <c r="U559">
        <v>0</v>
      </c>
    </row>
    <row r="560" spans="1:21">
      <c r="A560">
        <v>520</v>
      </c>
      <c r="B560" t="s">
        <v>4978</v>
      </c>
      <c r="C560" t="s">
        <v>4412</v>
      </c>
      <c r="D560">
        <v>1061</v>
      </c>
      <c r="E560">
        <v>11</v>
      </c>
      <c r="F560" t="s">
        <v>4408</v>
      </c>
      <c r="G560" t="s">
        <v>4690</v>
      </c>
      <c r="J560" t="s">
        <v>8668</v>
      </c>
      <c r="L560">
        <v>1</v>
      </c>
      <c r="M560" t="s">
        <v>6389</v>
      </c>
      <c r="N560" t="s">
        <v>6389</v>
      </c>
      <c r="O560" t="s">
        <v>6390</v>
      </c>
      <c r="P560">
        <v>64790</v>
      </c>
      <c r="Q560">
        <v>498110</v>
      </c>
      <c r="R560" s="16" t="s">
        <v>8576</v>
      </c>
      <c r="S560" s="16" t="s">
        <v>8281</v>
      </c>
      <c r="T560" t="s">
        <v>4978</v>
      </c>
      <c r="U560">
        <v>0</v>
      </c>
    </row>
    <row r="561" spans="1:21">
      <c r="A561">
        <v>523</v>
      </c>
      <c r="B561" t="s">
        <v>1601</v>
      </c>
      <c r="C561" t="s">
        <v>4413</v>
      </c>
      <c r="D561">
        <v>1066</v>
      </c>
      <c r="E561">
        <v>11</v>
      </c>
      <c r="F561" t="s">
        <v>4408</v>
      </c>
      <c r="G561" t="s">
        <v>4690</v>
      </c>
      <c r="J561" t="s">
        <v>8668</v>
      </c>
      <c r="L561">
        <v>1</v>
      </c>
      <c r="M561" t="s">
        <v>6389</v>
      </c>
      <c r="N561" t="s">
        <v>6389</v>
      </c>
      <c r="O561" t="s">
        <v>6390</v>
      </c>
      <c r="P561">
        <v>64790</v>
      </c>
      <c r="Q561">
        <v>498110</v>
      </c>
      <c r="R561" s="16" t="s">
        <v>8576</v>
      </c>
      <c r="S561" s="16" t="s">
        <v>8281</v>
      </c>
      <c r="T561" t="s">
        <v>1601</v>
      </c>
      <c r="U561">
        <v>0</v>
      </c>
    </row>
    <row r="562" spans="1:21">
      <c r="A562">
        <v>537</v>
      </c>
      <c r="B562" t="s">
        <v>2071</v>
      </c>
      <c r="C562" t="s">
        <v>1377</v>
      </c>
      <c r="D562">
        <v>1174</v>
      </c>
      <c r="E562">
        <v>12</v>
      </c>
      <c r="F562" t="s">
        <v>4505</v>
      </c>
      <c r="G562" t="s">
        <v>4690</v>
      </c>
      <c r="J562" t="s">
        <v>8668</v>
      </c>
      <c r="L562">
        <v>1</v>
      </c>
      <c r="M562" t="s">
        <v>6481</v>
      </c>
      <c r="N562" t="s">
        <v>6482</v>
      </c>
      <c r="O562" t="s">
        <v>12</v>
      </c>
      <c r="P562">
        <v>-10750</v>
      </c>
      <c r="Q562">
        <v>537850</v>
      </c>
      <c r="R562" s="16" t="s">
        <v>8571</v>
      </c>
      <c r="S562" s="16" t="s">
        <v>8276</v>
      </c>
      <c r="T562" t="s">
        <v>7938</v>
      </c>
      <c r="U562">
        <v>0</v>
      </c>
    </row>
    <row r="563" spans="1:21">
      <c r="A563">
        <v>573</v>
      </c>
      <c r="B563" t="s">
        <v>2095</v>
      </c>
      <c r="C563" t="s">
        <v>4809</v>
      </c>
      <c r="D563">
        <v>1290</v>
      </c>
      <c r="E563">
        <v>13</v>
      </c>
      <c r="F563" t="s">
        <v>4377</v>
      </c>
      <c r="G563" t="s">
        <v>4690</v>
      </c>
      <c r="J563" t="s">
        <v>8668</v>
      </c>
      <c r="L563">
        <v>1</v>
      </c>
      <c r="M563" t="s">
        <v>4377</v>
      </c>
      <c r="N563" t="s">
        <v>6308</v>
      </c>
      <c r="O563" t="s">
        <v>104</v>
      </c>
      <c r="P563">
        <v>35650</v>
      </c>
      <c r="Q563">
        <v>477980</v>
      </c>
      <c r="R563" s="16" t="s">
        <v>8479</v>
      </c>
      <c r="S563" s="16" t="s">
        <v>8184</v>
      </c>
      <c r="T563" t="s">
        <v>7938</v>
      </c>
      <c r="U563">
        <v>0</v>
      </c>
    </row>
    <row r="564" spans="1:21">
      <c r="A564">
        <v>560</v>
      </c>
      <c r="B564" t="s">
        <v>1670</v>
      </c>
      <c r="C564" t="s">
        <v>4574</v>
      </c>
      <c r="D564">
        <v>1277</v>
      </c>
      <c r="E564">
        <v>13</v>
      </c>
      <c r="F564" t="s">
        <v>4575</v>
      </c>
      <c r="G564" t="s">
        <v>4690</v>
      </c>
      <c r="J564" t="s">
        <v>8668</v>
      </c>
      <c r="L564">
        <v>1</v>
      </c>
      <c r="M564" t="s">
        <v>6900</v>
      </c>
      <c r="N564" t="s">
        <v>6901</v>
      </c>
      <c r="O564" t="s">
        <v>104</v>
      </c>
      <c r="P564" t="s">
        <v>6902</v>
      </c>
      <c r="Q564" t="s">
        <v>6609</v>
      </c>
      <c r="R564" s="16" t="s">
        <v>8569</v>
      </c>
      <c r="S564" s="16" t="s">
        <v>8275</v>
      </c>
      <c r="T564" t="s">
        <v>1670</v>
      </c>
      <c r="U564">
        <v>0</v>
      </c>
    </row>
    <row r="565" spans="1:21">
      <c r="A565">
        <v>541</v>
      </c>
      <c r="B565" t="s">
        <v>4703</v>
      </c>
      <c r="C565">
        <v>1240</v>
      </c>
      <c r="D565">
        <v>1240</v>
      </c>
      <c r="E565">
        <v>13</v>
      </c>
      <c r="F565" t="s">
        <v>4544</v>
      </c>
      <c r="G565" t="s">
        <v>4690</v>
      </c>
      <c r="I565" t="s">
        <v>4704</v>
      </c>
      <c r="J565" t="s">
        <v>8668</v>
      </c>
      <c r="L565">
        <v>1</v>
      </c>
      <c r="M565" t="s">
        <v>4544</v>
      </c>
      <c r="N565" t="s">
        <v>6590</v>
      </c>
      <c r="O565" t="s">
        <v>104</v>
      </c>
      <c r="P565" t="s">
        <v>6591</v>
      </c>
      <c r="Q565" t="s">
        <v>6592</v>
      </c>
      <c r="R565" s="16" t="s">
        <v>8575</v>
      </c>
      <c r="S565" s="16" t="s">
        <v>8280</v>
      </c>
      <c r="T565" t="s">
        <v>4703</v>
      </c>
      <c r="U565">
        <v>0</v>
      </c>
    </row>
    <row r="566" spans="1:21">
      <c r="A566">
        <v>527</v>
      </c>
      <c r="B566" t="s">
        <v>1604</v>
      </c>
      <c r="C566" t="s">
        <v>4420</v>
      </c>
      <c r="D566">
        <v>1083</v>
      </c>
      <c r="E566">
        <v>11</v>
      </c>
      <c r="F566" t="s">
        <v>4392</v>
      </c>
      <c r="G566" t="s">
        <v>4690</v>
      </c>
      <c r="J566" t="s">
        <v>8668</v>
      </c>
      <c r="L566">
        <v>1</v>
      </c>
      <c r="M566" t="s">
        <v>4502</v>
      </c>
      <c r="N566" t="s">
        <v>6456</v>
      </c>
      <c r="O566" t="s">
        <v>104</v>
      </c>
      <c r="P566">
        <v>23522</v>
      </c>
      <c r="Q566">
        <v>488566</v>
      </c>
      <c r="R566" s="16" t="s">
        <v>8364</v>
      </c>
      <c r="S566" s="16" t="s">
        <v>8069</v>
      </c>
      <c r="T566" t="s">
        <v>1604</v>
      </c>
      <c r="U566">
        <v>0</v>
      </c>
    </row>
    <row r="567" spans="1:21">
      <c r="A567">
        <v>528</v>
      </c>
      <c r="B567" t="s">
        <v>1605</v>
      </c>
      <c r="C567" t="s">
        <v>4980</v>
      </c>
      <c r="D567">
        <v>1083</v>
      </c>
      <c r="E567">
        <v>11</v>
      </c>
      <c r="F567" t="s">
        <v>4392</v>
      </c>
      <c r="G567" t="s">
        <v>4690</v>
      </c>
      <c r="J567" t="s">
        <v>8668</v>
      </c>
      <c r="L567">
        <v>1</v>
      </c>
      <c r="M567" t="s">
        <v>4502</v>
      </c>
      <c r="N567" t="s">
        <v>6456</v>
      </c>
      <c r="O567" t="s">
        <v>104</v>
      </c>
      <c r="P567">
        <v>23522</v>
      </c>
      <c r="Q567">
        <v>488566</v>
      </c>
      <c r="R567" s="16" t="s">
        <v>8364</v>
      </c>
      <c r="S567" s="16" t="s">
        <v>8069</v>
      </c>
      <c r="T567" t="s">
        <v>1605</v>
      </c>
      <c r="U567">
        <v>0</v>
      </c>
    </row>
    <row r="568" spans="1:21">
      <c r="A568">
        <v>531</v>
      </c>
      <c r="B568" t="s">
        <v>1607</v>
      </c>
      <c r="C568" t="s">
        <v>1362</v>
      </c>
      <c r="D568">
        <v>1092</v>
      </c>
      <c r="E568">
        <v>11</v>
      </c>
      <c r="F568" t="s">
        <v>4392</v>
      </c>
      <c r="G568" t="s">
        <v>4690</v>
      </c>
      <c r="I568" t="s">
        <v>4691</v>
      </c>
      <c r="J568" t="s">
        <v>8668</v>
      </c>
      <c r="L568">
        <v>1</v>
      </c>
      <c r="M568" t="s">
        <v>4502</v>
      </c>
      <c r="N568" t="s">
        <v>6456</v>
      </c>
      <c r="O568" t="s">
        <v>104</v>
      </c>
      <c r="P568">
        <v>23522</v>
      </c>
      <c r="Q568">
        <v>488566</v>
      </c>
      <c r="R568" s="16" t="s">
        <v>8364</v>
      </c>
      <c r="S568" s="16" t="s">
        <v>8069</v>
      </c>
      <c r="T568" t="s">
        <v>1607</v>
      </c>
      <c r="U568">
        <v>0</v>
      </c>
    </row>
    <row r="569" spans="1:21">
      <c r="A569">
        <v>556</v>
      </c>
      <c r="B569" t="s">
        <v>1651</v>
      </c>
      <c r="C569" t="s">
        <v>1273</v>
      </c>
      <c r="D569">
        <v>1270</v>
      </c>
      <c r="E569">
        <v>13</v>
      </c>
      <c r="F569" t="s">
        <v>4418</v>
      </c>
      <c r="G569" t="s">
        <v>4690</v>
      </c>
      <c r="J569" t="s">
        <v>8668</v>
      </c>
      <c r="L569">
        <v>1</v>
      </c>
      <c r="M569" t="s">
        <v>4418</v>
      </c>
      <c r="N569" t="s">
        <v>6773</v>
      </c>
      <c r="O569" t="s">
        <v>104</v>
      </c>
      <c r="P569" t="s">
        <v>6774</v>
      </c>
      <c r="Q569" t="s">
        <v>6775</v>
      </c>
      <c r="R569" s="16" t="s">
        <v>8558</v>
      </c>
      <c r="S569" s="16" t="s">
        <v>8263</v>
      </c>
      <c r="T569" t="s">
        <v>1651</v>
      </c>
      <c r="U569">
        <v>0</v>
      </c>
    </row>
    <row r="570" spans="1:21">
      <c r="A570">
        <v>557</v>
      </c>
      <c r="B570" t="s">
        <v>1653</v>
      </c>
      <c r="C570" t="s">
        <v>1273</v>
      </c>
      <c r="D570">
        <v>1270</v>
      </c>
      <c r="E570">
        <v>13</v>
      </c>
      <c r="F570" t="s">
        <v>4418</v>
      </c>
      <c r="G570" t="s">
        <v>4690</v>
      </c>
      <c r="J570" t="s">
        <v>8668</v>
      </c>
      <c r="L570">
        <v>1</v>
      </c>
      <c r="M570" t="s">
        <v>4418</v>
      </c>
      <c r="N570" t="s">
        <v>6773</v>
      </c>
      <c r="O570" t="s">
        <v>104</v>
      </c>
      <c r="P570" t="s">
        <v>6774</v>
      </c>
      <c r="Q570" t="s">
        <v>6775</v>
      </c>
      <c r="R570" s="16" t="s">
        <v>8558</v>
      </c>
      <c r="S570" s="16" t="s">
        <v>8263</v>
      </c>
      <c r="T570" t="s">
        <v>1653</v>
      </c>
      <c r="U570">
        <v>0</v>
      </c>
    </row>
    <row r="571" spans="1:21">
      <c r="A571">
        <v>529</v>
      </c>
      <c r="B571" t="s">
        <v>2064</v>
      </c>
      <c r="C571" t="s">
        <v>4420</v>
      </c>
      <c r="D571">
        <v>1083</v>
      </c>
      <c r="E571">
        <v>11</v>
      </c>
      <c r="F571" t="s">
        <v>4392</v>
      </c>
      <c r="G571" t="s">
        <v>4690</v>
      </c>
      <c r="J571" t="s">
        <v>8668</v>
      </c>
      <c r="L571">
        <v>1</v>
      </c>
      <c r="M571" t="s">
        <v>4502</v>
      </c>
      <c r="N571" t="s">
        <v>6456</v>
      </c>
      <c r="O571" t="s">
        <v>104</v>
      </c>
      <c r="P571">
        <v>23522</v>
      </c>
      <c r="Q571">
        <v>488566</v>
      </c>
      <c r="R571" s="16" t="s">
        <v>8364</v>
      </c>
      <c r="S571" s="16" t="s">
        <v>8069</v>
      </c>
      <c r="T571" t="s">
        <v>7941</v>
      </c>
      <c r="U571">
        <v>0</v>
      </c>
    </row>
    <row r="572" spans="1:21">
      <c r="A572">
        <v>569</v>
      </c>
      <c r="B572" t="s">
        <v>1704</v>
      </c>
      <c r="C572" t="s">
        <v>4617</v>
      </c>
      <c r="D572">
        <v>1287</v>
      </c>
      <c r="E572">
        <v>13</v>
      </c>
      <c r="F572" t="s">
        <v>1444</v>
      </c>
      <c r="G572" t="s">
        <v>4690</v>
      </c>
      <c r="J572" t="s">
        <v>8668</v>
      </c>
      <c r="L572">
        <v>0</v>
      </c>
      <c r="R572" s="16" t="s">
        <v>8064</v>
      </c>
      <c r="S572" s="16" t="s">
        <v>8064</v>
      </c>
      <c r="T572" t="s">
        <v>1704</v>
      </c>
      <c r="U572">
        <v>0</v>
      </c>
    </row>
    <row r="573" spans="1:21">
      <c r="A573">
        <v>518</v>
      </c>
      <c r="B573" t="s">
        <v>1724</v>
      </c>
      <c r="C573" t="s">
        <v>4981</v>
      </c>
      <c r="D573">
        <v>1050</v>
      </c>
      <c r="E573">
        <v>11</v>
      </c>
      <c r="F573" t="s">
        <v>4410</v>
      </c>
      <c r="G573" t="s">
        <v>4690</v>
      </c>
      <c r="J573" t="s">
        <v>8668</v>
      </c>
      <c r="L573">
        <v>1</v>
      </c>
      <c r="M573" t="s">
        <v>6358</v>
      </c>
      <c r="N573" t="s">
        <v>6359</v>
      </c>
      <c r="O573" t="s">
        <v>104</v>
      </c>
      <c r="P573">
        <v>14890</v>
      </c>
      <c r="Q573">
        <v>484460</v>
      </c>
      <c r="R573" s="16" t="s">
        <v>8579</v>
      </c>
      <c r="S573" s="16" t="s">
        <v>8284</v>
      </c>
      <c r="T573" t="s">
        <v>1724</v>
      </c>
      <c r="U573">
        <v>0</v>
      </c>
    </row>
    <row r="574" spans="1:21">
      <c r="A574">
        <v>575</v>
      </c>
      <c r="B574" t="s">
        <v>2089</v>
      </c>
      <c r="C574" t="s">
        <v>4982</v>
      </c>
      <c r="D574">
        <v>1291</v>
      </c>
      <c r="E574">
        <v>13</v>
      </c>
      <c r="F574" t="s">
        <v>1444</v>
      </c>
      <c r="G574" t="s">
        <v>4690</v>
      </c>
      <c r="J574" t="s">
        <v>8668</v>
      </c>
      <c r="L574">
        <v>0</v>
      </c>
      <c r="R574" s="16" t="s">
        <v>8064</v>
      </c>
      <c r="S574" s="16" t="s">
        <v>8064</v>
      </c>
      <c r="T574" t="s">
        <v>7948</v>
      </c>
      <c r="U574">
        <v>0</v>
      </c>
    </row>
    <row r="575" spans="1:21">
      <c r="A575">
        <v>576</v>
      </c>
      <c r="B575" t="s">
        <v>1713</v>
      </c>
      <c r="C575" t="s">
        <v>4629</v>
      </c>
      <c r="D575">
        <v>1293</v>
      </c>
      <c r="E575">
        <v>13</v>
      </c>
      <c r="F575" t="s">
        <v>1444</v>
      </c>
      <c r="G575" t="s">
        <v>4690</v>
      </c>
      <c r="J575" t="s">
        <v>8668</v>
      </c>
      <c r="L575">
        <v>0</v>
      </c>
      <c r="R575" s="16" t="s">
        <v>8064</v>
      </c>
      <c r="S575" s="16" t="s">
        <v>8064</v>
      </c>
      <c r="T575" t="s">
        <v>1713</v>
      </c>
      <c r="U575">
        <v>0</v>
      </c>
    </row>
    <row r="576" spans="1:21">
      <c r="A576">
        <v>534</v>
      </c>
      <c r="B576" t="s">
        <v>1613</v>
      </c>
      <c r="C576" t="s">
        <v>4464</v>
      </c>
      <c r="D576">
        <v>1137</v>
      </c>
      <c r="E576">
        <v>12</v>
      </c>
      <c r="F576" t="s">
        <v>1444</v>
      </c>
      <c r="G576" t="s">
        <v>4690</v>
      </c>
      <c r="J576" t="s">
        <v>8668</v>
      </c>
      <c r="L576">
        <v>0</v>
      </c>
      <c r="R576" s="16" t="s">
        <v>8064</v>
      </c>
      <c r="S576" s="16" t="s">
        <v>8064</v>
      </c>
      <c r="T576" t="s">
        <v>1613</v>
      </c>
      <c r="U576">
        <v>0</v>
      </c>
    </row>
    <row r="577" spans="1:21">
      <c r="A577">
        <v>567</v>
      </c>
      <c r="B577" t="s">
        <v>1701</v>
      </c>
      <c r="C577" t="s">
        <v>4612</v>
      </c>
      <c r="D577">
        <v>1285</v>
      </c>
      <c r="E577">
        <v>13</v>
      </c>
      <c r="F577" t="s">
        <v>1444</v>
      </c>
      <c r="G577" t="s">
        <v>4690</v>
      </c>
      <c r="J577" t="s">
        <v>8668</v>
      </c>
      <c r="L577">
        <v>0</v>
      </c>
      <c r="R577" s="16" t="s">
        <v>8064</v>
      </c>
      <c r="S577" s="16" t="s">
        <v>8064</v>
      </c>
      <c r="T577" t="s">
        <v>1701</v>
      </c>
      <c r="U577">
        <v>0</v>
      </c>
    </row>
    <row r="578" spans="1:21">
      <c r="A578">
        <v>563</v>
      </c>
      <c r="B578" t="s">
        <v>2090</v>
      </c>
      <c r="C578" t="s">
        <v>4984</v>
      </c>
      <c r="D578">
        <v>1282</v>
      </c>
      <c r="E578">
        <v>13</v>
      </c>
      <c r="F578" t="s">
        <v>1444</v>
      </c>
      <c r="G578" t="s">
        <v>4690</v>
      </c>
      <c r="J578" t="s">
        <v>8668</v>
      </c>
      <c r="L578">
        <v>0</v>
      </c>
      <c r="R578" s="16" t="s">
        <v>8064</v>
      </c>
      <c r="S578" s="16" t="s">
        <v>8064</v>
      </c>
      <c r="T578" t="s">
        <v>7949</v>
      </c>
      <c r="U578">
        <v>0</v>
      </c>
    </row>
    <row r="579" spans="1:21">
      <c r="A579">
        <v>566</v>
      </c>
      <c r="B579" t="s">
        <v>2091</v>
      </c>
      <c r="C579" t="s">
        <v>4985</v>
      </c>
      <c r="D579">
        <v>1284</v>
      </c>
      <c r="E579">
        <v>13</v>
      </c>
      <c r="F579" t="s">
        <v>4502</v>
      </c>
      <c r="G579" t="s">
        <v>4690</v>
      </c>
      <c r="J579" t="s">
        <v>8668</v>
      </c>
      <c r="L579">
        <v>1</v>
      </c>
      <c r="M579" t="s">
        <v>4502</v>
      </c>
      <c r="N579" t="s">
        <v>6456</v>
      </c>
      <c r="O579" t="s">
        <v>104</v>
      </c>
      <c r="P579">
        <v>23522</v>
      </c>
      <c r="Q579">
        <v>488566</v>
      </c>
      <c r="R579" s="16" t="s">
        <v>8364</v>
      </c>
      <c r="S579" s="16" t="s">
        <v>8069</v>
      </c>
      <c r="T579" t="s">
        <v>7942</v>
      </c>
      <c r="U579">
        <v>0</v>
      </c>
    </row>
    <row r="580" spans="1:21">
      <c r="A580">
        <v>574</v>
      </c>
      <c r="B580" t="s">
        <v>2094</v>
      </c>
      <c r="C580" t="s">
        <v>4347</v>
      </c>
      <c r="D580">
        <v>1290</v>
      </c>
      <c r="E580">
        <v>13</v>
      </c>
      <c r="F580" t="s">
        <v>4540</v>
      </c>
      <c r="G580" t="s">
        <v>4690</v>
      </c>
      <c r="J580" t="s">
        <v>8668</v>
      </c>
      <c r="L580">
        <v>1</v>
      </c>
      <c r="M580" t="s">
        <v>6762</v>
      </c>
      <c r="N580" t="s">
        <v>6763</v>
      </c>
      <c r="O580" t="s">
        <v>104</v>
      </c>
      <c r="P580" t="s">
        <v>6764</v>
      </c>
      <c r="Q580" t="s">
        <v>6765</v>
      </c>
      <c r="R580" s="16" t="s">
        <v>8367</v>
      </c>
      <c r="S580" s="16" t="s">
        <v>8072</v>
      </c>
      <c r="T580" t="s">
        <v>7939</v>
      </c>
      <c r="U580">
        <v>0</v>
      </c>
    </row>
    <row r="581" spans="1:21">
      <c r="A581">
        <v>540</v>
      </c>
      <c r="B581" t="s">
        <v>2077</v>
      </c>
      <c r="C581" t="s">
        <v>1432</v>
      </c>
      <c r="D581">
        <v>1239</v>
      </c>
      <c r="E581">
        <v>13</v>
      </c>
      <c r="F581" t="s">
        <v>1444</v>
      </c>
      <c r="G581" t="s">
        <v>4690</v>
      </c>
      <c r="J581" t="s">
        <v>8668</v>
      </c>
      <c r="L581">
        <v>0</v>
      </c>
      <c r="R581" s="16" t="s">
        <v>8064</v>
      </c>
      <c r="S581" s="16" t="s">
        <v>8064</v>
      </c>
      <c r="T581" t="s">
        <v>7946</v>
      </c>
      <c r="U581">
        <v>0</v>
      </c>
    </row>
    <row r="582" spans="1:21">
      <c r="A582">
        <v>581</v>
      </c>
      <c r="B582" t="s">
        <v>1708</v>
      </c>
      <c r="C582" t="s">
        <v>4872</v>
      </c>
      <c r="D582">
        <v>1298</v>
      </c>
      <c r="E582">
        <v>13</v>
      </c>
      <c r="F582" t="s">
        <v>1444</v>
      </c>
      <c r="G582" t="s">
        <v>4690</v>
      </c>
      <c r="I582" t="s">
        <v>1503</v>
      </c>
      <c r="J582" t="s">
        <v>8668</v>
      </c>
      <c r="L582">
        <v>0</v>
      </c>
      <c r="R582" s="16" t="s">
        <v>8064</v>
      </c>
      <c r="S582" s="16" t="s">
        <v>8064</v>
      </c>
      <c r="T582" t="s">
        <v>1708</v>
      </c>
      <c r="U582">
        <v>0</v>
      </c>
    </row>
    <row r="583" spans="1:21">
      <c r="A583">
        <v>587</v>
      </c>
      <c r="B583" t="s">
        <v>4882</v>
      </c>
      <c r="C583" t="s">
        <v>4632</v>
      </c>
      <c r="D583">
        <v>1300</v>
      </c>
      <c r="E583">
        <v>13</v>
      </c>
      <c r="F583" t="s">
        <v>1444</v>
      </c>
      <c r="G583" t="s">
        <v>4690</v>
      </c>
      <c r="I583" t="s">
        <v>4881</v>
      </c>
      <c r="J583" t="s">
        <v>8668</v>
      </c>
      <c r="L583">
        <v>0</v>
      </c>
      <c r="R583" s="16" t="s">
        <v>8064</v>
      </c>
      <c r="S583" s="16" t="s">
        <v>8064</v>
      </c>
      <c r="T583" t="s">
        <v>4882</v>
      </c>
      <c r="U583">
        <v>0</v>
      </c>
    </row>
    <row r="584" spans="1:21">
      <c r="A584">
        <v>588</v>
      </c>
      <c r="B584" t="s">
        <v>2097</v>
      </c>
      <c r="C584" t="s">
        <v>4632</v>
      </c>
      <c r="D584">
        <v>1300</v>
      </c>
      <c r="E584">
        <v>13</v>
      </c>
      <c r="F584" t="s">
        <v>1444</v>
      </c>
      <c r="G584" t="s">
        <v>4690</v>
      </c>
      <c r="J584" t="s">
        <v>8668</v>
      </c>
      <c r="L584">
        <v>0</v>
      </c>
      <c r="R584" s="16" t="s">
        <v>8064</v>
      </c>
      <c r="S584" s="16" t="s">
        <v>8064</v>
      </c>
      <c r="T584" t="s">
        <v>7950</v>
      </c>
      <c r="U584">
        <v>0</v>
      </c>
    </row>
    <row r="585" spans="1:21">
      <c r="A585">
        <v>554</v>
      </c>
      <c r="B585" t="s">
        <v>1650</v>
      </c>
      <c r="C585" t="s">
        <v>1440</v>
      </c>
      <c r="D585">
        <v>1269</v>
      </c>
      <c r="E585">
        <v>13</v>
      </c>
      <c r="F585" t="s">
        <v>1444</v>
      </c>
      <c r="G585" t="s">
        <v>4690</v>
      </c>
      <c r="J585" t="s">
        <v>8668</v>
      </c>
      <c r="L585">
        <v>0</v>
      </c>
      <c r="R585" s="16" t="s">
        <v>8064</v>
      </c>
      <c r="S585" s="16" t="s">
        <v>8064</v>
      </c>
      <c r="T585" t="s">
        <v>1650</v>
      </c>
      <c r="U585">
        <v>0</v>
      </c>
    </row>
    <row r="586" spans="1:21">
      <c r="A586">
        <v>543</v>
      </c>
      <c r="B586" t="s">
        <v>1641</v>
      </c>
      <c r="C586" t="s">
        <v>1433</v>
      </c>
      <c r="D586">
        <v>1242</v>
      </c>
      <c r="E586">
        <v>13</v>
      </c>
      <c r="F586" t="s">
        <v>1444</v>
      </c>
      <c r="G586" t="s">
        <v>4690</v>
      </c>
      <c r="J586" t="s">
        <v>8668</v>
      </c>
      <c r="L586">
        <v>0</v>
      </c>
      <c r="R586" s="16" t="s">
        <v>8064</v>
      </c>
      <c r="S586" s="16" t="s">
        <v>8064</v>
      </c>
      <c r="T586" t="s">
        <v>1641</v>
      </c>
      <c r="U586">
        <v>0</v>
      </c>
    </row>
    <row r="587" spans="1:21">
      <c r="A587">
        <v>547</v>
      </c>
      <c r="B587" t="s">
        <v>1649</v>
      </c>
      <c r="C587" t="s">
        <v>1439</v>
      </c>
      <c r="D587">
        <v>1264</v>
      </c>
      <c r="E587">
        <v>13</v>
      </c>
      <c r="F587" t="s">
        <v>1444</v>
      </c>
      <c r="G587" t="s">
        <v>4690</v>
      </c>
      <c r="J587" t="s">
        <v>8668</v>
      </c>
      <c r="L587">
        <v>0</v>
      </c>
      <c r="R587" s="16" t="s">
        <v>8064</v>
      </c>
      <c r="S587" s="16" t="s">
        <v>8064</v>
      </c>
      <c r="T587" t="s">
        <v>1649</v>
      </c>
      <c r="U587">
        <v>0</v>
      </c>
    </row>
    <row r="588" spans="1:21">
      <c r="A588">
        <v>568</v>
      </c>
      <c r="B588" t="s">
        <v>1671</v>
      </c>
      <c r="C588" t="s">
        <v>4576</v>
      </c>
      <c r="D588">
        <v>1286</v>
      </c>
      <c r="E588">
        <v>13</v>
      </c>
      <c r="F588" t="s">
        <v>1444</v>
      </c>
      <c r="G588" t="s">
        <v>4690</v>
      </c>
      <c r="J588" t="s">
        <v>8668</v>
      </c>
      <c r="L588">
        <v>0</v>
      </c>
      <c r="R588" s="16" t="s">
        <v>8064</v>
      </c>
      <c r="S588" s="16" t="s">
        <v>8064</v>
      </c>
      <c r="T588" t="s">
        <v>1671</v>
      </c>
      <c r="U588">
        <v>0</v>
      </c>
    </row>
    <row r="589" spans="1:21">
      <c r="A589">
        <v>582</v>
      </c>
      <c r="B589" t="s">
        <v>1711</v>
      </c>
      <c r="C589" t="s">
        <v>4627</v>
      </c>
      <c r="D589">
        <v>1299</v>
      </c>
      <c r="E589">
        <v>13</v>
      </c>
      <c r="F589" t="s">
        <v>1444</v>
      </c>
      <c r="G589" t="s">
        <v>4690</v>
      </c>
      <c r="J589" t="s">
        <v>8668</v>
      </c>
      <c r="L589">
        <v>0</v>
      </c>
      <c r="R589" s="16" t="s">
        <v>8064</v>
      </c>
      <c r="S589" s="16" t="s">
        <v>8064</v>
      </c>
      <c r="T589" t="s">
        <v>1711</v>
      </c>
      <c r="U589">
        <v>0</v>
      </c>
    </row>
    <row r="590" spans="1:21">
      <c r="A590">
        <v>545</v>
      </c>
      <c r="B590" t="s">
        <v>1646</v>
      </c>
      <c r="C590" t="s">
        <v>1436</v>
      </c>
      <c r="D590">
        <v>1261</v>
      </c>
      <c r="E590">
        <v>13</v>
      </c>
      <c r="F590" t="s">
        <v>1444</v>
      </c>
      <c r="G590" t="s">
        <v>4690</v>
      </c>
      <c r="J590" t="s">
        <v>8668</v>
      </c>
      <c r="L590">
        <v>0</v>
      </c>
      <c r="R590" s="16" t="s">
        <v>8064</v>
      </c>
      <c r="S590" s="16" t="s">
        <v>8064</v>
      </c>
      <c r="T590" t="s">
        <v>1646</v>
      </c>
      <c r="U590">
        <v>0</v>
      </c>
    </row>
    <row r="591" spans="1:21">
      <c r="A591">
        <v>544</v>
      </c>
      <c r="B591" t="s">
        <v>1644</v>
      </c>
      <c r="C591" t="s">
        <v>1434</v>
      </c>
      <c r="D591">
        <v>1258</v>
      </c>
      <c r="E591">
        <v>13</v>
      </c>
      <c r="F591" t="s">
        <v>1444</v>
      </c>
      <c r="G591" t="s">
        <v>4690</v>
      </c>
      <c r="J591" t="s">
        <v>8668</v>
      </c>
      <c r="L591">
        <v>0</v>
      </c>
      <c r="R591" s="16" t="s">
        <v>8064</v>
      </c>
      <c r="S591" s="16" t="s">
        <v>8064</v>
      </c>
      <c r="T591" t="s">
        <v>1644</v>
      </c>
      <c r="U591">
        <v>0</v>
      </c>
    </row>
    <row r="592" spans="1:21">
      <c r="A592">
        <v>577</v>
      </c>
      <c r="B592" t="s">
        <v>1692</v>
      </c>
      <c r="C592" t="s">
        <v>4740</v>
      </c>
      <c r="D592">
        <v>1293</v>
      </c>
      <c r="E592">
        <v>13</v>
      </c>
      <c r="F592" t="s">
        <v>1444</v>
      </c>
      <c r="G592" t="s">
        <v>4690</v>
      </c>
      <c r="J592" t="s">
        <v>8668</v>
      </c>
      <c r="L592">
        <v>0</v>
      </c>
      <c r="R592" s="16" t="s">
        <v>8064</v>
      </c>
      <c r="S592" s="16" t="s">
        <v>8064</v>
      </c>
      <c r="T592" t="s">
        <v>1692</v>
      </c>
      <c r="U592">
        <v>0</v>
      </c>
    </row>
    <row r="593" spans="1:21">
      <c r="A593">
        <v>550</v>
      </c>
      <c r="B593" t="s">
        <v>1661</v>
      </c>
      <c r="C593" t="s">
        <v>4988</v>
      </c>
      <c r="D593">
        <v>1267</v>
      </c>
      <c r="E593">
        <v>13</v>
      </c>
      <c r="F593" t="s">
        <v>4502</v>
      </c>
      <c r="G593" t="s">
        <v>4690</v>
      </c>
      <c r="J593" t="s">
        <v>8668</v>
      </c>
      <c r="L593">
        <v>1</v>
      </c>
      <c r="M593" t="s">
        <v>4502</v>
      </c>
      <c r="N593" t="s">
        <v>6456</v>
      </c>
      <c r="O593" t="s">
        <v>104</v>
      </c>
      <c r="P593">
        <v>23522</v>
      </c>
      <c r="Q593">
        <v>488566</v>
      </c>
      <c r="R593" s="16" t="s">
        <v>8364</v>
      </c>
      <c r="S593" s="16" t="s">
        <v>8069</v>
      </c>
      <c r="T593" t="s">
        <v>1661</v>
      </c>
      <c r="U593">
        <v>0</v>
      </c>
    </row>
    <row r="594" spans="1:21">
      <c r="A594">
        <v>561</v>
      </c>
      <c r="B594" t="s">
        <v>4867</v>
      </c>
      <c r="C594" t="s">
        <v>4579</v>
      </c>
      <c r="D594">
        <v>1278</v>
      </c>
      <c r="E594">
        <v>13</v>
      </c>
      <c r="F594" t="s">
        <v>1444</v>
      </c>
      <c r="G594" t="s">
        <v>4690</v>
      </c>
      <c r="I594" t="s">
        <v>1485</v>
      </c>
      <c r="J594" t="s">
        <v>8668</v>
      </c>
      <c r="L594">
        <v>0</v>
      </c>
      <c r="R594" s="16" t="s">
        <v>8064</v>
      </c>
      <c r="S594" s="16" t="s">
        <v>8064</v>
      </c>
      <c r="T594" t="s">
        <v>4867</v>
      </c>
      <c r="U594">
        <v>0</v>
      </c>
    </row>
    <row r="595" spans="1:21">
      <c r="A595">
        <v>551</v>
      </c>
      <c r="B595" t="s">
        <v>1662</v>
      </c>
      <c r="C595" t="s">
        <v>4988</v>
      </c>
      <c r="D595">
        <v>1267</v>
      </c>
      <c r="E595">
        <v>13</v>
      </c>
      <c r="F595" t="s">
        <v>4502</v>
      </c>
      <c r="G595" t="s">
        <v>4690</v>
      </c>
      <c r="J595" t="s">
        <v>8668</v>
      </c>
      <c r="L595">
        <v>1</v>
      </c>
      <c r="M595" t="s">
        <v>4502</v>
      </c>
      <c r="N595" t="s">
        <v>6456</v>
      </c>
      <c r="O595" t="s">
        <v>104</v>
      </c>
      <c r="P595">
        <v>23522</v>
      </c>
      <c r="Q595">
        <v>488566</v>
      </c>
      <c r="R595" s="16" t="s">
        <v>8364</v>
      </c>
      <c r="S595" s="16" t="s">
        <v>8069</v>
      </c>
      <c r="T595" t="s">
        <v>1662</v>
      </c>
      <c r="U595">
        <v>0</v>
      </c>
    </row>
    <row r="596" spans="1:21">
      <c r="A596">
        <v>538</v>
      </c>
      <c r="B596" t="s">
        <v>1663</v>
      </c>
      <c r="C596" t="s">
        <v>4989</v>
      </c>
      <c r="D596">
        <v>1200</v>
      </c>
      <c r="E596">
        <v>13</v>
      </c>
      <c r="F596" t="s">
        <v>4502</v>
      </c>
      <c r="G596" t="s">
        <v>4690</v>
      </c>
      <c r="J596" t="s">
        <v>8668</v>
      </c>
      <c r="L596">
        <v>1</v>
      </c>
      <c r="M596" t="s">
        <v>4502</v>
      </c>
      <c r="N596" t="s">
        <v>6456</v>
      </c>
      <c r="O596" t="s">
        <v>104</v>
      </c>
      <c r="P596">
        <v>23522</v>
      </c>
      <c r="Q596">
        <v>488566</v>
      </c>
      <c r="R596" s="16" t="s">
        <v>8364</v>
      </c>
      <c r="S596" s="16" t="s">
        <v>8069</v>
      </c>
      <c r="T596" t="s">
        <v>1663</v>
      </c>
      <c r="U596">
        <v>0</v>
      </c>
    </row>
    <row r="597" spans="1:21">
      <c r="A597">
        <v>571</v>
      </c>
      <c r="B597" t="s">
        <v>1687</v>
      </c>
      <c r="C597" t="s">
        <v>4597</v>
      </c>
      <c r="D597">
        <v>1290</v>
      </c>
      <c r="E597">
        <v>13</v>
      </c>
      <c r="F597" t="s">
        <v>1444</v>
      </c>
      <c r="G597" t="s">
        <v>4690</v>
      </c>
      <c r="J597" t="s">
        <v>8668</v>
      </c>
      <c r="L597">
        <v>0</v>
      </c>
      <c r="R597" s="16" t="s">
        <v>8064</v>
      </c>
      <c r="S597" s="16" t="s">
        <v>8064</v>
      </c>
      <c r="T597" t="s">
        <v>1687</v>
      </c>
      <c r="U597">
        <v>0</v>
      </c>
    </row>
    <row r="598" spans="1:21">
      <c r="A598">
        <v>578</v>
      </c>
      <c r="B598" t="s">
        <v>1696</v>
      </c>
      <c r="C598" t="s">
        <v>4605</v>
      </c>
      <c r="D598">
        <v>1294</v>
      </c>
      <c r="E598">
        <v>13</v>
      </c>
      <c r="F598" t="s">
        <v>1444</v>
      </c>
      <c r="G598" t="s">
        <v>4690</v>
      </c>
      <c r="J598" t="s">
        <v>8668</v>
      </c>
      <c r="L598">
        <v>0</v>
      </c>
      <c r="R598" s="16" t="s">
        <v>8064</v>
      </c>
      <c r="S598" s="16" t="s">
        <v>8064</v>
      </c>
      <c r="T598" t="s">
        <v>1696</v>
      </c>
      <c r="U598">
        <v>0</v>
      </c>
    </row>
    <row r="599" spans="1:21">
      <c r="A599">
        <v>579</v>
      </c>
      <c r="B599" t="s">
        <v>1698</v>
      </c>
      <c r="C599" t="s">
        <v>4608</v>
      </c>
      <c r="D599">
        <v>1294</v>
      </c>
      <c r="E599">
        <v>13</v>
      </c>
      <c r="F599" t="s">
        <v>1444</v>
      </c>
      <c r="G599" t="s">
        <v>4690</v>
      </c>
      <c r="J599" t="s">
        <v>8668</v>
      </c>
      <c r="L599">
        <v>0</v>
      </c>
      <c r="R599" s="16" t="s">
        <v>8064</v>
      </c>
      <c r="S599" s="16" t="s">
        <v>8064</v>
      </c>
      <c r="T599" t="s">
        <v>1698</v>
      </c>
      <c r="U599">
        <v>0</v>
      </c>
    </row>
    <row r="600" spans="1:21">
      <c r="A600">
        <v>580</v>
      </c>
      <c r="B600" t="s">
        <v>1702</v>
      </c>
      <c r="C600" t="s">
        <v>4993</v>
      </c>
      <c r="D600">
        <v>1295</v>
      </c>
      <c r="E600">
        <v>13</v>
      </c>
      <c r="F600" t="s">
        <v>1444</v>
      </c>
      <c r="G600" t="s">
        <v>4690</v>
      </c>
      <c r="J600" t="s">
        <v>8668</v>
      </c>
      <c r="L600">
        <v>0</v>
      </c>
      <c r="R600" s="16" t="s">
        <v>8064</v>
      </c>
      <c r="S600" s="16" t="s">
        <v>8064</v>
      </c>
      <c r="T600" t="s">
        <v>1702</v>
      </c>
      <c r="U600">
        <v>0</v>
      </c>
    </row>
    <row r="601" spans="1:21">
      <c r="A601">
        <v>584</v>
      </c>
      <c r="B601" t="s">
        <v>1714</v>
      </c>
      <c r="C601" t="s">
        <v>4630</v>
      </c>
      <c r="D601">
        <v>1299</v>
      </c>
      <c r="E601">
        <v>13</v>
      </c>
      <c r="F601" t="s">
        <v>1444</v>
      </c>
      <c r="G601" t="s">
        <v>4690</v>
      </c>
      <c r="J601" t="s">
        <v>8668</v>
      </c>
      <c r="L601">
        <v>0</v>
      </c>
      <c r="R601" s="16" t="s">
        <v>8064</v>
      </c>
      <c r="S601" s="16" t="s">
        <v>8064</v>
      </c>
      <c r="T601" t="s">
        <v>1714</v>
      </c>
      <c r="U601">
        <v>0</v>
      </c>
    </row>
    <row r="602" spans="1:21">
      <c r="A602">
        <v>558</v>
      </c>
      <c r="B602" t="s">
        <v>2084</v>
      </c>
      <c r="C602" t="s">
        <v>4581</v>
      </c>
      <c r="D602">
        <v>1271</v>
      </c>
      <c r="E602">
        <v>13</v>
      </c>
      <c r="F602" t="s">
        <v>4502</v>
      </c>
      <c r="G602" t="s">
        <v>4690</v>
      </c>
      <c r="J602" t="s">
        <v>8668</v>
      </c>
      <c r="L602">
        <v>1</v>
      </c>
      <c r="M602" t="s">
        <v>4502</v>
      </c>
      <c r="N602" t="s">
        <v>6456</v>
      </c>
      <c r="O602" t="s">
        <v>104</v>
      </c>
      <c r="P602">
        <v>23522</v>
      </c>
      <c r="Q602">
        <v>488566</v>
      </c>
      <c r="R602" s="16" t="s">
        <v>8364</v>
      </c>
      <c r="S602" s="16" t="s">
        <v>8069</v>
      </c>
      <c r="T602" t="s">
        <v>7943</v>
      </c>
      <c r="U602">
        <v>0</v>
      </c>
    </row>
    <row r="603" spans="1:21">
      <c r="A603">
        <v>555</v>
      </c>
      <c r="B603" t="s">
        <v>4865</v>
      </c>
      <c r="C603" t="s">
        <v>4578</v>
      </c>
      <c r="D603">
        <v>1270</v>
      </c>
      <c r="E603">
        <v>13</v>
      </c>
      <c r="F603" t="s">
        <v>1444</v>
      </c>
      <c r="G603" t="s">
        <v>4690</v>
      </c>
      <c r="I603" t="s">
        <v>4866</v>
      </c>
      <c r="J603" t="s">
        <v>8668</v>
      </c>
      <c r="L603">
        <v>0</v>
      </c>
      <c r="R603" s="16" t="s">
        <v>8064</v>
      </c>
      <c r="S603" s="16" t="s">
        <v>8064</v>
      </c>
      <c r="T603" t="s">
        <v>4865</v>
      </c>
      <c r="U603">
        <v>0</v>
      </c>
    </row>
    <row r="604" spans="1:21">
      <c r="A604">
        <v>553</v>
      </c>
      <c r="B604" t="s">
        <v>1658</v>
      </c>
      <c r="C604" t="s">
        <v>4994</v>
      </c>
      <c r="D604">
        <v>1268</v>
      </c>
      <c r="E604">
        <v>13</v>
      </c>
      <c r="F604" t="s">
        <v>4502</v>
      </c>
      <c r="G604" t="s">
        <v>4690</v>
      </c>
      <c r="J604" t="s">
        <v>8668</v>
      </c>
      <c r="L604">
        <v>1</v>
      </c>
      <c r="M604" t="s">
        <v>4502</v>
      </c>
      <c r="N604" t="s">
        <v>6456</v>
      </c>
      <c r="O604" t="s">
        <v>104</v>
      </c>
      <c r="P604">
        <v>23522</v>
      </c>
      <c r="Q604">
        <v>488566</v>
      </c>
      <c r="R604" s="16" t="s">
        <v>8364</v>
      </c>
      <c r="S604" s="16" t="s">
        <v>8069</v>
      </c>
      <c r="T604" t="s">
        <v>1658</v>
      </c>
      <c r="U604">
        <v>0</v>
      </c>
    </row>
    <row r="605" spans="1:21">
      <c r="A605">
        <v>552</v>
      </c>
      <c r="B605" t="s">
        <v>1664</v>
      </c>
      <c r="C605" t="s">
        <v>4988</v>
      </c>
      <c r="D605">
        <v>1267</v>
      </c>
      <c r="E605">
        <v>13</v>
      </c>
      <c r="F605" t="s">
        <v>4502</v>
      </c>
      <c r="G605" t="s">
        <v>4690</v>
      </c>
      <c r="J605" t="s">
        <v>8668</v>
      </c>
      <c r="L605">
        <v>1</v>
      </c>
      <c r="M605" t="s">
        <v>4502</v>
      </c>
      <c r="N605" t="s">
        <v>6456</v>
      </c>
      <c r="O605" t="s">
        <v>104</v>
      </c>
      <c r="P605">
        <v>23522</v>
      </c>
      <c r="Q605">
        <v>488566</v>
      </c>
      <c r="R605" s="16" t="s">
        <v>8364</v>
      </c>
      <c r="S605" s="16" t="s">
        <v>8069</v>
      </c>
      <c r="T605" t="s">
        <v>1664</v>
      </c>
      <c r="U605">
        <v>0</v>
      </c>
    </row>
    <row r="606" spans="1:21">
      <c r="A606">
        <v>570</v>
      </c>
      <c r="B606" t="s">
        <v>1685</v>
      </c>
      <c r="C606" t="s">
        <v>4995</v>
      </c>
      <c r="D606">
        <v>1289</v>
      </c>
      <c r="E606">
        <v>13</v>
      </c>
      <c r="F606" t="s">
        <v>1444</v>
      </c>
      <c r="G606" t="s">
        <v>4690</v>
      </c>
      <c r="J606" t="s">
        <v>8668</v>
      </c>
      <c r="L606">
        <v>0</v>
      </c>
      <c r="R606" s="16" t="s">
        <v>8064</v>
      </c>
      <c r="S606" s="16" t="s">
        <v>8064</v>
      </c>
      <c r="T606" t="s">
        <v>1685</v>
      </c>
      <c r="U606">
        <v>0</v>
      </c>
    </row>
    <row r="607" spans="1:21">
      <c r="A607">
        <v>585</v>
      </c>
      <c r="B607" t="s">
        <v>1715</v>
      </c>
      <c r="C607" t="s">
        <v>4630</v>
      </c>
      <c r="D607">
        <v>1299</v>
      </c>
      <c r="E607">
        <v>13</v>
      </c>
      <c r="F607" t="s">
        <v>1444</v>
      </c>
      <c r="G607" t="s">
        <v>4690</v>
      </c>
      <c r="J607" t="s">
        <v>8668</v>
      </c>
      <c r="L607">
        <v>0</v>
      </c>
      <c r="R607" s="16" t="s">
        <v>8064</v>
      </c>
      <c r="S607" s="16" t="s">
        <v>8064</v>
      </c>
      <c r="T607" t="s">
        <v>1715</v>
      </c>
      <c r="U607">
        <v>0</v>
      </c>
    </row>
    <row r="608" spans="1:21">
      <c r="A608">
        <v>562</v>
      </c>
      <c r="B608" t="s">
        <v>4996</v>
      </c>
      <c r="C608" t="s">
        <v>4579</v>
      </c>
      <c r="D608">
        <v>1278</v>
      </c>
      <c r="E608">
        <v>13</v>
      </c>
      <c r="F608" t="s">
        <v>1444</v>
      </c>
      <c r="G608" t="s">
        <v>4690</v>
      </c>
      <c r="J608" t="s">
        <v>8668</v>
      </c>
      <c r="L608">
        <v>0</v>
      </c>
      <c r="R608" s="16" t="s">
        <v>8064</v>
      </c>
      <c r="S608" s="16" t="s">
        <v>8064</v>
      </c>
      <c r="T608" t="s">
        <v>4996</v>
      </c>
      <c r="U608">
        <v>0</v>
      </c>
    </row>
    <row r="609" spans="1:21">
      <c r="A609">
        <v>586</v>
      </c>
      <c r="B609" t="s">
        <v>2100</v>
      </c>
      <c r="C609" t="s">
        <v>4997</v>
      </c>
      <c r="D609">
        <v>1299</v>
      </c>
      <c r="E609">
        <v>13</v>
      </c>
      <c r="F609" t="s">
        <v>1444</v>
      </c>
      <c r="G609" t="s">
        <v>4690</v>
      </c>
      <c r="J609" t="s">
        <v>8668</v>
      </c>
      <c r="L609">
        <v>0</v>
      </c>
      <c r="R609" s="16" t="s">
        <v>8064</v>
      </c>
      <c r="S609" s="16" t="s">
        <v>8064</v>
      </c>
      <c r="T609" t="s">
        <v>7952</v>
      </c>
      <c r="U609">
        <v>0</v>
      </c>
    </row>
    <row r="610" spans="1:21">
      <c r="A610">
        <v>572</v>
      </c>
      <c r="B610" t="s">
        <v>1688</v>
      </c>
      <c r="C610" t="s">
        <v>8055</v>
      </c>
      <c r="D610">
        <v>1290</v>
      </c>
      <c r="E610">
        <v>13</v>
      </c>
      <c r="F610" t="s">
        <v>1444</v>
      </c>
      <c r="G610" t="s">
        <v>4690</v>
      </c>
      <c r="J610" t="s">
        <v>8668</v>
      </c>
      <c r="L610">
        <v>0</v>
      </c>
      <c r="R610" s="16" t="s">
        <v>8064</v>
      </c>
      <c r="S610" s="16" t="s">
        <v>8064</v>
      </c>
      <c r="T610" t="s">
        <v>1688</v>
      </c>
      <c r="U610">
        <v>0</v>
      </c>
    </row>
    <row r="611" spans="1:21">
      <c r="A611">
        <v>511</v>
      </c>
      <c r="B611" t="s">
        <v>1585</v>
      </c>
      <c r="C611" t="s">
        <v>4999</v>
      </c>
      <c r="D611">
        <v>987</v>
      </c>
      <c r="E611">
        <v>10</v>
      </c>
      <c r="F611" t="s">
        <v>4372</v>
      </c>
      <c r="G611" t="s">
        <v>4690</v>
      </c>
      <c r="J611" t="s">
        <v>8668</v>
      </c>
      <c r="L611">
        <v>1</v>
      </c>
      <c r="M611" t="s">
        <v>6376</v>
      </c>
      <c r="N611" t="s">
        <v>6305</v>
      </c>
      <c r="O611" t="s">
        <v>104</v>
      </c>
      <c r="P611">
        <v>28260</v>
      </c>
      <c r="Q611">
        <v>494170</v>
      </c>
      <c r="R611" s="16" t="s">
        <v>8578</v>
      </c>
      <c r="S611" s="16" t="s">
        <v>8283</v>
      </c>
      <c r="T611" t="s">
        <v>1585</v>
      </c>
      <c r="U611">
        <v>0</v>
      </c>
    </row>
    <row r="612" spans="1:21">
      <c r="A612">
        <v>559</v>
      </c>
      <c r="B612" t="s">
        <v>1682</v>
      </c>
      <c r="C612" t="s">
        <v>756</v>
      </c>
      <c r="D612">
        <v>1272</v>
      </c>
      <c r="E612">
        <v>13</v>
      </c>
      <c r="F612" t="s">
        <v>1444</v>
      </c>
      <c r="G612" t="s">
        <v>4690</v>
      </c>
      <c r="J612" t="s">
        <v>8668</v>
      </c>
      <c r="L612">
        <v>0</v>
      </c>
      <c r="R612" s="16" t="s">
        <v>8064</v>
      </c>
      <c r="S612" s="16" t="s">
        <v>8064</v>
      </c>
      <c r="T612" t="s">
        <v>1682</v>
      </c>
      <c r="U612">
        <v>0</v>
      </c>
    </row>
    <row r="613" spans="1:21">
      <c r="A613">
        <v>565</v>
      </c>
      <c r="B613" t="s">
        <v>1699</v>
      </c>
      <c r="C613" t="s">
        <v>4609</v>
      </c>
      <c r="D613">
        <v>1284</v>
      </c>
      <c r="E613">
        <v>13</v>
      </c>
      <c r="F613" t="s">
        <v>1444</v>
      </c>
      <c r="G613" t="s">
        <v>4690</v>
      </c>
      <c r="J613" t="s">
        <v>8668</v>
      </c>
      <c r="L613">
        <v>0</v>
      </c>
      <c r="R613" s="16" t="s">
        <v>8064</v>
      </c>
      <c r="S613" s="16" t="s">
        <v>8064</v>
      </c>
      <c r="T613" t="s">
        <v>1699</v>
      </c>
      <c r="U613">
        <v>0</v>
      </c>
    </row>
    <row r="614" spans="1:21">
      <c r="A614">
        <v>524</v>
      </c>
      <c r="B614" t="s">
        <v>5005</v>
      </c>
      <c r="C614" t="s">
        <v>4414</v>
      </c>
      <c r="D614">
        <v>1066</v>
      </c>
      <c r="E614">
        <v>11</v>
      </c>
      <c r="F614" t="s">
        <v>4408</v>
      </c>
      <c r="G614" t="s">
        <v>4690</v>
      </c>
      <c r="J614" t="s">
        <v>8668</v>
      </c>
      <c r="L614">
        <v>1</v>
      </c>
      <c r="M614" t="s">
        <v>6389</v>
      </c>
      <c r="N614" t="s">
        <v>6389</v>
      </c>
      <c r="O614" t="s">
        <v>6390</v>
      </c>
      <c r="P614">
        <v>64790</v>
      </c>
      <c r="Q614">
        <v>498110</v>
      </c>
      <c r="R614" s="16" t="s">
        <v>8576</v>
      </c>
      <c r="S614" s="16" t="s">
        <v>8281</v>
      </c>
      <c r="T614" t="s">
        <v>7944</v>
      </c>
      <c r="U614">
        <v>0</v>
      </c>
    </row>
    <row r="615" spans="1:21">
      <c r="A615">
        <v>521</v>
      </c>
      <c r="B615" t="s">
        <v>1599</v>
      </c>
      <c r="C615" t="s">
        <v>4413</v>
      </c>
      <c r="D615">
        <v>1066</v>
      </c>
      <c r="E615">
        <v>11</v>
      </c>
      <c r="F615" t="s">
        <v>4408</v>
      </c>
      <c r="G615" t="s">
        <v>4690</v>
      </c>
      <c r="I615" t="s">
        <v>1453</v>
      </c>
      <c r="J615" t="s">
        <v>8668</v>
      </c>
      <c r="L615">
        <v>1</v>
      </c>
      <c r="M615" t="s">
        <v>6389</v>
      </c>
      <c r="N615" t="s">
        <v>6389</v>
      </c>
      <c r="O615" t="s">
        <v>6390</v>
      </c>
      <c r="P615">
        <v>64790</v>
      </c>
      <c r="Q615">
        <v>498110</v>
      </c>
      <c r="R615" s="16" t="s">
        <v>8576</v>
      </c>
      <c r="S615" s="16" t="s">
        <v>8281</v>
      </c>
      <c r="T615" t="s">
        <v>1599</v>
      </c>
      <c r="U615">
        <v>0</v>
      </c>
    </row>
    <row r="616" spans="1:21">
      <c r="A616">
        <v>564</v>
      </c>
      <c r="B616" t="s">
        <v>2086</v>
      </c>
      <c r="C616" t="s">
        <v>4590</v>
      </c>
      <c r="D616">
        <v>1283</v>
      </c>
      <c r="E616">
        <v>13</v>
      </c>
      <c r="F616" t="s">
        <v>4591</v>
      </c>
      <c r="G616" t="s">
        <v>4690</v>
      </c>
      <c r="J616" t="s">
        <v>8668</v>
      </c>
      <c r="L616">
        <v>1</v>
      </c>
      <c r="M616" t="s">
        <v>6989</v>
      </c>
      <c r="N616" t="s">
        <v>6990</v>
      </c>
      <c r="O616" t="s">
        <v>6991</v>
      </c>
      <c r="P616">
        <v>41437</v>
      </c>
      <c r="Q616">
        <v>503861</v>
      </c>
      <c r="R616" s="16" t="s">
        <v>8546</v>
      </c>
      <c r="S616" s="16" t="s">
        <v>8252</v>
      </c>
      <c r="T616" t="s">
        <v>7947</v>
      </c>
      <c r="U616">
        <v>0</v>
      </c>
    </row>
    <row r="617" spans="1:21">
      <c r="A617">
        <v>549</v>
      </c>
      <c r="B617" t="s">
        <v>1657</v>
      </c>
      <c r="C617" t="s">
        <v>4564</v>
      </c>
      <c r="D617">
        <v>1265</v>
      </c>
      <c r="E617">
        <v>13</v>
      </c>
      <c r="F617" t="s">
        <v>1444</v>
      </c>
      <c r="G617" t="s">
        <v>4690</v>
      </c>
      <c r="J617" t="s">
        <v>8668</v>
      </c>
      <c r="L617">
        <v>0</v>
      </c>
      <c r="R617" s="16" t="s">
        <v>8064</v>
      </c>
      <c r="S617" s="16" t="s">
        <v>8064</v>
      </c>
      <c r="T617" t="s">
        <v>1657</v>
      </c>
      <c r="U617">
        <v>0</v>
      </c>
    </row>
    <row r="618" spans="1:21">
      <c r="A618">
        <v>644</v>
      </c>
      <c r="B618" t="s">
        <v>1647</v>
      </c>
      <c r="C618" t="s">
        <v>1438</v>
      </c>
      <c r="D618">
        <v>1259</v>
      </c>
      <c r="E618">
        <v>13</v>
      </c>
      <c r="F618" t="s">
        <v>4557</v>
      </c>
      <c r="G618" t="s">
        <v>4732</v>
      </c>
      <c r="I618" t="s">
        <v>1477</v>
      </c>
      <c r="J618" t="s">
        <v>8668</v>
      </c>
      <c r="L618">
        <v>1</v>
      </c>
      <c r="M618" t="s">
        <v>4557</v>
      </c>
      <c r="N618" t="s">
        <v>6826</v>
      </c>
      <c r="O618" t="s">
        <v>104</v>
      </c>
      <c r="P618" t="s">
        <v>6827</v>
      </c>
      <c r="Q618" t="s">
        <v>6828</v>
      </c>
      <c r="R618" s="16" t="s">
        <v>8581</v>
      </c>
      <c r="S618" s="16" t="s">
        <v>8286</v>
      </c>
      <c r="T618" t="s">
        <v>1647</v>
      </c>
      <c r="U618">
        <v>0</v>
      </c>
    </row>
    <row r="619" spans="1:21">
      <c r="A619">
        <v>675</v>
      </c>
      <c r="B619" t="s">
        <v>2092</v>
      </c>
      <c r="C619" t="s">
        <v>4742</v>
      </c>
      <c r="D619">
        <v>1285</v>
      </c>
      <c r="E619">
        <v>13</v>
      </c>
      <c r="F619" t="s">
        <v>1444</v>
      </c>
      <c r="G619" t="s">
        <v>4732</v>
      </c>
      <c r="I619" t="s">
        <v>1497</v>
      </c>
      <c r="J619" t="s">
        <v>8668</v>
      </c>
      <c r="L619">
        <v>0</v>
      </c>
      <c r="R619" s="16" t="s">
        <v>8064</v>
      </c>
      <c r="S619" s="16" t="s">
        <v>8064</v>
      </c>
      <c r="T619" t="s">
        <v>7963</v>
      </c>
      <c r="U619">
        <v>0</v>
      </c>
    </row>
    <row r="620" spans="1:21">
      <c r="A620">
        <v>620</v>
      </c>
      <c r="B620" t="s">
        <v>2072</v>
      </c>
      <c r="C620" t="s">
        <v>4760</v>
      </c>
      <c r="D620">
        <v>1182</v>
      </c>
      <c r="E620">
        <v>12</v>
      </c>
      <c r="F620" t="s">
        <v>4508</v>
      </c>
      <c r="G620" t="s">
        <v>4732</v>
      </c>
      <c r="I620" t="s">
        <v>1467</v>
      </c>
      <c r="J620" t="s">
        <v>8668</v>
      </c>
      <c r="L620">
        <v>1</v>
      </c>
      <c r="M620" t="s">
        <v>4508</v>
      </c>
      <c r="N620" t="s">
        <v>6414</v>
      </c>
      <c r="O620" t="s">
        <v>104</v>
      </c>
      <c r="P620">
        <v>58500</v>
      </c>
      <c r="Q620">
        <v>453500</v>
      </c>
      <c r="R620" s="16" t="s">
        <v>8475</v>
      </c>
      <c r="S620" s="16" t="s">
        <v>8179</v>
      </c>
      <c r="T620" t="s">
        <v>7958</v>
      </c>
      <c r="U620">
        <v>0</v>
      </c>
    </row>
    <row r="621" spans="1:21">
      <c r="A621">
        <v>607</v>
      </c>
      <c r="B621" t="s">
        <v>1616</v>
      </c>
      <c r="C621" t="s">
        <v>1372</v>
      </c>
      <c r="D621">
        <v>1141</v>
      </c>
      <c r="E621">
        <v>12</v>
      </c>
      <c r="F621" t="s">
        <v>4447</v>
      </c>
      <c r="G621" t="s">
        <v>4732</v>
      </c>
      <c r="I621" t="s">
        <v>1460</v>
      </c>
      <c r="J621" t="s">
        <v>8668</v>
      </c>
      <c r="L621">
        <v>1</v>
      </c>
      <c r="M621" t="s">
        <v>4447</v>
      </c>
      <c r="N621" t="s">
        <v>6509</v>
      </c>
      <c r="O621" t="s">
        <v>104</v>
      </c>
      <c r="P621" t="s">
        <v>6766</v>
      </c>
      <c r="Q621" t="s">
        <v>6767</v>
      </c>
      <c r="R621" s="16" t="s">
        <v>8363</v>
      </c>
      <c r="S621" s="16" t="s">
        <v>8067</v>
      </c>
      <c r="T621" t="s">
        <v>1616</v>
      </c>
      <c r="U621">
        <v>0</v>
      </c>
    </row>
    <row r="622" spans="1:21">
      <c r="A622">
        <v>674</v>
      </c>
      <c r="B622" t="s">
        <v>1700</v>
      </c>
      <c r="C622" t="s">
        <v>4741</v>
      </c>
      <c r="D622">
        <v>1284</v>
      </c>
      <c r="E622">
        <v>13</v>
      </c>
      <c r="F622" t="s">
        <v>4357</v>
      </c>
      <c r="G622" t="s">
        <v>4732</v>
      </c>
      <c r="I622" t="s">
        <v>1498</v>
      </c>
      <c r="J622" t="s">
        <v>8668</v>
      </c>
      <c r="L622">
        <v>1</v>
      </c>
      <c r="M622" t="s">
        <v>6437</v>
      </c>
      <c r="N622" t="s">
        <v>6438</v>
      </c>
      <c r="O622" t="s">
        <v>104</v>
      </c>
      <c r="P622">
        <v>12610</v>
      </c>
      <c r="Q622">
        <v>458330</v>
      </c>
      <c r="R622" s="16" t="s">
        <v>8559</v>
      </c>
      <c r="S622" s="16" t="s">
        <v>8264</v>
      </c>
      <c r="T622" t="s">
        <v>1700</v>
      </c>
      <c r="U622">
        <v>0</v>
      </c>
    </row>
    <row r="623" spans="1:21">
      <c r="A623">
        <v>646</v>
      </c>
      <c r="B623" t="s">
        <v>1656</v>
      </c>
      <c r="C623" t="s">
        <v>738</v>
      </c>
      <c r="D623">
        <v>1260</v>
      </c>
      <c r="E623">
        <v>13</v>
      </c>
      <c r="F623" t="s">
        <v>4563</v>
      </c>
      <c r="G623" t="s">
        <v>4732</v>
      </c>
      <c r="I623" t="s">
        <v>1480</v>
      </c>
      <c r="J623" t="s">
        <v>8668</v>
      </c>
      <c r="L623">
        <v>1</v>
      </c>
      <c r="M623" t="s">
        <v>6360</v>
      </c>
      <c r="N623" t="s">
        <v>6359</v>
      </c>
      <c r="O623" t="s">
        <v>104</v>
      </c>
      <c r="P623">
        <v>14890</v>
      </c>
      <c r="Q623">
        <v>484460</v>
      </c>
      <c r="R623" s="16" t="s">
        <v>8579</v>
      </c>
      <c r="S623" s="16" t="s">
        <v>8284</v>
      </c>
      <c r="T623" t="s">
        <v>1656</v>
      </c>
      <c r="U623">
        <v>0</v>
      </c>
    </row>
    <row r="624" spans="1:21">
      <c r="A624">
        <v>669</v>
      </c>
      <c r="B624" t="s">
        <v>1691</v>
      </c>
      <c r="C624" t="s">
        <v>4738</v>
      </c>
      <c r="D624">
        <v>1280</v>
      </c>
      <c r="E624">
        <v>13</v>
      </c>
      <c r="F624" t="s">
        <v>1444</v>
      </c>
      <c r="G624" t="s">
        <v>4732</v>
      </c>
      <c r="I624" t="s">
        <v>1494</v>
      </c>
      <c r="J624" t="s">
        <v>8668</v>
      </c>
      <c r="L624">
        <v>0</v>
      </c>
      <c r="R624" s="16" t="s">
        <v>8064</v>
      </c>
      <c r="S624" s="16" t="s">
        <v>8064</v>
      </c>
      <c r="T624" t="s">
        <v>1691</v>
      </c>
      <c r="U624">
        <v>0</v>
      </c>
    </row>
    <row r="625" spans="1:21">
      <c r="A625">
        <v>608</v>
      </c>
      <c r="B625" t="s">
        <v>1611</v>
      </c>
      <c r="C625" t="s">
        <v>1368</v>
      </c>
      <c r="D625">
        <v>1142</v>
      </c>
      <c r="E625">
        <v>12</v>
      </c>
      <c r="F625" t="s">
        <v>4418</v>
      </c>
      <c r="G625" t="s">
        <v>4732</v>
      </c>
      <c r="I625" t="s">
        <v>1458</v>
      </c>
      <c r="J625" t="s">
        <v>8668</v>
      </c>
      <c r="L625">
        <v>1</v>
      </c>
      <c r="M625" t="s">
        <v>4418</v>
      </c>
      <c r="N625" t="s">
        <v>6773</v>
      </c>
      <c r="O625" t="s">
        <v>104</v>
      </c>
      <c r="P625" t="s">
        <v>6774</v>
      </c>
      <c r="Q625" t="s">
        <v>6775</v>
      </c>
      <c r="R625" s="16" t="s">
        <v>8558</v>
      </c>
      <c r="S625" s="16" t="s">
        <v>8263</v>
      </c>
      <c r="T625" t="s">
        <v>1611</v>
      </c>
      <c r="U625">
        <v>0</v>
      </c>
    </row>
    <row r="626" spans="1:21">
      <c r="A626">
        <v>618</v>
      </c>
      <c r="B626" t="s">
        <v>1625</v>
      </c>
      <c r="C626" t="s">
        <v>4759</v>
      </c>
      <c r="D626">
        <v>1179</v>
      </c>
      <c r="E626">
        <v>12</v>
      </c>
      <c r="F626" t="s">
        <v>4374</v>
      </c>
      <c r="G626" t="s">
        <v>4732</v>
      </c>
      <c r="I626" t="s">
        <v>1466</v>
      </c>
      <c r="J626" t="s">
        <v>8668</v>
      </c>
      <c r="L626">
        <v>1</v>
      </c>
      <c r="M626" t="s">
        <v>6377</v>
      </c>
      <c r="N626" t="s">
        <v>6378</v>
      </c>
      <c r="O626" t="s">
        <v>104</v>
      </c>
      <c r="P626">
        <v>25400</v>
      </c>
      <c r="Q626">
        <v>499370</v>
      </c>
      <c r="R626" s="16" t="s">
        <v>8577</v>
      </c>
      <c r="S626" s="16" t="s">
        <v>8282</v>
      </c>
      <c r="T626" t="s">
        <v>1625</v>
      </c>
      <c r="U626">
        <v>0</v>
      </c>
    </row>
    <row r="627" spans="1:21">
      <c r="A627">
        <v>652</v>
      </c>
      <c r="B627" t="s">
        <v>1669</v>
      </c>
      <c r="C627" t="s">
        <v>4727</v>
      </c>
      <c r="D627">
        <v>1267</v>
      </c>
      <c r="E627">
        <v>13</v>
      </c>
      <c r="F627" t="s">
        <v>1444</v>
      </c>
      <c r="G627" t="s">
        <v>4732</v>
      </c>
      <c r="I627" t="s">
        <v>1484</v>
      </c>
      <c r="J627" t="s">
        <v>8668</v>
      </c>
      <c r="L627">
        <v>0</v>
      </c>
      <c r="R627" s="16" t="s">
        <v>8064</v>
      </c>
      <c r="S627" s="16" t="s">
        <v>8064</v>
      </c>
      <c r="T627" t="s">
        <v>1669</v>
      </c>
      <c r="U627">
        <v>0</v>
      </c>
    </row>
    <row r="628" spans="1:21">
      <c r="A628">
        <v>606</v>
      </c>
      <c r="B628" t="s">
        <v>1615</v>
      </c>
      <c r="C628" t="s">
        <v>1371</v>
      </c>
      <c r="D628">
        <v>1139</v>
      </c>
      <c r="E628">
        <v>12</v>
      </c>
      <c r="F628" t="s">
        <v>1444</v>
      </c>
      <c r="G628" t="s">
        <v>4732</v>
      </c>
      <c r="I628" t="s">
        <v>1460</v>
      </c>
      <c r="J628" t="s">
        <v>8668</v>
      </c>
      <c r="L628">
        <v>0</v>
      </c>
      <c r="R628" s="16" t="s">
        <v>8064</v>
      </c>
      <c r="S628" s="16" t="s">
        <v>8064</v>
      </c>
      <c r="T628" t="s">
        <v>1615</v>
      </c>
      <c r="U628">
        <v>0</v>
      </c>
    </row>
    <row r="629" spans="1:21">
      <c r="A629">
        <v>626</v>
      </c>
      <c r="B629" t="s">
        <v>2073</v>
      </c>
      <c r="C629" t="s">
        <v>1381</v>
      </c>
      <c r="D629">
        <v>1196</v>
      </c>
      <c r="E629">
        <v>12</v>
      </c>
      <c r="F629" t="s">
        <v>4374</v>
      </c>
      <c r="G629" t="s">
        <v>4732</v>
      </c>
      <c r="I629" t="s">
        <v>1470</v>
      </c>
      <c r="J629" t="s">
        <v>8668</v>
      </c>
      <c r="L629">
        <v>1</v>
      </c>
      <c r="M629" t="s">
        <v>6377</v>
      </c>
      <c r="N629" t="s">
        <v>6378</v>
      </c>
      <c r="O629" t="s">
        <v>104</v>
      </c>
      <c r="P629">
        <v>25400</v>
      </c>
      <c r="Q629">
        <v>499370</v>
      </c>
      <c r="R629" s="16" t="s">
        <v>8577</v>
      </c>
      <c r="S629" s="16" t="s">
        <v>8282</v>
      </c>
      <c r="T629" t="s">
        <v>7959</v>
      </c>
      <c r="U629">
        <v>0</v>
      </c>
    </row>
    <row r="630" spans="1:21">
      <c r="A630">
        <v>604</v>
      </c>
      <c r="B630" t="s">
        <v>1610</v>
      </c>
      <c r="C630" t="s">
        <v>4755</v>
      </c>
      <c r="D630">
        <v>1133</v>
      </c>
      <c r="E630">
        <v>12</v>
      </c>
      <c r="F630" t="s">
        <v>1444</v>
      </c>
      <c r="G630" t="s">
        <v>4732</v>
      </c>
      <c r="I630" t="s">
        <v>1458</v>
      </c>
      <c r="J630" t="s">
        <v>8668</v>
      </c>
      <c r="L630">
        <v>0</v>
      </c>
      <c r="R630" s="16" t="s">
        <v>8064</v>
      </c>
      <c r="S630" s="16" t="s">
        <v>8064</v>
      </c>
      <c r="T630" t="s">
        <v>1610</v>
      </c>
      <c r="U630">
        <v>0</v>
      </c>
    </row>
    <row r="631" spans="1:21">
      <c r="A631">
        <v>656</v>
      </c>
      <c r="B631" t="s">
        <v>1652</v>
      </c>
      <c r="C631" t="s">
        <v>1273</v>
      </c>
      <c r="D631">
        <v>1270</v>
      </c>
      <c r="E631">
        <v>13</v>
      </c>
      <c r="F631" t="s">
        <v>4418</v>
      </c>
      <c r="G631" t="s">
        <v>4732</v>
      </c>
      <c r="I631" t="s">
        <v>1479</v>
      </c>
      <c r="J631" t="s">
        <v>8668</v>
      </c>
      <c r="L631">
        <v>1</v>
      </c>
      <c r="M631" t="s">
        <v>4418</v>
      </c>
      <c r="N631" t="s">
        <v>6773</v>
      </c>
      <c r="O631" t="s">
        <v>104</v>
      </c>
      <c r="P631" t="s">
        <v>6774</v>
      </c>
      <c r="Q631" t="s">
        <v>6775</v>
      </c>
      <c r="R631" s="16" t="s">
        <v>8558</v>
      </c>
      <c r="S631" s="16" t="s">
        <v>8263</v>
      </c>
      <c r="T631" t="s">
        <v>1652</v>
      </c>
      <c r="U631">
        <v>0</v>
      </c>
    </row>
    <row r="632" spans="1:21">
      <c r="A632">
        <v>616</v>
      </c>
      <c r="B632" t="s">
        <v>1622</v>
      </c>
      <c r="C632" t="s">
        <v>1375</v>
      </c>
      <c r="D632">
        <v>1173</v>
      </c>
      <c r="E632">
        <v>12</v>
      </c>
      <c r="F632" t="s">
        <v>4503</v>
      </c>
      <c r="G632" t="s">
        <v>4732</v>
      </c>
      <c r="I632" t="s">
        <v>1463</v>
      </c>
      <c r="J632" t="s">
        <v>8668</v>
      </c>
      <c r="L632">
        <v>1</v>
      </c>
      <c r="M632" t="s">
        <v>4503</v>
      </c>
      <c r="N632" t="s">
        <v>6571</v>
      </c>
      <c r="O632" t="s">
        <v>104</v>
      </c>
      <c r="P632" t="s">
        <v>6572</v>
      </c>
      <c r="Q632" t="s">
        <v>6573</v>
      </c>
      <c r="R632" s="16" t="s">
        <v>8585</v>
      </c>
      <c r="S632" s="16" t="s">
        <v>8291</v>
      </c>
      <c r="T632" t="s">
        <v>1622</v>
      </c>
      <c r="U632">
        <v>0</v>
      </c>
    </row>
    <row r="633" spans="1:21">
      <c r="A633">
        <v>630</v>
      </c>
      <c r="B633" t="s">
        <v>2075</v>
      </c>
      <c r="C633" t="s">
        <v>1426</v>
      </c>
      <c r="D633">
        <v>1218</v>
      </c>
      <c r="E633">
        <v>13</v>
      </c>
      <c r="F633" t="s">
        <v>4392</v>
      </c>
      <c r="G633" t="s">
        <v>4732</v>
      </c>
      <c r="I633" t="s">
        <v>1471</v>
      </c>
      <c r="J633" t="s">
        <v>8668</v>
      </c>
      <c r="L633">
        <v>1</v>
      </c>
      <c r="M633" t="s">
        <v>4502</v>
      </c>
      <c r="N633" t="s">
        <v>6456</v>
      </c>
      <c r="O633" t="s">
        <v>104</v>
      </c>
      <c r="P633">
        <v>23522</v>
      </c>
      <c r="Q633">
        <v>488566</v>
      </c>
      <c r="R633" s="16" t="s">
        <v>8364</v>
      </c>
      <c r="S633" s="16" t="s">
        <v>8069</v>
      </c>
      <c r="T633" t="s">
        <v>8027</v>
      </c>
      <c r="U633">
        <v>0</v>
      </c>
    </row>
    <row r="634" spans="1:21">
      <c r="A634">
        <v>648</v>
      </c>
      <c r="B634" t="s">
        <v>2080</v>
      </c>
      <c r="C634" t="s">
        <v>1443</v>
      </c>
      <c r="D634">
        <v>1264</v>
      </c>
      <c r="E634">
        <v>13</v>
      </c>
      <c r="F634" t="s">
        <v>4556</v>
      </c>
      <c r="G634" t="s">
        <v>4732</v>
      </c>
      <c r="I634" t="s">
        <v>1477</v>
      </c>
      <c r="J634" t="s">
        <v>8668</v>
      </c>
      <c r="L634">
        <v>1</v>
      </c>
      <c r="M634" t="s">
        <v>6471</v>
      </c>
      <c r="N634" t="s">
        <v>6359</v>
      </c>
      <c r="O634" t="s">
        <v>104</v>
      </c>
      <c r="P634">
        <v>19090</v>
      </c>
      <c r="Q634">
        <v>479020</v>
      </c>
      <c r="R634" s="16" t="s">
        <v>8369</v>
      </c>
      <c r="S634" s="16" t="s">
        <v>8074</v>
      </c>
      <c r="T634" t="s">
        <v>7956</v>
      </c>
      <c r="U634">
        <v>0</v>
      </c>
    </row>
    <row r="635" spans="1:21">
      <c r="A635">
        <v>642</v>
      </c>
      <c r="B635" t="s">
        <v>2078</v>
      </c>
      <c r="C635" t="s">
        <v>1437</v>
      </c>
      <c r="D635">
        <v>1258</v>
      </c>
      <c r="E635">
        <v>13</v>
      </c>
      <c r="F635" t="s">
        <v>4556</v>
      </c>
      <c r="G635" t="s">
        <v>4732</v>
      </c>
      <c r="I635" t="s">
        <v>1477</v>
      </c>
      <c r="J635" t="s">
        <v>8668</v>
      </c>
      <c r="L635">
        <v>1</v>
      </c>
      <c r="M635" t="s">
        <v>6471</v>
      </c>
      <c r="N635" t="s">
        <v>6359</v>
      </c>
      <c r="O635" t="s">
        <v>104</v>
      </c>
      <c r="P635">
        <v>19090</v>
      </c>
      <c r="Q635">
        <v>479020</v>
      </c>
      <c r="R635" s="16" t="s">
        <v>8369</v>
      </c>
      <c r="S635" s="16" t="s">
        <v>8074</v>
      </c>
      <c r="T635" t="s">
        <v>7956</v>
      </c>
      <c r="U635">
        <v>0</v>
      </c>
    </row>
    <row r="636" spans="1:21">
      <c r="A636">
        <v>592</v>
      </c>
      <c r="B636" t="s">
        <v>2062</v>
      </c>
      <c r="C636" t="s">
        <v>4753</v>
      </c>
      <c r="D636">
        <v>1031</v>
      </c>
      <c r="E636">
        <v>11</v>
      </c>
      <c r="F636" t="s">
        <v>4357</v>
      </c>
      <c r="G636" t="s">
        <v>4732</v>
      </c>
      <c r="I636" t="s">
        <v>1447</v>
      </c>
      <c r="J636" t="s">
        <v>8668</v>
      </c>
      <c r="L636">
        <v>1</v>
      </c>
      <c r="M636" t="s">
        <v>6437</v>
      </c>
      <c r="N636" t="s">
        <v>6438</v>
      </c>
      <c r="O636" t="s">
        <v>104</v>
      </c>
      <c r="P636">
        <v>12610</v>
      </c>
      <c r="Q636">
        <v>458330</v>
      </c>
      <c r="R636" s="16" t="s">
        <v>8559</v>
      </c>
      <c r="S636" s="16" t="s">
        <v>8264</v>
      </c>
      <c r="T636" t="s">
        <v>7957</v>
      </c>
      <c r="U636">
        <v>0</v>
      </c>
    </row>
    <row r="637" spans="1:21">
      <c r="A637">
        <v>662</v>
      </c>
      <c r="B637" t="s">
        <v>1686</v>
      </c>
      <c r="C637" t="s">
        <v>4737</v>
      </c>
      <c r="D637">
        <v>1275</v>
      </c>
      <c r="E637">
        <v>13</v>
      </c>
      <c r="F637" t="s">
        <v>4374</v>
      </c>
      <c r="G637" t="s">
        <v>4732</v>
      </c>
      <c r="I637" t="s">
        <v>1493</v>
      </c>
      <c r="J637" t="s">
        <v>8668</v>
      </c>
      <c r="L637">
        <v>1</v>
      </c>
      <c r="M637" t="s">
        <v>6377</v>
      </c>
      <c r="N637" t="s">
        <v>6378</v>
      </c>
      <c r="O637" t="s">
        <v>104</v>
      </c>
      <c r="P637">
        <v>25400</v>
      </c>
      <c r="Q637">
        <v>499370</v>
      </c>
      <c r="R637" s="16" t="s">
        <v>8577</v>
      </c>
      <c r="S637" s="16" t="s">
        <v>8282</v>
      </c>
      <c r="T637" t="s">
        <v>1686</v>
      </c>
      <c r="U637">
        <v>0</v>
      </c>
    </row>
    <row r="638" spans="1:21">
      <c r="A638">
        <v>632</v>
      </c>
      <c r="B638" t="s">
        <v>1632</v>
      </c>
      <c r="C638" t="s">
        <v>1427</v>
      </c>
      <c r="D638">
        <v>1237</v>
      </c>
      <c r="E638">
        <v>13</v>
      </c>
      <c r="F638" t="s">
        <v>4528</v>
      </c>
      <c r="G638" t="s">
        <v>4732</v>
      </c>
      <c r="I638" t="s">
        <v>1471</v>
      </c>
      <c r="J638" t="s">
        <v>8668</v>
      </c>
      <c r="L638">
        <v>1</v>
      </c>
      <c r="M638" t="s">
        <v>4528</v>
      </c>
      <c r="N638" t="s">
        <v>6707</v>
      </c>
      <c r="O638" t="s">
        <v>104</v>
      </c>
      <c r="P638" t="s">
        <v>6708</v>
      </c>
      <c r="Q638" t="s">
        <v>6709</v>
      </c>
      <c r="R638" s="16" t="s">
        <v>8583</v>
      </c>
      <c r="S638" s="16" t="s">
        <v>8289</v>
      </c>
      <c r="T638" t="s">
        <v>1632</v>
      </c>
      <c r="U638">
        <v>0</v>
      </c>
    </row>
    <row r="639" spans="1:21">
      <c r="A639">
        <v>611</v>
      </c>
      <c r="B639" t="s">
        <v>1617</v>
      </c>
      <c r="C639" t="s">
        <v>1374</v>
      </c>
      <c r="D639">
        <v>1152</v>
      </c>
      <c r="E639">
        <v>12</v>
      </c>
      <c r="F639" t="s">
        <v>1444</v>
      </c>
      <c r="G639" t="s">
        <v>4732</v>
      </c>
      <c r="I639" t="s">
        <v>1461</v>
      </c>
      <c r="J639" t="s">
        <v>8668</v>
      </c>
      <c r="L639">
        <v>0</v>
      </c>
      <c r="R639" s="16" t="s">
        <v>8064</v>
      </c>
      <c r="S639" s="16" t="s">
        <v>8064</v>
      </c>
      <c r="T639" t="s">
        <v>1617</v>
      </c>
      <c r="U639">
        <v>0</v>
      </c>
    </row>
    <row r="640" spans="1:21">
      <c r="A640">
        <v>671</v>
      </c>
      <c r="B640" t="s">
        <v>1694</v>
      </c>
      <c r="C640" t="s">
        <v>4715</v>
      </c>
      <c r="D640">
        <v>1282</v>
      </c>
      <c r="E640">
        <v>13</v>
      </c>
      <c r="F640" t="s">
        <v>1444</v>
      </c>
      <c r="G640" t="s">
        <v>4732</v>
      </c>
      <c r="I640" t="s">
        <v>1496</v>
      </c>
      <c r="J640" t="s">
        <v>8668</v>
      </c>
      <c r="L640">
        <v>0</v>
      </c>
      <c r="R640" s="16" t="s">
        <v>8064</v>
      </c>
      <c r="S640" s="16" t="s">
        <v>8064</v>
      </c>
      <c r="T640" t="s">
        <v>1694</v>
      </c>
      <c r="U640">
        <v>0</v>
      </c>
    </row>
    <row r="641" spans="1:21">
      <c r="A641">
        <v>612</v>
      </c>
      <c r="B641" t="s">
        <v>1618</v>
      </c>
      <c r="C641" t="s">
        <v>4756</v>
      </c>
      <c r="D641">
        <v>1153</v>
      </c>
      <c r="E641">
        <v>12</v>
      </c>
      <c r="F641" t="s">
        <v>1444</v>
      </c>
      <c r="G641" t="s">
        <v>4732</v>
      </c>
      <c r="I641" t="s">
        <v>1461</v>
      </c>
      <c r="J641" t="s">
        <v>8668</v>
      </c>
      <c r="L641">
        <v>0</v>
      </c>
      <c r="R641" s="16" t="s">
        <v>8064</v>
      </c>
      <c r="S641" s="16" t="s">
        <v>8064</v>
      </c>
      <c r="T641" t="s">
        <v>1618</v>
      </c>
      <c r="U641">
        <v>0</v>
      </c>
    </row>
    <row r="642" spans="1:21">
      <c r="A642">
        <v>627</v>
      </c>
      <c r="B642" t="s">
        <v>2074</v>
      </c>
      <c r="C642" t="s">
        <v>1266</v>
      </c>
      <c r="D642">
        <v>1202</v>
      </c>
      <c r="E642">
        <v>13</v>
      </c>
      <c r="F642" t="s">
        <v>4446</v>
      </c>
      <c r="G642" t="s">
        <v>4732</v>
      </c>
      <c r="I642" t="s">
        <v>1470</v>
      </c>
      <c r="J642" t="s">
        <v>8668</v>
      </c>
      <c r="L642">
        <v>1</v>
      </c>
      <c r="M642" t="s">
        <v>6368</v>
      </c>
      <c r="N642" t="s">
        <v>6369</v>
      </c>
      <c r="O642" t="s">
        <v>104</v>
      </c>
      <c r="P642">
        <v>50860</v>
      </c>
      <c r="Q642">
        <v>472440</v>
      </c>
      <c r="R642" s="16" t="s">
        <v>8386</v>
      </c>
      <c r="S642" s="16" t="s">
        <v>8090</v>
      </c>
      <c r="T642" t="s">
        <v>7961</v>
      </c>
      <c r="U642">
        <v>0</v>
      </c>
    </row>
    <row r="643" spans="1:21">
      <c r="A643">
        <v>686</v>
      </c>
      <c r="B643" t="s">
        <v>2096</v>
      </c>
      <c r="C643" t="s">
        <v>4745</v>
      </c>
      <c r="D643">
        <v>1294</v>
      </c>
      <c r="E643">
        <v>13</v>
      </c>
      <c r="F643" t="s">
        <v>1444</v>
      </c>
      <c r="G643" t="s">
        <v>4732</v>
      </c>
      <c r="I643" t="s">
        <v>1504</v>
      </c>
      <c r="J643" t="s">
        <v>8668</v>
      </c>
      <c r="L643">
        <v>0</v>
      </c>
      <c r="R643" s="16" t="s">
        <v>8064</v>
      </c>
      <c r="S643" s="16" t="s">
        <v>8064</v>
      </c>
      <c r="T643" t="s">
        <v>7964</v>
      </c>
      <c r="U643">
        <v>0</v>
      </c>
    </row>
    <row r="644" spans="1:21">
      <c r="A644">
        <v>657</v>
      </c>
      <c r="B644" t="s">
        <v>1673</v>
      </c>
      <c r="C644" t="s">
        <v>4713</v>
      </c>
      <c r="D644">
        <v>1270</v>
      </c>
      <c r="E644">
        <v>13</v>
      </c>
      <c r="F644" t="s">
        <v>1444</v>
      </c>
      <c r="G644" t="s">
        <v>4732</v>
      </c>
      <c r="I644" t="s">
        <v>1486</v>
      </c>
      <c r="J644" t="s">
        <v>8668</v>
      </c>
      <c r="L644">
        <v>0</v>
      </c>
      <c r="R644" s="16" t="s">
        <v>8064</v>
      </c>
      <c r="S644" s="16" t="s">
        <v>8064</v>
      </c>
      <c r="T644" t="s">
        <v>1673</v>
      </c>
      <c r="U644">
        <v>0</v>
      </c>
    </row>
    <row r="645" spans="1:21">
      <c r="A645">
        <v>658</v>
      </c>
      <c r="B645" t="s">
        <v>2083</v>
      </c>
      <c r="C645" t="s">
        <v>4713</v>
      </c>
      <c r="D645">
        <v>1270</v>
      </c>
      <c r="E645">
        <v>13</v>
      </c>
      <c r="F645" t="s">
        <v>1444</v>
      </c>
      <c r="G645" t="s">
        <v>4732</v>
      </c>
      <c r="I645" t="s">
        <v>1486</v>
      </c>
      <c r="J645" t="s">
        <v>8668</v>
      </c>
      <c r="L645">
        <v>0</v>
      </c>
      <c r="R645" s="16" t="s">
        <v>8064</v>
      </c>
      <c r="S645" s="16" t="s">
        <v>8064</v>
      </c>
      <c r="T645" t="s">
        <v>7965</v>
      </c>
      <c r="U645">
        <v>0</v>
      </c>
    </row>
    <row r="646" spans="1:21">
      <c r="A646">
        <v>635</v>
      </c>
      <c r="B646" t="s">
        <v>1637</v>
      </c>
      <c r="C646" t="s">
        <v>4749</v>
      </c>
      <c r="D646">
        <v>1239</v>
      </c>
      <c r="E646">
        <v>13</v>
      </c>
      <c r="F646" t="s">
        <v>1444</v>
      </c>
      <c r="G646" t="s">
        <v>4732</v>
      </c>
      <c r="I646" t="s">
        <v>1473</v>
      </c>
      <c r="J646" t="s">
        <v>8668</v>
      </c>
      <c r="L646">
        <v>0</v>
      </c>
      <c r="R646" s="16" t="s">
        <v>8064</v>
      </c>
      <c r="S646" s="16" t="s">
        <v>8064</v>
      </c>
      <c r="T646" t="s">
        <v>1637</v>
      </c>
      <c r="U646">
        <v>0</v>
      </c>
    </row>
    <row r="647" spans="1:21">
      <c r="A647">
        <v>689</v>
      </c>
      <c r="B647" t="s">
        <v>1705</v>
      </c>
      <c r="C647" t="s">
        <v>4618</v>
      </c>
      <c r="D647">
        <v>1296</v>
      </c>
      <c r="E647">
        <v>13</v>
      </c>
      <c r="F647" t="s">
        <v>1444</v>
      </c>
      <c r="G647" t="s">
        <v>4732</v>
      </c>
      <c r="I647" t="s">
        <v>1500</v>
      </c>
      <c r="J647" t="s">
        <v>8668</v>
      </c>
      <c r="L647">
        <v>0</v>
      </c>
      <c r="R647" s="16" t="s">
        <v>8064</v>
      </c>
      <c r="S647" s="16" t="s">
        <v>8064</v>
      </c>
      <c r="T647" t="s">
        <v>1705</v>
      </c>
      <c r="U647">
        <v>0</v>
      </c>
    </row>
    <row r="648" spans="1:21">
      <c r="A648">
        <v>666</v>
      </c>
      <c r="B648" t="s">
        <v>1675</v>
      </c>
      <c r="C648" t="s">
        <v>4586</v>
      </c>
      <c r="D648">
        <v>1279</v>
      </c>
      <c r="E648">
        <v>13</v>
      </c>
      <c r="F648" t="s">
        <v>1444</v>
      </c>
      <c r="G648" t="s">
        <v>4732</v>
      </c>
      <c r="I648" t="s">
        <v>1488</v>
      </c>
      <c r="J648" t="s">
        <v>8668</v>
      </c>
      <c r="L648">
        <v>0</v>
      </c>
      <c r="R648" s="16" t="s">
        <v>8064</v>
      </c>
      <c r="S648" s="16" t="s">
        <v>8064</v>
      </c>
      <c r="T648" t="s">
        <v>1675</v>
      </c>
      <c r="U648">
        <v>0</v>
      </c>
    </row>
    <row r="649" spans="1:21">
      <c r="A649">
        <v>637</v>
      </c>
      <c r="B649" t="s">
        <v>1642</v>
      </c>
      <c r="C649" t="s">
        <v>4750</v>
      </c>
      <c r="D649">
        <v>1243</v>
      </c>
      <c r="E649">
        <v>13</v>
      </c>
      <c r="F649" t="s">
        <v>4545</v>
      </c>
      <c r="G649" t="s">
        <v>4732</v>
      </c>
      <c r="I649" t="s">
        <v>1475</v>
      </c>
      <c r="J649" t="s">
        <v>8668</v>
      </c>
      <c r="L649">
        <v>1</v>
      </c>
      <c r="M649" t="s">
        <v>4545</v>
      </c>
      <c r="N649" t="s">
        <v>6416</v>
      </c>
      <c r="O649" t="s">
        <v>11</v>
      </c>
      <c r="P649">
        <v>91900</v>
      </c>
      <c r="Q649">
        <v>454640</v>
      </c>
      <c r="R649" s="16" t="s">
        <v>8432</v>
      </c>
      <c r="S649" s="16" t="s">
        <v>8136</v>
      </c>
      <c r="T649" t="s">
        <v>1642</v>
      </c>
      <c r="U649">
        <v>0</v>
      </c>
    </row>
    <row r="650" spans="1:21">
      <c r="A650">
        <v>659</v>
      </c>
      <c r="B650" t="s">
        <v>1672</v>
      </c>
      <c r="C650" t="s">
        <v>4713</v>
      </c>
      <c r="D650">
        <v>1270</v>
      </c>
      <c r="E650">
        <v>13</v>
      </c>
      <c r="F650" t="s">
        <v>1444</v>
      </c>
      <c r="G650" t="s">
        <v>4732</v>
      </c>
      <c r="I650" t="s">
        <v>1485</v>
      </c>
      <c r="J650" t="s">
        <v>8668</v>
      </c>
      <c r="L650">
        <v>0</v>
      </c>
      <c r="R650" s="16" t="s">
        <v>8064</v>
      </c>
      <c r="S650" s="16" t="s">
        <v>8064</v>
      </c>
      <c r="T650" t="s">
        <v>1672</v>
      </c>
      <c r="U650">
        <v>0</v>
      </c>
    </row>
    <row r="651" spans="1:21">
      <c r="A651">
        <v>639</v>
      </c>
      <c r="B651" t="s">
        <v>1639</v>
      </c>
      <c r="C651" t="s">
        <v>1431</v>
      </c>
      <c r="D651">
        <v>1246</v>
      </c>
      <c r="E651">
        <v>13</v>
      </c>
      <c r="F651" t="s">
        <v>4502</v>
      </c>
      <c r="G651" t="s">
        <v>4732</v>
      </c>
      <c r="I651" t="s">
        <v>1474</v>
      </c>
      <c r="J651" t="s">
        <v>8668</v>
      </c>
      <c r="L651">
        <v>1</v>
      </c>
      <c r="M651" t="s">
        <v>4502</v>
      </c>
      <c r="N651" t="s">
        <v>6456</v>
      </c>
      <c r="O651" t="s">
        <v>104</v>
      </c>
      <c r="P651">
        <v>23522</v>
      </c>
      <c r="Q651">
        <v>488566</v>
      </c>
      <c r="R651" s="16" t="s">
        <v>8364</v>
      </c>
      <c r="S651" s="16" t="s">
        <v>8069</v>
      </c>
      <c r="T651" t="s">
        <v>1639</v>
      </c>
      <c r="U651">
        <v>0</v>
      </c>
    </row>
    <row r="652" spans="1:21">
      <c r="A652">
        <v>636</v>
      </c>
      <c r="B652" t="s">
        <v>1640</v>
      </c>
      <c r="C652" t="s">
        <v>1433</v>
      </c>
      <c r="D652">
        <v>1242</v>
      </c>
      <c r="E652">
        <v>13</v>
      </c>
      <c r="F652" t="s">
        <v>4502</v>
      </c>
      <c r="G652" t="s">
        <v>4732</v>
      </c>
      <c r="I652" t="s">
        <v>1475</v>
      </c>
      <c r="J652" t="s">
        <v>8668</v>
      </c>
      <c r="L652">
        <v>1</v>
      </c>
      <c r="M652" t="s">
        <v>4502</v>
      </c>
      <c r="N652" t="s">
        <v>6456</v>
      </c>
      <c r="O652" t="s">
        <v>104</v>
      </c>
      <c r="P652">
        <v>23522</v>
      </c>
      <c r="Q652">
        <v>488566</v>
      </c>
      <c r="R652" s="16" t="s">
        <v>8364</v>
      </c>
      <c r="S652" s="16" t="s">
        <v>8069</v>
      </c>
      <c r="T652" t="s">
        <v>1640</v>
      </c>
      <c r="U652">
        <v>0</v>
      </c>
    </row>
    <row r="653" spans="1:21">
      <c r="A653">
        <v>647</v>
      </c>
      <c r="B653" t="s">
        <v>1668</v>
      </c>
      <c r="C653" t="s">
        <v>4567</v>
      </c>
      <c r="D653">
        <v>1262</v>
      </c>
      <c r="E653">
        <v>13</v>
      </c>
      <c r="F653" t="s">
        <v>1444</v>
      </c>
      <c r="G653" t="s">
        <v>4732</v>
      </c>
      <c r="I653" t="s">
        <v>1483</v>
      </c>
      <c r="J653" t="s">
        <v>8668</v>
      </c>
      <c r="L653">
        <v>0</v>
      </c>
      <c r="R653" s="16" t="s">
        <v>8064</v>
      </c>
      <c r="S653" s="16" t="s">
        <v>8064</v>
      </c>
      <c r="T653" t="s">
        <v>1668</v>
      </c>
      <c r="U653">
        <v>0</v>
      </c>
    </row>
    <row r="654" spans="1:21">
      <c r="A654">
        <v>677</v>
      </c>
      <c r="B654" t="s">
        <v>1674</v>
      </c>
      <c r="C654" t="s">
        <v>4585</v>
      </c>
      <c r="D654">
        <v>1288</v>
      </c>
      <c r="E654">
        <v>13</v>
      </c>
      <c r="F654" t="s">
        <v>1444</v>
      </c>
      <c r="G654" t="s">
        <v>4732</v>
      </c>
      <c r="I654" t="s">
        <v>1487</v>
      </c>
      <c r="J654" t="s">
        <v>8668</v>
      </c>
      <c r="L654">
        <v>0</v>
      </c>
      <c r="R654" s="16" t="s">
        <v>8064</v>
      </c>
      <c r="S654" s="16" t="s">
        <v>8064</v>
      </c>
      <c r="T654" t="s">
        <v>1674</v>
      </c>
      <c r="U654">
        <v>0</v>
      </c>
    </row>
    <row r="655" spans="1:21">
      <c r="A655">
        <v>678</v>
      </c>
      <c r="B655" t="s">
        <v>1677</v>
      </c>
      <c r="C655" t="s">
        <v>4588</v>
      </c>
      <c r="D655">
        <v>1288</v>
      </c>
      <c r="E655">
        <v>13</v>
      </c>
      <c r="F655" t="s">
        <v>1444</v>
      </c>
      <c r="G655" t="s">
        <v>4732</v>
      </c>
      <c r="I655" t="s">
        <v>1490</v>
      </c>
      <c r="J655" t="s">
        <v>8668</v>
      </c>
      <c r="L655">
        <v>0</v>
      </c>
      <c r="R655" s="16" t="s">
        <v>8064</v>
      </c>
      <c r="S655" s="16" t="s">
        <v>8064</v>
      </c>
      <c r="T655" t="s">
        <v>1677</v>
      </c>
      <c r="U655">
        <v>0</v>
      </c>
    </row>
    <row r="656" spans="1:21">
      <c r="A656">
        <v>670</v>
      </c>
      <c r="B656" t="s">
        <v>1676</v>
      </c>
      <c r="C656" t="s">
        <v>4587</v>
      </c>
      <c r="D656">
        <v>1280</v>
      </c>
      <c r="E656">
        <v>13</v>
      </c>
      <c r="F656" t="s">
        <v>1444</v>
      </c>
      <c r="G656" t="s">
        <v>4732</v>
      </c>
      <c r="I656" t="s">
        <v>1489</v>
      </c>
      <c r="J656" t="s">
        <v>8668</v>
      </c>
      <c r="L656">
        <v>0</v>
      </c>
      <c r="R656" s="16" t="s">
        <v>8064</v>
      </c>
      <c r="S656" s="16" t="s">
        <v>8064</v>
      </c>
      <c r="T656" t="s">
        <v>1676</v>
      </c>
      <c r="U656">
        <v>0</v>
      </c>
    </row>
    <row r="657" spans="1:21">
      <c r="A657">
        <v>690</v>
      </c>
      <c r="B657" t="s">
        <v>1703</v>
      </c>
      <c r="C657" t="s">
        <v>4615</v>
      </c>
      <c r="D657">
        <v>1296</v>
      </c>
      <c r="E657">
        <v>13</v>
      </c>
      <c r="F657" t="s">
        <v>1444</v>
      </c>
      <c r="G657" t="s">
        <v>4732</v>
      </c>
      <c r="I657" t="s">
        <v>1500</v>
      </c>
      <c r="J657" t="s">
        <v>8668</v>
      </c>
      <c r="L657">
        <v>0</v>
      </c>
      <c r="R657" s="16" t="s">
        <v>8064</v>
      </c>
      <c r="S657" s="16" t="s">
        <v>8064</v>
      </c>
      <c r="T657" t="s">
        <v>1703</v>
      </c>
      <c r="U657">
        <v>0</v>
      </c>
    </row>
    <row r="658" spans="1:21">
      <c r="A658">
        <v>643</v>
      </c>
      <c r="B658" t="s">
        <v>1643</v>
      </c>
      <c r="C658" t="s">
        <v>1434</v>
      </c>
      <c r="D658">
        <v>1258</v>
      </c>
      <c r="E658">
        <v>13</v>
      </c>
      <c r="F658" t="s">
        <v>1444</v>
      </c>
      <c r="G658" t="s">
        <v>4732</v>
      </c>
      <c r="I658" t="s">
        <v>1476</v>
      </c>
      <c r="J658" t="s">
        <v>8668</v>
      </c>
      <c r="L658">
        <v>0</v>
      </c>
      <c r="R658" s="16" t="s">
        <v>8064</v>
      </c>
      <c r="S658" s="16" t="s">
        <v>8064</v>
      </c>
      <c r="T658" t="s">
        <v>1643</v>
      </c>
      <c r="U658">
        <v>0</v>
      </c>
    </row>
    <row r="659" spans="1:21">
      <c r="A659">
        <v>650</v>
      </c>
      <c r="B659" t="s">
        <v>1659</v>
      </c>
      <c r="C659" t="s">
        <v>4731</v>
      </c>
      <c r="D659">
        <v>1267</v>
      </c>
      <c r="E659">
        <v>13</v>
      </c>
      <c r="F659" t="s">
        <v>4502</v>
      </c>
      <c r="G659" t="s">
        <v>4732</v>
      </c>
      <c r="I659" t="s">
        <v>1481</v>
      </c>
      <c r="J659" t="s">
        <v>8668</v>
      </c>
      <c r="L659">
        <v>1</v>
      </c>
      <c r="M659" t="s">
        <v>4502</v>
      </c>
      <c r="N659" t="s">
        <v>6456</v>
      </c>
      <c r="O659" t="s">
        <v>104</v>
      </c>
      <c r="P659">
        <v>23522</v>
      </c>
      <c r="Q659">
        <v>488566</v>
      </c>
      <c r="R659" s="16" t="s">
        <v>8364</v>
      </c>
      <c r="S659" s="16" t="s">
        <v>8069</v>
      </c>
      <c r="T659" t="s">
        <v>1659</v>
      </c>
      <c r="U659">
        <v>0</v>
      </c>
    </row>
    <row r="660" spans="1:21">
      <c r="A660">
        <v>651</v>
      </c>
      <c r="B660" t="s">
        <v>1660</v>
      </c>
      <c r="C660" t="s">
        <v>4565</v>
      </c>
      <c r="D660">
        <v>1267</v>
      </c>
      <c r="E660">
        <v>13</v>
      </c>
      <c r="F660" t="s">
        <v>4502</v>
      </c>
      <c r="G660" t="s">
        <v>4732</v>
      </c>
      <c r="I660" t="s">
        <v>1481</v>
      </c>
      <c r="J660" t="s">
        <v>8668</v>
      </c>
      <c r="L660">
        <v>1</v>
      </c>
      <c r="M660" t="s">
        <v>4502</v>
      </c>
      <c r="N660" t="s">
        <v>6456</v>
      </c>
      <c r="O660" t="s">
        <v>104</v>
      </c>
      <c r="P660">
        <v>23522</v>
      </c>
      <c r="Q660">
        <v>488566</v>
      </c>
      <c r="R660" s="16" t="s">
        <v>8364</v>
      </c>
      <c r="S660" s="16" t="s">
        <v>8069</v>
      </c>
      <c r="T660" t="s">
        <v>1660</v>
      </c>
      <c r="U660">
        <v>0</v>
      </c>
    </row>
    <row r="661" spans="1:21">
      <c r="A661">
        <v>668</v>
      </c>
      <c r="B661" t="s">
        <v>2088</v>
      </c>
      <c r="C661" t="s">
        <v>4738</v>
      </c>
      <c r="D661">
        <v>1280</v>
      </c>
      <c r="E661">
        <v>13</v>
      </c>
      <c r="F661" t="s">
        <v>4502</v>
      </c>
      <c r="G661" t="s">
        <v>4732</v>
      </c>
      <c r="I661" t="s">
        <v>1495</v>
      </c>
      <c r="J661" t="s">
        <v>8668</v>
      </c>
      <c r="L661">
        <v>1</v>
      </c>
      <c r="M661" t="s">
        <v>4502</v>
      </c>
      <c r="N661" t="s">
        <v>6456</v>
      </c>
      <c r="O661" t="s">
        <v>104</v>
      </c>
      <c r="P661">
        <v>23522</v>
      </c>
      <c r="Q661">
        <v>488566</v>
      </c>
      <c r="R661" s="16" t="s">
        <v>8364</v>
      </c>
      <c r="S661" s="16" t="s">
        <v>8069</v>
      </c>
      <c r="T661" t="s">
        <v>7954</v>
      </c>
      <c r="U661">
        <v>0</v>
      </c>
    </row>
    <row r="662" spans="1:21">
      <c r="A662">
        <v>661</v>
      </c>
      <c r="B662" t="s">
        <v>2085</v>
      </c>
      <c r="C662" t="s">
        <v>4582</v>
      </c>
      <c r="D662">
        <v>1272</v>
      </c>
      <c r="E662">
        <v>13</v>
      </c>
      <c r="F662" t="s">
        <v>1444</v>
      </c>
      <c r="G662" t="s">
        <v>4732</v>
      </c>
      <c r="I662" t="s">
        <v>1487</v>
      </c>
      <c r="J662" t="s">
        <v>8668</v>
      </c>
      <c r="L662">
        <v>0</v>
      </c>
      <c r="R662" s="16" t="s">
        <v>8064</v>
      </c>
      <c r="S662" s="16" t="s">
        <v>8064</v>
      </c>
      <c r="T662" t="s">
        <v>7967</v>
      </c>
      <c r="U662">
        <v>0</v>
      </c>
    </row>
    <row r="663" spans="1:21">
      <c r="A663">
        <v>667</v>
      </c>
      <c r="B663" t="s">
        <v>1678</v>
      </c>
      <c r="C663" t="s">
        <v>4734</v>
      </c>
      <c r="D663">
        <v>1279</v>
      </c>
      <c r="E663">
        <v>13</v>
      </c>
      <c r="F663" t="s">
        <v>1444</v>
      </c>
      <c r="G663" t="s">
        <v>4732</v>
      </c>
      <c r="I663" t="s">
        <v>1488</v>
      </c>
      <c r="J663" t="s">
        <v>8668</v>
      </c>
      <c r="L663">
        <v>0</v>
      </c>
      <c r="R663" s="16" t="s">
        <v>8064</v>
      </c>
      <c r="S663" s="16" t="s">
        <v>8064</v>
      </c>
      <c r="T663" t="s">
        <v>1678</v>
      </c>
      <c r="U663">
        <v>0</v>
      </c>
    </row>
    <row r="664" spans="1:21">
      <c r="A664">
        <v>679</v>
      </c>
      <c r="B664" t="s">
        <v>1680</v>
      </c>
      <c r="C664" t="s">
        <v>4736</v>
      </c>
      <c r="D664">
        <v>1288</v>
      </c>
      <c r="E664">
        <v>13</v>
      </c>
      <c r="F664" t="s">
        <v>1444</v>
      </c>
      <c r="G664" t="s">
        <v>4732</v>
      </c>
      <c r="I664" t="s">
        <v>1489</v>
      </c>
      <c r="J664" t="s">
        <v>8668</v>
      </c>
      <c r="L664">
        <v>0</v>
      </c>
      <c r="R664" s="16" t="s">
        <v>8064</v>
      </c>
      <c r="S664" s="16" t="s">
        <v>8064</v>
      </c>
      <c r="T664" t="s">
        <v>1680</v>
      </c>
      <c r="U664">
        <v>0</v>
      </c>
    </row>
    <row r="665" spans="1:21">
      <c r="A665">
        <v>629</v>
      </c>
      <c r="B665" t="s">
        <v>1683</v>
      </c>
      <c r="C665" t="s">
        <v>1359</v>
      </c>
      <c r="D665">
        <v>1216</v>
      </c>
      <c r="E665">
        <v>13</v>
      </c>
      <c r="F665" t="s">
        <v>1444</v>
      </c>
      <c r="G665" t="s">
        <v>4732</v>
      </c>
      <c r="I665" t="s">
        <v>1491</v>
      </c>
      <c r="J665" t="s">
        <v>8668</v>
      </c>
      <c r="L665">
        <v>0</v>
      </c>
      <c r="R665" s="16" t="s">
        <v>8064</v>
      </c>
      <c r="S665" s="16" t="s">
        <v>8064</v>
      </c>
      <c r="T665" t="s">
        <v>1683</v>
      </c>
      <c r="U665">
        <v>0</v>
      </c>
    </row>
    <row r="666" spans="1:21">
      <c r="A666">
        <v>691</v>
      </c>
      <c r="B666" t="s">
        <v>2093</v>
      </c>
      <c r="C666" t="s">
        <v>4618</v>
      </c>
      <c r="D666">
        <v>1296</v>
      </c>
      <c r="E666">
        <v>13</v>
      </c>
      <c r="F666" t="s">
        <v>1444</v>
      </c>
      <c r="G666" t="s">
        <v>4732</v>
      </c>
      <c r="I666" t="s">
        <v>1501</v>
      </c>
      <c r="J666" t="s">
        <v>8668</v>
      </c>
      <c r="L666">
        <v>0</v>
      </c>
      <c r="R666" s="16" t="s">
        <v>8064</v>
      </c>
      <c r="S666" s="16" t="s">
        <v>8064</v>
      </c>
      <c r="T666" t="s">
        <v>7951</v>
      </c>
      <c r="U666">
        <v>0</v>
      </c>
    </row>
    <row r="667" spans="1:21">
      <c r="A667">
        <v>687</v>
      </c>
      <c r="B667" t="s">
        <v>1695</v>
      </c>
      <c r="C667" t="s">
        <v>4605</v>
      </c>
      <c r="D667">
        <v>1294</v>
      </c>
      <c r="E667">
        <v>13</v>
      </c>
      <c r="F667" t="s">
        <v>1444</v>
      </c>
      <c r="G667" t="s">
        <v>4732</v>
      </c>
      <c r="I667" t="s">
        <v>1497</v>
      </c>
      <c r="J667" t="s">
        <v>8668</v>
      </c>
      <c r="L667">
        <v>0</v>
      </c>
      <c r="R667" s="16" t="s">
        <v>8064</v>
      </c>
      <c r="S667" s="16" t="s">
        <v>8064</v>
      </c>
      <c r="T667" t="s">
        <v>1695</v>
      </c>
      <c r="U667">
        <v>0</v>
      </c>
    </row>
    <row r="668" spans="1:21">
      <c r="A668">
        <v>694</v>
      </c>
      <c r="B668" t="s">
        <v>1710</v>
      </c>
      <c r="C668" t="s">
        <v>4625</v>
      </c>
      <c r="D668">
        <v>1298</v>
      </c>
      <c r="E668">
        <v>13</v>
      </c>
      <c r="F668" t="s">
        <v>1444</v>
      </c>
      <c r="G668" t="s">
        <v>4732</v>
      </c>
      <c r="I668" t="s">
        <v>1501</v>
      </c>
      <c r="J668" t="s">
        <v>8668</v>
      </c>
      <c r="L668">
        <v>0</v>
      </c>
      <c r="R668" s="16" t="s">
        <v>8064</v>
      </c>
      <c r="S668" s="16" t="s">
        <v>8064</v>
      </c>
      <c r="T668" t="s">
        <v>1710</v>
      </c>
      <c r="U668">
        <v>0</v>
      </c>
    </row>
    <row r="669" spans="1:21">
      <c r="A669">
        <v>672</v>
      </c>
      <c r="B669" t="s">
        <v>2087</v>
      </c>
      <c r="C669" t="s">
        <v>4590</v>
      </c>
      <c r="D669">
        <v>1283</v>
      </c>
      <c r="E669">
        <v>13</v>
      </c>
      <c r="F669" t="s">
        <v>1444</v>
      </c>
      <c r="G669" t="s">
        <v>4732</v>
      </c>
      <c r="I669" t="s">
        <v>1492</v>
      </c>
      <c r="J669" t="s">
        <v>8668</v>
      </c>
      <c r="L669">
        <v>0</v>
      </c>
      <c r="R669" s="16" t="s">
        <v>8064</v>
      </c>
      <c r="S669" s="16" t="s">
        <v>8064</v>
      </c>
      <c r="T669" t="s">
        <v>7968</v>
      </c>
      <c r="U669">
        <v>0</v>
      </c>
    </row>
    <row r="670" spans="1:21">
      <c r="A670">
        <v>684</v>
      </c>
      <c r="B670" t="s">
        <v>1693</v>
      </c>
      <c r="C670" t="s">
        <v>4740</v>
      </c>
      <c r="D670">
        <v>1293</v>
      </c>
      <c r="E670">
        <v>13</v>
      </c>
      <c r="F670" t="s">
        <v>1444</v>
      </c>
      <c r="G670" t="s">
        <v>4732</v>
      </c>
      <c r="I670" t="s">
        <v>1496</v>
      </c>
      <c r="J670" t="s">
        <v>8668</v>
      </c>
      <c r="L670">
        <v>0</v>
      </c>
      <c r="R670" s="16" t="s">
        <v>8064</v>
      </c>
      <c r="S670" s="16" t="s">
        <v>8064</v>
      </c>
      <c r="T670" t="s">
        <v>1693</v>
      </c>
      <c r="U670">
        <v>0</v>
      </c>
    </row>
    <row r="671" spans="1:21">
      <c r="A671">
        <v>681</v>
      </c>
      <c r="B671" t="s">
        <v>1684</v>
      </c>
      <c r="C671" t="s">
        <v>4593</v>
      </c>
      <c r="D671">
        <v>1289</v>
      </c>
      <c r="E671">
        <v>13</v>
      </c>
      <c r="F671" t="s">
        <v>4502</v>
      </c>
      <c r="G671" t="s">
        <v>4732</v>
      </c>
      <c r="I671" t="s">
        <v>1492</v>
      </c>
      <c r="J671" t="s">
        <v>8668</v>
      </c>
      <c r="L671">
        <v>1</v>
      </c>
      <c r="M671" t="s">
        <v>4502</v>
      </c>
      <c r="N671" t="s">
        <v>6456</v>
      </c>
      <c r="O671" t="s">
        <v>104</v>
      </c>
      <c r="P671">
        <v>23522</v>
      </c>
      <c r="Q671">
        <v>488566</v>
      </c>
      <c r="R671" s="16" t="s">
        <v>8364</v>
      </c>
      <c r="S671" s="16" t="s">
        <v>8069</v>
      </c>
      <c r="T671" t="s">
        <v>1684</v>
      </c>
      <c r="U671">
        <v>0</v>
      </c>
    </row>
    <row r="672" spans="1:21">
      <c r="A672">
        <v>696</v>
      </c>
      <c r="B672" t="s">
        <v>1716</v>
      </c>
      <c r="C672" t="s">
        <v>4630</v>
      </c>
      <c r="D672">
        <v>1299</v>
      </c>
      <c r="E672">
        <v>13</v>
      </c>
      <c r="F672" t="s">
        <v>1444</v>
      </c>
      <c r="G672" t="s">
        <v>4732</v>
      </c>
      <c r="I672" t="s">
        <v>1504</v>
      </c>
      <c r="J672" t="s">
        <v>8668</v>
      </c>
      <c r="L672">
        <v>0</v>
      </c>
      <c r="R672" s="16" t="s">
        <v>8064</v>
      </c>
      <c r="S672" s="16" t="s">
        <v>8064</v>
      </c>
      <c r="T672" t="s">
        <v>1716</v>
      </c>
      <c r="U672">
        <v>0</v>
      </c>
    </row>
    <row r="673" spans="1:21">
      <c r="A673">
        <v>653</v>
      </c>
      <c r="B673" t="s">
        <v>1667</v>
      </c>
      <c r="C673" t="s">
        <v>4733</v>
      </c>
      <c r="D673">
        <v>1267</v>
      </c>
      <c r="E673">
        <v>13</v>
      </c>
      <c r="F673" t="s">
        <v>1444</v>
      </c>
      <c r="G673" t="s">
        <v>4732</v>
      </c>
      <c r="I673" t="s">
        <v>1483</v>
      </c>
      <c r="J673" t="s">
        <v>8668</v>
      </c>
      <c r="L673">
        <v>0</v>
      </c>
      <c r="R673" s="16" t="s">
        <v>8064</v>
      </c>
      <c r="S673" s="16" t="s">
        <v>8064</v>
      </c>
      <c r="T673" t="s">
        <v>1667</v>
      </c>
      <c r="U673">
        <v>0</v>
      </c>
    </row>
    <row r="674" spans="1:21">
      <c r="A674">
        <v>624</v>
      </c>
      <c r="B674" t="s">
        <v>1630</v>
      </c>
      <c r="C674" t="s">
        <v>4762</v>
      </c>
      <c r="D674">
        <v>1188</v>
      </c>
      <c r="E674">
        <v>12</v>
      </c>
      <c r="F674" t="s">
        <v>4515</v>
      </c>
      <c r="G674" t="s">
        <v>4732</v>
      </c>
      <c r="I674" t="s">
        <v>1469</v>
      </c>
      <c r="J674" t="s">
        <v>8668</v>
      </c>
      <c r="L674">
        <v>1</v>
      </c>
      <c r="M674" t="s">
        <v>4515</v>
      </c>
      <c r="N674" t="s">
        <v>6404</v>
      </c>
      <c r="O674" t="s">
        <v>11</v>
      </c>
      <c r="P674" t="s">
        <v>6641</v>
      </c>
      <c r="Q674" t="s">
        <v>6642</v>
      </c>
      <c r="R674" s="16" t="s">
        <v>8584</v>
      </c>
      <c r="S674" s="16" t="s">
        <v>8290</v>
      </c>
      <c r="T674" t="s">
        <v>1630</v>
      </c>
      <c r="U674">
        <v>0</v>
      </c>
    </row>
    <row r="675" spans="1:21">
      <c r="A675">
        <v>680</v>
      </c>
      <c r="B675" t="s">
        <v>1681</v>
      </c>
      <c r="C675" t="s">
        <v>4736</v>
      </c>
      <c r="D675">
        <v>1288</v>
      </c>
      <c r="E675">
        <v>13</v>
      </c>
      <c r="F675" t="s">
        <v>1444</v>
      </c>
      <c r="G675" t="s">
        <v>4732</v>
      </c>
      <c r="I675" t="s">
        <v>1491</v>
      </c>
      <c r="J675" t="s">
        <v>8668</v>
      </c>
      <c r="L675">
        <v>0</v>
      </c>
      <c r="R675" s="16" t="s">
        <v>8064</v>
      </c>
      <c r="S675" s="16" t="s">
        <v>8064</v>
      </c>
      <c r="T675" t="s">
        <v>1681</v>
      </c>
      <c r="U675">
        <v>0</v>
      </c>
    </row>
    <row r="676" spans="1:21">
      <c r="A676">
        <v>693</v>
      </c>
      <c r="B676" t="s">
        <v>2099</v>
      </c>
      <c r="C676" t="s">
        <v>1044</v>
      </c>
      <c r="D676">
        <v>1298</v>
      </c>
      <c r="E676">
        <v>13</v>
      </c>
      <c r="F676" t="s">
        <v>4641</v>
      </c>
      <c r="G676" t="s">
        <v>4732</v>
      </c>
      <c r="I676" t="s">
        <v>1507</v>
      </c>
      <c r="J676" t="s">
        <v>8668</v>
      </c>
      <c r="L676">
        <v>1</v>
      </c>
      <c r="M676" t="s">
        <v>4641</v>
      </c>
      <c r="N676" t="s">
        <v>6322</v>
      </c>
      <c r="O676" t="s">
        <v>104</v>
      </c>
      <c r="P676" t="s">
        <v>6323</v>
      </c>
      <c r="Q676">
        <v>495420</v>
      </c>
      <c r="R676" s="16" t="s">
        <v>8590</v>
      </c>
      <c r="S676" s="16" t="s">
        <v>8295</v>
      </c>
      <c r="T676" t="s">
        <v>7962</v>
      </c>
      <c r="U676">
        <v>0</v>
      </c>
    </row>
    <row r="677" spans="1:21">
      <c r="A677">
        <v>697</v>
      </c>
      <c r="B677" t="s">
        <v>1718</v>
      </c>
      <c r="C677" t="s">
        <v>4746</v>
      </c>
      <c r="D677">
        <v>1300</v>
      </c>
      <c r="E677">
        <v>13</v>
      </c>
      <c r="F677" t="s">
        <v>1444</v>
      </c>
      <c r="G677" t="s">
        <v>4732</v>
      </c>
      <c r="I677" t="s">
        <v>1505</v>
      </c>
      <c r="J677" t="s">
        <v>8668</v>
      </c>
      <c r="L677">
        <v>0</v>
      </c>
      <c r="R677" s="16" t="s">
        <v>8064</v>
      </c>
      <c r="S677" s="16" t="s">
        <v>8064</v>
      </c>
      <c r="T677" t="s">
        <v>1718</v>
      </c>
      <c r="U677">
        <v>0</v>
      </c>
    </row>
    <row r="678" spans="1:21">
      <c r="A678">
        <v>621</v>
      </c>
      <c r="B678" t="s">
        <v>1627</v>
      </c>
      <c r="C678" t="s">
        <v>4760</v>
      </c>
      <c r="D678">
        <v>1182</v>
      </c>
      <c r="E678">
        <v>12</v>
      </c>
      <c r="F678" t="s">
        <v>4509</v>
      </c>
      <c r="G678" t="s">
        <v>4732</v>
      </c>
      <c r="I678" t="s">
        <v>1467</v>
      </c>
      <c r="J678" t="s">
        <v>8668</v>
      </c>
      <c r="L678">
        <v>1</v>
      </c>
      <c r="M678" t="s">
        <v>4509</v>
      </c>
      <c r="N678" t="s">
        <v>6565</v>
      </c>
      <c r="O678" t="s">
        <v>104</v>
      </c>
      <c r="P678" t="s">
        <v>6566</v>
      </c>
      <c r="Q678" t="s">
        <v>6567</v>
      </c>
      <c r="R678" s="16" t="s">
        <v>8586</v>
      </c>
      <c r="S678" s="16" t="s">
        <v>8292</v>
      </c>
      <c r="T678" t="s">
        <v>1627</v>
      </c>
      <c r="U678">
        <v>0</v>
      </c>
    </row>
    <row r="679" spans="1:21">
      <c r="A679">
        <v>673</v>
      </c>
      <c r="B679" t="s">
        <v>1697</v>
      </c>
      <c r="C679" t="s">
        <v>4730</v>
      </c>
      <c r="D679">
        <v>1283</v>
      </c>
      <c r="E679">
        <v>13</v>
      </c>
      <c r="F679" t="s">
        <v>1444</v>
      </c>
      <c r="G679" t="s">
        <v>4732</v>
      </c>
      <c r="I679" t="s">
        <v>1498</v>
      </c>
      <c r="J679" t="s">
        <v>8668</v>
      </c>
      <c r="L679">
        <v>0</v>
      </c>
      <c r="R679" s="16" t="s">
        <v>8064</v>
      </c>
      <c r="S679" s="16" t="s">
        <v>8064</v>
      </c>
      <c r="T679" t="s">
        <v>1697</v>
      </c>
      <c r="U679">
        <v>0</v>
      </c>
    </row>
    <row r="680" spans="1:21">
      <c r="A680">
        <v>619</v>
      </c>
      <c r="B680" t="s">
        <v>1623</v>
      </c>
      <c r="C680" t="s">
        <v>1376</v>
      </c>
      <c r="D680">
        <v>1180</v>
      </c>
      <c r="E680">
        <v>12</v>
      </c>
      <c r="F680" t="s">
        <v>4374</v>
      </c>
      <c r="G680" t="s">
        <v>4732</v>
      </c>
      <c r="I680" t="s">
        <v>1465</v>
      </c>
      <c r="J680" t="s">
        <v>8668</v>
      </c>
      <c r="L680">
        <v>1</v>
      </c>
      <c r="M680" t="s">
        <v>6377</v>
      </c>
      <c r="N680" t="s">
        <v>6378</v>
      </c>
      <c r="O680" t="s">
        <v>104</v>
      </c>
      <c r="P680">
        <v>25400</v>
      </c>
      <c r="Q680">
        <v>499370</v>
      </c>
      <c r="R680" s="16" t="s">
        <v>8577</v>
      </c>
      <c r="S680" s="16" t="s">
        <v>8282</v>
      </c>
      <c r="T680" t="s">
        <v>1623</v>
      </c>
      <c r="U680">
        <v>0</v>
      </c>
    </row>
    <row r="681" spans="1:21">
      <c r="A681">
        <v>625</v>
      </c>
      <c r="B681" t="s">
        <v>1629</v>
      </c>
      <c r="C681" t="s">
        <v>1380</v>
      </c>
      <c r="D681">
        <v>1195</v>
      </c>
      <c r="E681">
        <v>12</v>
      </c>
      <c r="F681" t="s">
        <v>1444</v>
      </c>
      <c r="G681" t="s">
        <v>4732</v>
      </c>
      <c r="I681" t="s">
        <v>1468</v>
      </c>
      <c r="J681" t="s">
        <v>8668</v>
      </c>
      <c r="L681">
        <v>0</v>
      </c>
      <c r="R681" s="16" t="s">
        <v>8064</v>
      </c>
      <c r="S681" s="16" t="s">
        <v>8064</v>
      </c>
      <c r="T681" t="s">
        <v>1629</v>
      </c>
      <c r="U681">
        <v>0</v>
      </c>
    </row>
    <row r="682" spans="1:21">
      <c r="A682">
        <v>655</v>
      </c>
      <c r="B682" t="s">
        <v>1665</v>
      </c>
      <c r="C682" t="s">
        <v>4566</v>
      </c>
      <c r="D682">
        <v>1268</v>
      </c>
      <c r="E682">
        <v>13</v>
      </c>
      <c r="F682" t="s">
        <v>1444</v>
      </c>
      <c r="G682" t="s">
        <v>4732</v>
      </c>
      <c r="I682" t="s">
        <v>1482</v>
      </c>
      <c r="J682" t="s">
        <v>8668</v>
      </c>
      <c r="L682">
        <v>0</v>
      </c>
      <c r="R682" s="16" t="s">
        <v>8064</v>
      </c>
      <c r="S682" s="16" t="s">
        <v>8064</v>
      </c>
      <c r="T682" t="s">
        <v>1665</v>
      </c>
      <c r="U682">
        <v>0</v>
      </c>
    </row>
    <row r="683" spans="1:21">
      <c r="A683">
        <v>664</v>
      </c>
      <c r="B683" t="s">
        <v>1690</v>
      </c>
      <c r="C683" t="s">
        <v>1026</v>
      </c>
      <c r="D683">
        <v>1278</v>
      </c>
      <c r="E683">
        <v>13</v>
      </c>
      <c r="F683" t="s">
        <v>4599</v>
      </c>
      <c r="G683" t="s">
        <v>4732</v>
      </c>
      <c r="I683" t="s">
        <v>1494</v>
      </c>
      <c r="J683" t="s">
        <v>8668</v>
      </c>
      <c r="L683">
        <v>1</v>
      </c>
      <c r="M683" t="s">
        <v>4599</v>
      </c>
      <c r="N683" t="s">
        <v>6779</v>
      </c>
      <c r="O683" t="s">
        <v>104</v>
      </c>
      <c r="P683" t="s">
        <v>6659</v>
      </c>
      <c r="Q683" t="s">
        <v>6780</v>
      </c>
      <c r="R683" s="16" t="s">
        <v>8566</v>
      </c>
      <c r="S683" s="16" t="s">
        <v>8287</v>
      </c>
      <c r="T683" t="s">
        <v>1690</v>
      </c>
      <c r="U683">
        <v>0</v>
      </c>
    </row>
    <row r="684" spans="1:21">
      <c r="A684">
        <v>676</v>
      </c>
      <c r="B684" t="s">
        <v>4739</v>
      </c>
      <c r="C684" t="s">
        <v>778</v>
      </c>
      <c r="D684">
        <v>1286</v>
      </c>
      <c r="E684">
        <v>13</v>
      </c>
      <c r="F684" t="s">
        <v>1444</v>
      </c>
      <c r="G684" t="s">
        <v>4732</v>
      </c>
      <c r="I684" t="s">
        <v>1499</v>
      </c>
      <c r="J684" t="s">
        <v>8668</v>
      </c>
      <c r="L684">
        <v>0</v>
      </c>
      <c r="R684" s="16" t="s">
        <v>8064</v>
      </c>
      <c r="S684" s="16" t="s">
        <v>8064</v>
      </c>
      <c r="T684" t="s">
        <v>7969</v>
      </c>
      <c r="U684">
        <v>0</v>
      </c>
    </row>
    <row r="685" spans="1:21">
      <c r="A685">
        <v>615</v>
      </c>
      <c r="B685" t="s">
        <v>2070</v>
      </c>
      <c r="C685" t="s">
        <v>628</v>
      </c>
      <c r="D685">
        <v>1171</v>
      </c>
      <c r="E685">
        <v>12</v>
      </c>
      <c r="F685" t="s">
        <v>4502</v>
      </c>
      <c r="G685" t="s">
        <v>4732</v>
      </c>
      <c r="I685" t="s">
        <v>1464</v>
      </c>
      <c r="J685" t="s">
        <v>8668</v>
      </c>
      <c r="L685">
        <v>1</v>
      </c>
      <c r="M685" t="s">
        <v>4502</v>
      </c>
      <c r="N685" t="s">
        <v>6456</v>
      </c>
      <c r="O685" t="s">
        <v>104</v>
      </c>
      <c r="P685">
        <v>23522</v>
      </c>
      <c r="Q685">
        <v>488566</v>
      </c>
      <c r="R685" s="16" t="s">
        <v>8364</v>
      </c>
      <c r="S685" s="16" t="s">
        <v>8069</v>
      </c>
      <c r="T685" t="s">
        <v>7955</v>
      </c>
      <c r="U685">
        <v>0</v>
      </c>
    </row>
    <row r="686" spans="1:21">
      <c r="A686">
        <v>663</v>
      </c>
      <c r="B686" t="s">
        <v>1689</v>
      </c>
      <c r="C686" t="s">
        <v>1020</v>
      </c>
      <c r="D686">
        <v>1276</v>
      </c>
      <c r="E686">
        <v>13</v>
      </c>
      <c r="F686" t="s">
        <v>1444</v>
      </c>
      <c r="G686" t="s">
        <v>4732</v>
      </c>
      <c r="I686" t="s">
        <v>1493</v>
      </c>
      <c r="J686" t="s">
        <v>8668</v>
      </c>
      <c r="L686">
        <v>0</v>
      </c>
      <c r="R686" s="16" t="s">
        <v>8064</v>
      </c>
      <c r="S686" s="16" t="s">
        <v>8064</v>
      </c>
      <c r="T686" t="s">
        <v>1689</v>
      </c>
      <c r="U686">
        <v>0</v>
      </c>
    </row>
    <row r="687" spans="1:21">
      <c r="A687">
        <v>692</v>
      </c>
      <c r="B687" t="s">
        <v>1720</v>
      </c>
      <c r="C687" t="s">
        <v>1360</v>
      </c>
      <c r="D687">
        <v>1296</v>
      </c>
      <c r="E687">
        <v>13</v>
      </c>
      <c r="F687" t="s">
        <v>1444</v>
      </c>
      <c r="G687" t="s">
        <v>4732</v>
      </c>
      <c r="I687" t="s">
        <v>1506</v>
      </c>
      <c r="J687" t="s">
        <v>8668</v>
      </c>
      <c r="L687">
        <v>0</v>
      </c>
      <c r="R687" s="16" t="s">
        <v>8064</v>
      </c>
      <c r="S687" s="16" t="s">
        <v>8064</v>
      </c>
      <c r="T687" t="s">
        <v>1720</v>
      </c>
      <c r="U687">
        <v>0</v>
      </c>
    </row>
    <row r="688" spans="1:21">
      <c r="A688">
        <v>634</v>
      </c>
      <c r="B688" t="s">
        <v>1636</v>
      </c>
      <c r="C688" t="s">
        <v>1429</v>
      </c>
      <c r="D688">
        <v>1238</v>
      </c>
      <c r="E688">
        <v>13</v>
      </c>
      <c r="F688" t="s">
        <v>1444</v>
      </c>
      <c r="G688" t="s">
        <v>4732</v>
      </c>
      <c r="I688" t="s">
        <v>1473</v>
      </c>
      <c r="J688" t="s">
        <v>8668</v>
      </c>
      <c r="L688">
        <v>0</v>
      </c>
      <c r="R688" s="16" t="s">
        <v>8064</v>
      </c>
      <c r="S688" s="16" t="s">
        <v>8064</v>
      </c>
      <c r="T688" t="s">
        <v>1636</v>
      </c>
      <c r="U688">
        <v>0</v>
      </c>
    </row>
    <row r="689" spans="1:21">
      <c r="A689">
        <v>599</v>
      </c>
      <c r="B689" t="s">
        <v>1595</v>
      </c>
      <c r="C689" t="s">
        <v>4413</v>
      </c>
      <c r="D689">
        <v>1066</v>
      </c>
      <c r="E689">
        <v>11</v>
      </c>
      <c r="F689" t="s">
        <v>4408</v>
      </c>
      <c r="G689" t="s">
        <v>4732</v>
      </c>
      <c r="I689" t="s">
        <v>1451</v>
      </c>
      <c r="J689" t="s">
        <v>8668</v>
      </c>
      <c r="L689">
        <v>1</v>
      </c>
      <c r="M689" t="s">
        <v>6389</v>
      </c>
      <c r="N689" t="s">
        <v>6389</v>
      </c>
      <c r="O689" t="s">
        <v>6390</v>
      </c>
      <c r="P689">
        <v>64790</v>
      </c>
      <c r="Q689">
        <v>498110</v>
      </c>
      <c r="R689" s="16" t="s">
        <v>8576</v>
      </c>
      <c r="S689" s="16" t="s">
        <v>8281</v>
      </c>
      <c r="T689" t="s">
        <v>1595</v>
      </c>
      <c r="U689">
        <v>0</v>
      </c>
    </row>
    <row r="690" spans="1:21">
      <c r="A690">
        <v>598</v>
      </c>
      <c r="B690" t="s">
        <v>1596</v>
      </c>
      <c r="C690" t="s">
        <v>4413</v>
      </c>
      <c r="D690">
        <v>1066</v>
      </c>
      <c r="E690">
        <v>11</v>
      </c>
      <c r="F690" t="s">
        <v>4408</v>
      </c>
      <c r="G690" t="s">
        <v>4732</v>
      </c>
      <c r="I690" t="s">
        <v>1450</v>
      </c>
      <c r="J690" t="s">
        <v>8668</v>
      </c>
      <c r="L690">
        <v>1</v>
      </c>
      <c r="M690" t="s">
        <v>6389</v>
      </c>
      <c r="N690" t="s">
        <v>6389</v>
      </c>
      <c r="O690" t="s">
        <v>6390</v>
      </c>
      <c r="P690">
        <v>64790</v>
      </c>
      <c r="Q690">
        <v>498110</v>
      </c>
      <c r="R690" s="16" t="s">
        <v>8576</v>
      </c>
      <c r="S690" s="16" t="s">
        <v>8281</v>
      </c>
      <c r="T690" t="s">
        <v>1596</v>
      </c>
      <c r="U690">
        <v>0</v>
      </c>
    </row>
    <row r="691" spans="1:21">
      <c r="A691">
        <v>685</v>
      </c>
      <c r="B691" t="s">
        <v>1712</v>
      </c>
      <c r="C691" t="s">
        <v>4744</v>
      </c>
      <c r="D691">
        <v>1293</v>
      </c>
      <c r="E691">
        <v>13</v>
      </c>
      <c r="F691" t="s">
        <v>1444</v>
      </c>
      <c r="G691" t="s">
        <v>4732</v>
      </c>
      <c r="I691" t="s">
        <v>1503</v>
      </c>
      <c r="J691" t="s">
        <v>8668</v>
      </c>
      <c r="L691">
        <v>0</v>
      </c>
      <c r="R691" s="16" t="s">
        <v>8064</v>
      </c>
      <c r="S691" s="16" t="s">
        <v>8064</v>
      </c>
      <c r="T691" t="s">
        <v>1712</v>
      </c>
      <c r="U691">
        <v>0</v>
      </c>
    </row>
    <row r="692" spans="1:21">
      <c r="A692">
        <v>601</v>
      </c>
      <c r="B692" t="s">
        <v>1597</v>
      </c>
      <c r="C692" t="s">
        <v>4413</v>
      </c>
      <c r="D692">
        <v>1066</v>
      </c>
      <c r="E692">
        <v>11</v>
      </c>
      <c r="F692" t="s">
        <v>4408</v>
      </c>
      <c r="G692" t="s">
        <v>4732</v>
      </c>
      <c r="I692" t="s">
        <v>1452</v>
      </c>
      <c r="J692" t="s">
        <v>8668</v>
      </c>
      <c r="L692">
        <v>1</v>
      </c>
      <c r="M692" t="s">
        <v>6389</v>
      </c>
      <c r="N692" t="s">
        <v>6389</v>
      </c>
      <c r="O692" t="s">
        <v>6390</v>
      </c>
      <c r="P692">
        <v>64790</v>
      </c>
      <c r="Q692">
        <v>498110</v>
      </c>
      <c r="R692" s="16" t="s">
        <v>8576</v>
      </c>
      <c r="S692" s="16" t="s">
        <v>8281</v>
      </c>
      <c r="T692" t="s">
        <v>1597</v>
      </c>
      <c r="U692">
        <v>0</v>
      </c>
    </row>
    <row r="693" spans="1:21">
      <c r="A693">
        <v>695</v>
      </c>
      <c r="B693" t="s">
        <v>1723</v>
      </c>
      <c r="C693" t="s">
        <v>1047</v>
      </c>
      <c r="D693">
        <v>1299</v>
      </c>
      <c r="E693">
        <v>13</v>
      </c>
      <c r="F693" t="s">
        <v>4645</v>
      </c>
      <c r="G693" t="s">
        <v>4732</v>
      </c>
      <c r="I693" t="s">
        <v>1507</v>
      </c>
      <c r="J693" t="s">
        <v>8668</v>
      </c>
      <c r="L693">
        <v>1</v>
      </c>
      <c r="M693" t="s">
        <v>6558</v>
      </c>
      <c r="N693" t="s">
        <v>6559</v>
      </c>
      <c r="O693" t="s">
        <v>104</v>
      </c>
      <c r="P693" t="s">
        <v>6560</v>
      </c>
      <c r="Q693" t="s">
        <v>6561</v>
      </c>
      <c r="R693" s="16" t="s">
        <v>8587</v>
      </c>
      <c r="S693" s="16" t="s">
        <v>8133</v>
      </c>
      <c r="T693" t="s">
        <v>1723</v>
      </c>
      <c r="U693">
        <v>0</v>
      </c>
    </row>
    <row r="694" spans="1:21">
      <c r="A694">
        <v>605</v>
      </c>
      <c r="B694" t="s">
        <v>1609</v>
      </c>
      <c r="C694" t="s">
        <v>1367</v>
      </c>
      <c r="D694">
        <v>1138</v>
      </c>
      <c r="E694">
        <v>12</v>
      </c>
      <c r="F694" t="s">
        <v>4408</v>
      </c>
      <c r="G694" t="s">
        <v>4732</v>
      </c>
      <c r="I694" t="s">
        <v>1457</v>
      </c>
      <c r="J694" t="s">
        <v>8668</v>
      </c>
      <c r="L694">
        <v>1</v>
      </c>
      <c r="M694" t="s">
        <v>6389</v>
      </c>
      <c r="N694" t="s">
        <v>6389</v>
      </c>
      <c r="O694" t="s">
        <v>6390</v>
      </c>
      <c r="P694">
        <v>64790</v>
      </c>
      <c r="Q694">
        <v>498110</v>
      </c>
      <c r="R694" s="16" t="s">
        <v>8576</v>
      </c>
      <c r="S694" s="16" t="s">
        <v>8281</v>
      </c>
      <c r="T694" t="s">
        <v>1609</v>
      </c>
      <c r="U694">
        <v>0</v>
      </c>
    </row>
    <row r="695" spans="1:21">
      <c r="A695">
        <v>600</v>
      </c>
      <c r="B695" t="s">
        <v>1600</v>
      </c>
      <c r="C695" t="s">
        <v>4413</v>
      </c>
      <c r="D695">
        <v>1066</v>
      </c>
      <c r="E695">
        <v>11</v>
      </c>
      <c r="F695" t="s">
        <v>4408</v>
      </c>
      <c r="G695" t="s">
        <v>4732</v>
      </c>
      <c r="I695" t="s">
        <v>1453</v>
      </c>
      <c r="J695" t="s">
        <v>8668</v>
      </c>
      <c r="L695">
        <v>1</v>
      </c>
      <c r="M695" t="s">
        <v>6389</v>
      </c>
      <c r="N695" t="s">
        <v>6389</v>
      </c>
      <c r="O695" t="s">
        <v>6390</v>
      </c>
      <c r="P695">
        <v>64790</v>
      </c>
      <c r="Q695">
        <v>498110</v>
      </c>
      <c r="R695" s="16" t="s">
        <v>8576</v>
      </c>
      <c r="S695" s="16" t="s">
        <v>8281</v>
      </c>
      <c r="T695" t="s">
        <v>1600</v>
      </c>
      <c r="U695">
        <v>0</v>
      </c>
    </row>
    <row r="696" spans="1:21">
      <c r="A696">
        <v>683</v>
      </c>
      <c r="B696" t="s">
        <v>1709</v>
      </c>
      <c r="C696" t="s">
        <v>4743</v>
      </c>
      <c r="D696">
        <v>1291</v>
      </c>
      <c r="E696">
        <v>13</v>
      </c>
      <c r="F696" t="s">
        <v>4624</v>
      </c>
      <c r="G696" t="s">
        <v>4732</v>
      </c>
      <c r="I696" t="s">
        <v>1502</v>
      </c>
      <c r="J696" t="s">
        <v>8668</v>
      </c>
      <c r="L696">
        <v>1</v>
      </c>
      <c r="M696" t="s">
        <v>7027</v>
      </c>
      <c r="N696" t="s">
        <v>7028</v>
      </c>
      <c r="O696" t="s">
        <v>6973</v>
      </c>
      <c r="P696">
        <v>36597</v>
      </c>
      <c r="Q696">
        <v>476425</v>
      </c>
      <c r="R696" s="16" t="s">
        <v>8589</v>
      </c>
      <c r="S696" s="16" t="s">
        <v>8294</v>
      </c>
      <c r="T696" t="s">
        <v>1709</v>
      </c>
      <c r="U696">
        <v>0</v>
      </c>
    </row>
    <row r="697" spans="1:21">
      <c r="A697">
        <v>638</v>
      </c>
      <c r="B697" t="s">
        <v>1638</v>
      </c>
      <c r="C697" t="s">
        <v>1430</v>
      </c>
      <c r="D697">
        <v>1244</v>
      </c>
      <c r="E697">
        <v>13</v>
      </c>
      <c r="F697" t="s">
        <v>4502</v>
      </c>
      <c r="G697" t="s">
        <v>4732</v>
      </c>
      <c r="I697" t="s">
        <v>1474</v>
      </c>
      <c r="J697" t="s">
        <v>8668</v>
      </c>
      <c r="L697">
        <v>1</v>
      </c>
      <c r="M697" t="s">
        <v>4502</v>
      </c>
      <c r="N697" t="s">
        <v>6456</v>
      </c>
      <c r="O697" t="s">
        <v>104</v>
      </c>
      <c r="P697">
        <v>23522</v>
      </c>
      <c r="Q697">
        <v>488566</v>
      </c>
      <c r="R697" s="16" t="s">
        <v>8364</v>
      </c>
      <c r="S697" s="16" t="s">
        <v>8069</v>
      </c>
      <c r="T697" t="s">
        <v>1638</v>
      </c>
      <c r="U697">
        <v>0</v>
      </c>
    </row>
    <row r="698" spans="1:21">
      <c r="A698">
        <v>640</v>
      </c>
      <c r="B698" t="s">
        <v>1645</v>
      </c>
      <c r="C698" t="s">
        <v>1435</v>
      </c>
      <c r="D698">
        <v>1247</v>
      </c>
      <c r="E698">
        <v>13</v>
      </c>
      <c r="F698" t="s">
        <v>4550</v>
      </c>
      <c r="G698" t="s">
        <v>4732</v>
      </c>
      <c r="I698" t="s">
        <v>1476</v>
      </c>
      <c r="J698" t="s">
        <v>8668</v>
      </c>
      <c r="L698">
        <v>1</v>
      </c>
      <c r="M698" t="s">
        <v>4550</v>
      </c>
      <c r="N698" t="s">
        <v>6345</v>
      </c>
      <c r="O698" t="s">
        <v>104</v>
      </c>
      <c r="P698">
        <v>14440</v>
      </c>
      <c r="Q698">
        <v>436040</v>
      </c>
      <c r="R698" s="16" t="s">
        <v>8474</v>
      </c>
      <c r="S698" s="16" t="s">
        <v>8178</v>
      </c>
      <c r="T698" t="s">
        <v>1645</v>
      </c>
      <c r="U698">
        <v>0</v>
      </c>
    </row>
    <row r="699" spans="1:21">
      <c r="A699">
        <v>699</v>
      </c>
      <c r="B699" t="s">
        <v>1744</v>
      </c>
      <c r="C699" t="s">
        <v>4454</v>
      </c>
      <c r="D699">
        <v>1123</v>
      </c>
      <c r="E699">
        <v>12</v>
      </c>
      <c r="F699" t="s">
        <v>4455</v>
      </c>
      <c r="G699" t="s">
        <v>9220</v>
      </c>
      <c r="I699" t="s">
        <v>1524</v>
      </c>
      <c r="J699" t="s">
        <v>9046</v>
      </c>
      <c r="L699">
        <v>1</v>
      </c>
      <c r="M699" t="s">
        <v>4455</v>
      </c>
      <c r="N699" t="s">
        <v>6305</v>
      </c>
      <c r="O699" t="s">
        <v>104</v>
      </c>
      <c r="P699">
        <v>20860</v>
      </c>
      <c r="Q699">
        <v>494300</v>
      </c>
      <c r="R699" s="16" t="s">
        <v>8427</v>
      </c>
      <c r="S699" s="16" t="s">
        <v>8131</v>
      </c>
      <c r="T699" t="s">
        <v>1744</v>
      </c>
      <c r="U699">
        <v>1</v>
      </c>
    </row>
    <row r="700" spans="1:21">
      <c r="A700">
        <v>700</v>
      </c>
      <c r="B700" t="s">
        <v>2114</v>
      </c>
      <c r="C700" t="s">
        <v>4791</v>
      </c>
      <c r="D700">
        <v>1196</v>
      </c>
      <c r="E700">
        <v>12</v>
      </c>
      <c r="F700" t="s">
        <v>4516</v>
      </c>
      <c r="G700" t="s">
        <v>9221</v>
      </c>
      <c r="I700" t="s">
        <v>1533</v>
      </c>
      <c r="J700" t="s">
        <v>9048</v>
      </c>
      <c r="L700">
        <v>1</v>
      </c>
      <c r="M700" t="s">
        <v>6342</v>
      </c>
      <c r="N700" t="s">
        <v>6343</v>
      </c>
      <c r="O700" t="s">
        <v>104</v>
      </c>
      <c r="P700" t="s">
        <v>6344</v>
      </c>
      <c r="Q700">
        <v>448470</v>
      </c>
      <c r="R700" s="16" t="s">
        <v>8604</v>
      </c>
      <c r="S700" s="16" t="s">
        <v>8310</v>
      </c>
      <c r="T700" t="s">
        <v>7980</v>
      </c>
      <c r="U700">
        <v>1</v>
      </c>
    </row>
    <row r="701" spans="1:21">
      <c r="A701">
        <v>702</v>
      </c>
      <c r="B701" t="s">
        <v>1731</v>
      </c>
      <c r="C701" t="s">
        <v>4770</v>
      </c>
      <c r="D701">
        <v>986</v>
      </c>
      <c r="E701">
        <v>10</v>
      </c>
      <c r="F701" t="s">
        <v>4362</v>
      </c>
      <c r="G701" t="s">
        <v>9222</v>
      </c>
      <c r="I701" t="s">
        <v>1512</v>
      </c>
      <c r="J701" t="s">
        <v>9035</v>
      </c>
      <c r="L701">
        <v>1</v>
      </c>
      <c r="M701" t="s">
        <v>4362</v>
      </c>
      <c r="N701" t="s">
        <v>6373</v>
      </c>
      <c r="O701" t="s">
        <v>104</v>
      </c>
      <c r="P701">
        <v>46540</v>
      </c>
      <c r="Q701">
        <v>464340</v>
      </c>
      <c r="R701" s="16" t="s">
        <v>8392</v>
      </c>
      <c r="S701" s="16" t="s">
        <v>8096</v>
      </c>
      <c r="T701" t="s">
        <v>1731</v>
      </c>
      <c r="U701">
        <v>1</v>
      </c>
    </row>
    <row r="702" spans="1:21">
      <c r="A702">
        <v>703</v>
      </c>
      <c r="B702" t="s">
        <v>1734</v>
      </c>
      <c r="C702" t="s">
        <v>4772</v>
      </c>
      <c r="D702">
        <v>986</v>
      </c>
      <c r="E702">
        <v>10</v>
      </c>
      <c r="F702" t="s">
        <v>4362</v>
      </c>
      <c r="G702" t="s">
        <v>9223</v>
      </c>
      <c r="I702" t="s">
        <v>1514</v>
      </c>
      <c r="J702" t="s">
        <v>9038</v>
      </c>
      <c r="L702">
        <v>1</v>
      </c>
      <c r="M702" t="s">
        <v>4362</v>
      </c>
      <c r="N702" t="s">
        <v>6373</v>
      </c>
      <c r="O702" t="s">
        <v>104</v>
      </c>
      <c r="P702">
        <v>46540</v>
      </c>
      <c r="Q702">
        <v>464340</v>
      </c>
      <c r="R702" s="16" t="s">
        <v>8392</v>
      </c>
      <c r="S702" s="16" t="s">
        <v>8096</v>
      </c>
      <c r="T702" t="s">
        <v>1734</v>
      </c>
      <c r="U702">
        <v>1</v>
      </c>
    </row>
    <row r="703" spans="1:21">
      <c r="A703">
        <v>704</v>
      </c>
      <c r="B703" t="s">
        <v>2104</v>
      </c>
      <c r="C703" t="s">
        <v>4774</v>
      </c>
      <c r="D703">
        <v>1006</v>
      </c>
      <c r="E703">
        <v>11</v>
      </c>
      <c r="F703" t="s">
        <v>4362</v>
      </c>
      <c r="G703" t="s">
        <v>9223</v>
      </c>
      <c r="I703" t="s">
        <v>1517</v>
      </c>
      <c r="J703" t="s">
        <v>9040</v>
      </c>
      <c r="L703">
        <v>1</v>
      </c>
      <c r="M703" t="s">
        <v>4362</v>
      </c>
      <c r="N703" t="s">
        <v>6373</v>
      </c>
      <c r="O703" t="s">
        <v>104</v>
      </c>
      <c r="P703">
        <v>46540</v>
      </c>
      <c r="Q703">
        <v>464340</v>
      </c>
      <c r="R703" s="16" t="s">
        <v>8392</v>
      </c>
      <c r="S703" s="16" t="s">
        <v>8096</v>
      </c>
      <c r="T703" t="s">
        <v>7977</v>
      </c>
      <c r="U703">
        <v>1</v>
      </c>
    </row>
    <row r="704" spans="1:21">
      <c r="A704">
        <v>705</v>
      </c>
      <c r="B704" t="s">
        <v>1726</v>
      </c>
      <c r="C704" t="s">
        <v>4765</v>
      </c>
      <c r="D704">
        <v>950</v>
      </c>
      <c r="E704">
        <v>10</v>
      </c>
      <c r="F704" t="s">
        <v>4362</v>
      </c>
      <c r="G704" t="s">
        <v>9224</v>
      </c>
      <c r="I704" t="s">
        <v>1509</v>
      </c>
      <c r="J704" t="s">
        <v>9032</v>
      </c>
      <c r="L704">
        <v>1</v>
      </c>
      <c r="M704" t="s">
        <v>4362</v>
      </c>
      <c r="N704" t="s">
        <v>6373</v>
      </c>
      <c r="O704" t="s">
        <v>104</v>
      </c>
      <c r="P704">
        <v>46540</v>
      </c>
      <c r="Q704">
        <v>464340</v>
      </c>
      <c r="R704" s="16" t="s">
        <v>8392</v>
      </c>
      <c r="S704" s="16" t="s">
        <v>8096</v>
      </c>
      <c r="T704" t="s">
        <v>1726</v>
      </c>
      <c r="U704">
        <v>1</v>
      </c>
    </row>
    <row r="705" spans="1:21">
      <c r="A705">
        <v>706</v>
      </c>
      <c r="B705" t="s">
        <v>1730</v>
      </c>
      <c r="C705" t="s">
        <v>4771</v>
      </c>
      <c r="D705">
        <v>982</v>
      </c>
      <c r="E705">
        <v>10</v>
      </c>
      <c r="F705" t="s">
        <v>4362</v>
      </c>
      <c r="G705" t="s">
        <v>9225</v>
      </c>
      <c r="I705" t="s">
        <v>1512</v>
      </c>
      <c r="J705" t="s">
        <v>9036</v>
      </c>
      <c r="L705">
        <v>1</v>
      </c>
      <c r="M705" t="s">
        <v>4362</v>
      </c>
      <c r="N705" t="s">
        <v>6373</v>
      </c>
      <c r="O705" t="s">
        <v>104</v>
      </c>
      <c r="P705">
        <v>46540</v>
      </c>
      <c r="Q705">
        <v>464340</v>
      </c>
      <c r="R705" s="16" t="s">
        <v>8392</v>
      </c>
      <c r="S705" s="16" t="s">
        <v>8096</v>
      </c>
      <c r="T705" t="s">
        <v>1730</v>
      </c>
      <c r="U705">
        <v>1</v>
      </c>
    </row>
    <row r="706" spans="1:21">
      <c r="A706">
        <v>708</v>
      </c>
      <c r="B706" t="s">
        <v>1729</v>
      </c>
      <c r="C706" t="s">
        <v>4769</v>
      </c>
      <c r="D706">
        <v>975</v>
      </c>
      <c r="E706">
        <v>10</v>
      </c>
      <c r="F706" t="s">
        <v>4362</v>
      </c>
      <c r="G706" t="s">
        <v>9225</v>
      </c>
      <c r="I706" t="s">
        <v>1511</v>
      </c>
      <c r="J706" t="s">
        <v>9034</v>
      </c>
      <c r="L706">
        <v>1</v>
      </c>
      <c r="M706" t="s">
        <v>4362</v>
      </c>
      <c r="N706" t="s">
        <v>6373</v>
      </c>
      <c r="O706" t="s">
        <v>104</v>
      </c>
      <c r="P706">
        <v>46540</v>
      </c>
      <c r="Q706">
        <v>464340</v>
      </c>
      <c r="R706" s="16" t="s">
        <v>8392</v>
      </c>
      <c r="S706" s="16" t="s">
        <v>8096</v>
      </c>
      <c r="T706" t="s">
        <v>1729</v>
      </c>
      <c r="U706">
        <v>1</v>
      </c>
    </row>
    <row r="707" spans="1:21">
      <c r="A707">
        <v>709</v>
      </c>
      <c r="B707" t="s">
        <v>2103</v>
      </c>
      <c r="C707" t="s">
        <v>4775</v>
      </c>
      <c r="D707">
        <v>1005</v>
      </c>
      <c r="E707">
        <v>11</v>
      </c>
      <c r="F707" t="s">
        <v>4362</v>
      </c>
      <c r="G707" t="s">
        <v>9226</v>
      </c>
      <c r="I707" t="s">
        <v>1517</v>
      </c>
      <c r="J707" t="s">
        <v>9041</v>
      </c>
      <c r="L707">
        <v>1</v>
      </c>
      <c r="M707" t="s">
        <v>4362</v>
      </c>
      <c r="N707" t="s">
        <v>6373</v>
      </c>
      <c r="O707" t="s">
        <v>104</v>
      </c>
      <c r="P707">
        <v>46540</v>
      </c>
      <c r="Q707">
        <v>464340</v>
      </c>
      <c r="R707" s="16" t="s">
        <v>8392</v>
      </c>
      <c r="S707" s="16" t="s">
        <v>8096</v>
      </c>
      <c r="T707" t="s">
        <v>8032</v>
      </c>
      <c r="U707">
        <v>1</v>
      </c>
    </row>
    <row r="708" spans="1:21">
      <c r="A708">
        <v>710</v>
      </c>
      <c r="B708" t="s">
        <v>1727</v>
      </c>
      <c r="C708" t="s">
        <v>4766</v>
      </c>
      <c r="D708">
        <v>955</v>
      </c>
      <c r="E708">
        <v>10</v>
      </c>
      <c r="F708" t="s">
        <v>4362</v>
      </c>
      <c r="G708" t="s">
        <v>9227</v>
      </c>
      <c r="I708" t="s">
        <v>1509</v>
      </c>
      <c r="J708" t="s">
        <v>9033</v>
      </c>
      <c r="L708">
        <v>1</v>
      </c>
      <c r="M708" t="s">
        <v>4362</v>
      </c>
      <c r="N708" t="s">
        <v>6373</v>
      </c>
      <c r="O708" t="s">
        <v>104</v>
      </c>
      <c r="P708">
        <v>46540</v>
      </c>
      <c r="Q708">
        <v>464340</v>
      </c>
      <c r="R708" s="16" t="s">
        <v>8392</v>
      </c>
      <c r="S708" s="16" t="s">
        <v>8096</v>
      </c>
      <c r="T708" t="s">
        <v>1727</v>
      </c>
      <c r="U708">
        <v>1</v>
      </c>
    </row>
    <row r="709" spans="1:21">
      <c r="A709">
        <v>711</v>
      </c>
      <c r="B709" t="s">
        <v>1732</v>
      </c>
      <c r="C709" t="s">
        <v>4770</v>
      </c>
      <c r="D709">
        <v>986</v>
      </c>
      <c r="E709">
        <v>10</v>
      </c>
      <c r="F709" t="s">
        <v>4362</v>
      </c>
      <c r="G709" t="s">
        <v>9227</v>
      </c>
      <c r="I709" t="s">
        <v>1513</v>
      </c>
      <c r="J709" t="s">
        <v>9037</v>
      </c>
      <c r="L709">
        <v>1</v>
      </c>
      <c r="M709" t="s">
        <v>4362</v>
      </c>
      <c r="N709" t="s">
        <v>6373</v>
      </c>
      <c r="O709" t="s">
        <v>104</v>
      </c>
      <c r="P709">
        <v>46540</v>
      </c>
      <c r="Q709">
        <v>464340</v>
      </c>
      <c r="R709" s="16" t="s">
        <v>8392</v>
      </c>
      <c r="S709" s="16" t="s">
        <v>8096</v>
      </c>
      <c r="T709" t="s">
        <v>1732</v>
      </c>
      <c r="U709">
        <v>1</v>
      </c>
    </row>
    <row r="710" spans="1:21">
      <c r="A710">
        <v>715</v>
      </c>
      <c r="B710" t="s">
        <v>2106</v>
      </c>
      <c r="C710" t="s">
        <v>4450</v>
      </c>
      <c r="D710">
        <v>1117</v>
      </c>
      <c r="E710">
        <v>12</v>
      </c>
      <c r="F710" t="s">
        <v>4362</v>
      </c>
      <c r="G710" t="s">
        <v>9228</v>
      </c>
      <c r="I710" t="s">
        <v>1523</v>
      </c>
      <c r="J710" t="s">
        <v>9043</v>
      </c>
      <c r="L710">
        <v>1</v>
      </c>
      <c r="M710" t="s">
        <v>4362</v>
      </c>
      <c r="N710" t="s">
        <v>6373</v>
      </c>
      <c r="O710" t="s">
        <v>104</v>
      </c>
      <c r="P710">
        <v>46540</v>
      </c>
      <c r="Q710">
        <v>464340</v>
      </c>
      <c r="R710" s="16" t="s">
        <v>8392</v>
      </c>
      <c r="S710" s="16" t="s">
        <v>8096</v>
      </c>
      <c r="T710" t="s">
        <v>7978</v>
      </c>
      <c r="U710">
        <v>1</v>
      </c>
    </row>
    <row r="711" spans="1:21">
      <c r="A711">
        <v>717</v>
      </c>
      <c r="B711" t="s">
        <v>2115</v>
      </c>
      <c r="C711" t="s">
        <v>4789</v>
      </c>
      <c r="D711">
        <v>1218</v>
      </c>
      <c r="E711">
        <v>13</v>
      </c>
      <c r="F711" t="s">
        <v>4522</v>
      </c>
      <c r="G711" t="s">
        <v>9229</v>
      </c>
      <c r="I711" t="s">
        <v>1535</v>
      </c>
      <c r="J711" t="s">
        <v>9047</v>
      </c>
      <c r="L711">
        <v>1</v>
      </c>
      <c r="M711" t="s">
        <v>7025</v>
      </c>
      <c r="N711" t="s">
        <v>7026</v>
      </c>
      <c r="O711" t="s">
        <v>6973</v>
      </c>
      <c r="P711">
        <v>63083</v>
      </c>
      <c r="Q711">
        <v>453997</v>
      </c>
      <c r="R711" s="16" t="s">
        <v>8592</v>
      </c>
      <c r="S711" s="16" t="s">
        <v>8297</v>
      </c>
      <c r="T711" t="s">
        <v>7971</v>
      </c>
      <c r="U711">
        <v>1</v>
      </c>
    </row>
    <row r="712" spans="1:21">
      <c r="A712">
        <v>718</v>
      </c>
      <c r="B712" t="s">
        <v>2101</v>
      </c>
      <c r="C712" t="s">
        <v>4763</v>
      </c>
      <c r="D712">
        <v>928</v>
      </c>
      <c r="E712">
        <v>10</v>
      </c>
      <c r="F712" t="s">
        <v>1444</v>
      </c>
      <c r="G712" t="s">
        <v>9230</v>
      </c>
      <c r="I712" t="s">
        <v>1508</v>
      </c>
      <c r="J712" t="s">
        <v>8816</v>
      </c>
      <c r="L712">
        <v>0</v>
      </c>
      <c r="R712" s="16" t="s">
        <v>8064</v>
      </c>
      <c r="S712" s="16" t="s">
        <v>8064</v>
      </c>
      <c r="T712" t="s">
        <v>7982</v>
      </c>
      <c r="U712">
        <v>1</v>
      </c>
    </row>
    <row r="713" spans="1:21">
      <c r="A713">
        <v>719</v>
      </c>
      <c r="B713" t="s">
        <v>1742</v>
      </c>
      <c r="C713" t="s">
        <v>4782</v>
      </c>
      <c r="D713">
        <v>1095</v>
      </c>
      <c r="E713">
        <v>11</v>
      </c>
      <c r="F713" t="s">
        <v>4362</v>
      </c>
      <c r="G713" t="s">
        <v>9231</v>
      </c>
      <c r="I713" t="s">
        <v>1521</v>
      </c>
      <c r="J713" t="s">
        <v>9045</v>
      </c>
      <c r="L713">
        <v>1</v>
      </c>
      <c r="M713" t="s">
        <v>4362</v>
      </c>
      <c r="N713" t="s">
        <v>6373</v>
      </c>
      <c r="O713" t="s">
        <v>104</v>
      </c>
      <c r="P713">
        <v>46540</v>
      </c>
      <c r="Q713">
        <v>464340</v>
      </c>
      <c r="R713" s="16" t="s">
        <v>8392</v>
      </c>
      <c r="S713" s="16" t="s">
        <v>8096</v>
      </c>
      <c r="T713" t="s">
        <v>1742</v>
      </c>
      <c r="U713">
        <v>1</v>
      </c>
    </row>
    <row r="714" spans="1:21">
      <c r="A714">
        <v>721</v>
      </c>
      <c r="B714" t="s">
        <v>1737</v>
      </c>
      <c r="C714" t="s">
        <v>4773</v>
      </c>
      <c r="D714">
        <v>1003</v>
      </c>
      <c r="E714">
        <v>11</v>
      </c>
      <c r="F714" t="s">
        <v>4362</v>
      </c>
      <c r="G714" t="s">
        <v>9232</v>
      </c>
      <c r="I714" t="s">
        <v>1516</v>
      </c>
      <c r="J714" t="s">
        <v>9039</v>
      </c>
      <c r="L714">
        <v>1</v>
      </c>
      <c r="M714" t="s">
        <v>4362</v>
      </c>
      <c r="N714" t="s">
        <v>6373</v>
      </c>
      <c r="O714" t="s">
        <v>104</v>
      </c>
      <c r="P714">
        <v>46540</v>
      </c>
      <c r="Q714">
        <v>464340</v>
      </c>
      <c r="R714" s="16" t="s">
        <v>8392</v>
      </c>
      <c r="S714" s="16" t="s">
        <v>8096</v>
      </c>
      <c r="T714" t="s">
        <v>1737</v>
      </c>
      <c r="U714">
        <v>1</v>
      </c>
    </row>
    <row r="715" spans="1:21">
      <c r="A715">
        <v>773</v>
      </c>
      <c r="B715" t="s">
        <v>1760</v>
      </c>
      <c r="C715" t="s">
        <v>5013</v>
      </c>
      <c r="D715">
        <v>1285</v>
      </c>
      <c r="E715">
        <v>13</v>
      </c>
      <c r="F715" t="s">
        <v>9280</v>
      </c>
      <c r="G715" t="s">
        <v>9281</v>
      </c>
      <c r="J715" t="s">
        <v>8844</v>
      </c>
      <c r="L715">
        <v>0</v>
      </c>
      <c r="R715" s="16" t="s">
        <v>8064</v>
      </c>
      <c r="S715" s="16" t="s">
        <v>8064</v>
      </c>
      <c r="T715" t="s">
        <v>1760</v>
      </c>
      <c r="U715">
        <v>1</v>
      </c>
    </row>
    <row r="716" spans="1:21">
      <c r="A716">
        <v>698</v>
      </c>
      <c r="B716" t="s">
        <v>2107</v>
      </c>
      <c r="C716" t="s">
        <v>4779</v>
      </c>
      <c r="D716">
        <v>1129</v>
      </c>
      <c r="E716">
        <v>12</v>
      </c>
      <c r="F716" t="s">
        <v>4458</v>
      </c>
      <c r="G716" t="s">
        <v>9275</v>
      </c>
      <c r="I716" t="s">
        <v>1525</v>
      </c>
      <c r="J716" t="s">
        <v>9044</v>
      </c>
      <c r="L716">
        <v>1</v>
      </c>
      <c r="M716" t="s">
        <v>4458</v>
      </c>
      <c r="N716" t="s">
        <v>6770</v>
      </c>
      <c r="O716" t="s">
        <v>104</v>
      </c>
      <c r="P716" t="s">
        <v>6771</v>
      </c>
      <c r="Q716" t="s">
        <v>6772</v>
      </c>
      <c r="R716" s="16" t="s">
        <v>8597</v>
      </c>
      <c r="S716" s="16" t="s">
        <v>8303</v>
      </c>
      <c r="T716" t="s">
        <v>7975</v>
      </c>
      <c r="U716">
        <v>1</v>
      </c>
    </row>
    <row r="717" spans="1:21">
      <c r="A717">
        <v>726</v>
      </c>
      <c r="B717" t="s">
        <v>2111</v>
      </c>
      <c r="C717" t="s">
        <v>4778</v>
      </c>
      <c r="D717">
        <v>1160</v>
      </c>
      <c r="E717">
        <v>12</v>
      </c>
      <c r="F717" t="s">
        <v>4458</v>
      </c>
      <c r="G717" t="s">
        <v>9218</v>
      </c>
      <c r="I717" t="s">
        <v>1525</v>
      </c>
      <c r="J717" t="s">
        <v>9044</v>
      </c>
      <c r="L717">
        <v>1</v>
      </c>
      <c r="M717" t="s">
        <v>4458</v>
      </c>
      <c r="N717" t="s">
        <v>6770</v>
      </c>
      <c r="O717" t="s">
        <v>104</v>
      </c>
      <c r="P717" t="s">
        <v>6771</v>
      </c>
      <c r="Q717" t="s">
        <v>6772</v>
      </c>
      <c r="R717" s="16" t="s">
        <v>8597</v>
      </c>
      <c r="S717" s="16" t="s">
        <v>8303</v>
      </c>
      <c r="T717" t="s">
        <v>7975</v>
      </c>
      <c r="U717">
        <v>1</v>
      </c>
    </row>
    <row r="718" spans="1:21">
      <c r="A718">
        <v>731</v>
      </c>
      <c r="B718" t="s">
        <v>2108</v>
      </c>
      <c r="C718" t="s">
        <v>4780</v>
      </c>
      <c r="D718">
        <v>1145</v>
      </c>
      <c r="E718">
        <v>12</v>
      </c>
      <c r="F718" t="s">
        <v>4458</v>
      </c>
      <c r="G718" t="s">
        <v>9219</v>
      </c>
      <c r="I718" t="s">
        <v>1525</v>
      </c>
      <c r="J718" t="s">
        <v>9044</v>
      </c>
      <c r="L718">
        <v>1</v>
      </c>
      <c r="M718" t="s">
        <v>4458</v>
      </c>
      <c r="N718" t="s">
        <v>6770</v>
      </c>
      <c r="O718" t="s">
        <v>104</v>
      </c>
      <c r="P718" t="s">
        <v>6771</v>
      </c>
      <c r="Q718" t="s">
        <v>6772</v>
      </c>
      <c r="R718" s="16" t="s">
        <v>8597</v>
      </c>
      <c r="S718" s="16" t="s">
        <v>8303</v>
      </c>
      <c r="T718" t="s">
        <v>7975</v>
      </c>
      <c r="U718">
        <v>1</v>
      </c>
    </row>
    <row r="719" spans="1:21">
      <c r="A719">
        <v>733</v>
      </c>
      <c r="B719" t="s">
        <v>1738</v>
      </c>
      <c r="C719" t="s">
        <v>4776</v>
      </c>
      <c r="D719">
        <v>1024</v>
      </c>
      <c r="E719">
        <v>11</v>
      </c>
      <c r="F719" t="s">
        <v>4362</v>
      </c>
      <c r="G719" t="s">
        <v>9219</v>
      </c>
      <c r="I719" t="s">
        <v>1518</v>
      </c>
      <c r="J719" t="s">
        <v>9042</v>
      </c>
      <c r="L719">
        <v>1</v>
      </c>
      <c r="M719" t="s">
        <v>4362</v>
      </c>
      <c r="N719" t="s">
        <v>6373</v>
      </c>
      <c r="O719" t="s">
        <v>104</v>
      </c>
      <c r="P719">
        <v>46540</v>
      </c>
      <c r="Q719">
        <v>464340</v>
      </c>
      <c r="R719" s="16" t="s">
        <v>8392</v>
      </c>
      <c r="S719" s="16" t="s">
        <v>8096</v>
      </c>
      <c r="T719" t="s">
        <v>1738</v>
      </c>
      <c r="U719">
        <v>1</v>
      </c>
    </row>
    <row r="720" spans="1:21">
      <c r="A720">
        <v>727</v>
      </c>
      <c r="B720" t="s">
        <v>2112</v>
      </c>
      <c r="C720" t="s">
        <v>4758</v>
      </c>
      <c r="D720">
        <v>1167</v>
      </c>
      <c r="E720">
        <v>12</v>
      </c>
      <c r="F720" t="s">
        <v>1444</v>
      </c>
      <c r="G720" t="s">
        <v>4764</v>
      </c>
      <c r="I720" t="s">
        <v>1531</v>
      </c>
      <c r="J720" t="s">
        <v>8668</v>
      </c>
      <c r="L720">
        <v>0</v>
      </c>
      <c r="R720" s="16" t="s">
        <v>8064</v>
      </c>
      <c r="S720" s="16" t="s">
        <v>8064</v>
      </c>
      <c r="T720" t="s">
        <v>7981</v>
      </c>
      <c r="U720">
        <v>0</v>
      </c>
    </row>
    <row r="721" spans="1:21">
      <c r="A721">
        <v>740</v>
      </c>
      <c r="B721" t="s">
        <v>1755</v>
      </c>
      <c r="C721" t="s">
        <v>4547</v>
      </c>
      <c r="D721">
        <v>1252</v>
      </c>
      <c r="E721">
        <v>13</v>
      </c>
      <c r="F721" t="s">
        <v>1444</v>
      </c>
      <c r="G721" t="s">
        <v>4764</v>
      </c>
      <c r="I721" t="s">
        <v>1538</v>
      </c>
      <c r="J721" t="s">
        <v>8668</v>
      </c>
      <c r="L721">
        <v>0</v>
      </c>
      <c r="R721" s="16" t="s">
        <v>8064</v>
      </c>
      <c r="S721" s="16" t="s">
        <v>8064</v>
      </c>
      <c r="T721" t="s">
        <v>1755</v>
      </c>
      <c r="U721">
        <v>0</v>
      </c>
    </row>
    <row r="722" spans="1:21">
      <c r="A722">
        <v>724</v>
      </c>
      <c r="B722" t="s">
        <v>4788</v>
      </c>
      <c r="C722" t="s">
        <v>4483</v>
      </c>
      <c r="D722">
        <v>1154</v>
      </c>
      <c r="E722">
        <v>12</v>
      </c>
      <c r="F722" t="s">
        <v>4481</v>
      </c>
      <c r="G722" t="s">
        <v>4764</v>
      </c>
      <c r="I722" t="s">
        <v>1529</v>
      </c>
      <c r="J722" t="s">
        <v>8668</v>
      </c>
      <c r="L722">
        <v>1</v>
      </c>
      <c r="M722" t="s">
        <v>6504</v>
      </c>
      <c r="N722" t="s">
        <v>6505</v>
      </c>
      <c r="O722" t="s">
        <v>104</v>
      </c>
      <c r="P722" t="s">
        <v>6506</v>
      </c>
      <c r="Q722" t="s">
        <v>6507</v>
      </c>
      <c r="R722" s="16" t="s">
        <v>8465</v>
      </c>
      <c r="S722" s="16" t="s">
        <v>8169</v>
      </c>
      <c r="T722" t="s">
        <v>7979</v>
      </c>
      <c r="U722">
        <v>0</v>
      </c>
    </row>
    <row r="723" spans="1:21">
      <c r="A723">
        <v>736</v>
      </c>
      <c r="B723" t="s">
        <v>1753</v>
      </c>
      <c r="C723" t="s">
        <v>4794</v>
      </c>
      <c r="D723">
        <v>1237</v>
      </c>
      <c r="E723">
        <v>13</v>
      </c>
      <c r="F723" t="s">
        <v>4538</v>
      </c>
      <c r="G723" t="s">
        <v>4764</v>
      </c>
      <c r="I723" t="s">
        <v>1536</v>
      </c>
      <c r="J723" t="s">
        <v>8668</v>
      </c>
      <c r="L723">
        <v>1</v>
      </c>
      <c r="M723" t="s">
        <v>6205</v>
      </c>
      <c r="N723" t="s">
        <v>6324</v>
      </c>
      <c r="O723" t="s">
        <v>11</v>
      </c>
      <c r="P723">
        <v>113410</v>
      </c>
      <c r="Q723">
        <v>444940</v>
      </c>
      <c r="R723" s="16" t="s">
        <v>8378</v>
      </c>
      <c r="S723" s="16" t="s">
        <v>8082</v>
      </c>
      <c r="T723" t="s">
        <v>1753</v>
      </c>
      <c r="U723">
        <v>0</v>
      </c>
    </row>
    <row r="724" spans="1:21">
      <c r="A724">
        <v>745</v>
      </c>
      <c r="B724" t="s">
        <v>1762</v>
      </c>
      <c r="C724" t="s">
        <v>4600</v>
      </c>
      <c r="D724">
        <v>1279</v>
      </c>
      <c r="E724">
        <v>13</v>
      </c>
      <c r="F724" t="s">
        <v>1444</v>
      </c>
      <c r="G724" t="s">
        <v>4764</v>
      </c>
      <c r="I724" t="s">
        <v>1541</v>
      </c>
      <c r="J724" t="s">
        <v>8668</v>
      </c>
      <c r="L724">
        <v>0</v>
      </c>
      <c r="R724" s="16" t="s">
        <v>8064</v>
      </c>
      <c r="S724" s="16" t="s">
        <v>8064</v>
      </c>
      <c r="T724" t="s">
        <v>1762</v>
      </c>
      <c r="U724">
        <v>0</v>
      </c>
    </row>
    <row r="725" spans="1:21">
      <c r="A725">
        <v>746</v>
      </c>
      <c r="B725" t="s">
        <v>1759</v>
      </c>
      <c r="C725" t="s">
        <v>4584</v>
      </c>
      <c r="D725">
        <v>1279</v>
      </c>
      <c r="E725">
        <v>13</v>
      </c>
      <c r="F725" t="s">
        <v>1444</v>
      </c>
      <c r="G725" t="s">
        <v>4764</v>
      </c>
      <c r="I725" t="s">
        <v>1540</v>
      </c>
      <c r="J725" t="s">
        <v>8668</v>
      </c>
      <c r="L725">
        <v>0</v>
      </c>
      <c r="R725" s="16" t="s">
        <v>8064</v>
      </c>
      <c r="S725" s="16" t="s">
        <v>8064</v>
      </c>
      <c r="T725" t="s">
        <v>1759</v>
      </c>
      <c r="U725">
        <v>0</v>
      </c>
    </row>
    <row r="726" spans="1:21">
      <c r="A726">
        <v>741</v>
      </c>
      <c r="B726" t="s">
        <v>1757</v>
      </c>
      <c r="C726" t="s">
        <v>4564</v>
      </c>
      <c r="D726">
        <v>1265</v>
      </c>
      <c r="E726">
        <v>13</v>
      </c>
      <c r="F726" t="s">
        <v>1444</v>
      </c>
      <c r="G726" t="s">
        <v>4764</v>
      </c>
      <c r="I726" t="s">
        <v>1539</v>
      </c>
      <c r="J726" t="s">
        <v>8668</v>
      </c>
      <c r="L726">
        <v>0</v>
      </c>
      <c r="R726" s="16" t="s">
        <v>8064</v>
      </c>
      <c r="S726" s="16" t="s">
        <v>8064</v>
      </c>
      <c r="T726" t="s">
        <v>1757</v>
      </c>
      <c r="U726">
        <v>0</v>
      </c>
    </row>
    <row r="727" spans="1:21">
      <c r="A727">
        <v>729</v>
      </c>
      <c r="B727" t="s">
        <v>1747</v>
      </c>
      <c r="C727" t="s">
        <v>4790</v>
      </c>
      <c r="D727">
        <v>1184</v>
      </c>
      <c r="E727">
        <v>12</v>
      </c>
      <c r="F727" t="s">
        <v>4509</v>
      </c>
      <c r="G727" t="s">
        <v>4764</v>
      </c>
      <c r="I727" t="s">
        <v>1532</v>
      </c>
      <c r="J727" t="s">
        <v>8668</v>
      </c>
      <c r="L727">
        <v>1</v>
      </c>
      <c r="M727" t="s">
        <v>4509</v>
      </c>
      <c r="N727" t="s">
        <v>6565</v>
      </c>
      <c r="O727" t="s">
        <v>104</v>
      </c>
      <c r="P727" t="s">
        <v>6566</v>
      </c>
      <c r="Q727" t="s">
        <v>6567</v>
      </c>
      <c r="R727" s="16" t="s">
        <v>8586</v>
      </c>
      <c r="S727" s="16" t="s">
        <v>8292</v>
      </c>
      <c r="T727" t="s">
        <v>1747</v>
      </c>
      <c r="U727">
        <v>0</v>
      </c>
    </row>
    <row r="728" spans="1:21">
      <c r="A728">
        <v>712</v>
      </c>
      <c r="B728" t="s">
        <v>1740</v>
      </c>
      <c r="C728" t="s">
        <v>4777</v>
      </c>
      <c r="D728">
        <v>1066</v>
      </c>
      <c r="E728">
        <v>11</v>
      </c>
      <c r="F728" t="s">
        <v>4362</v>
      </c>
      <c r="G728" t="s">
        <v>4764</v>
      </c>
      <c r="I728" t="s">
        <v>1519</v>
      </c>
      <c r="J728" t="s">
        <v>8668</v>
      </c>
      <c r="L728">
        <v>1</v>
      </c>
      <c r="M728" t="s">
        <v>4362</v>
      </c>
      <c r="N728" t="s">
        <v>6373</v>
      </c>
      <c r="O728" t="s">
        <v>104</v>
      </c>
      <c r="P728">
        <v>46540</v>
      </c>
      <c r="Q728">
        <v>464340</v>
      </c>
      <c r="R728" s="16" t="s">
        <v>8392</v>
      </c>
      <c r="S728" s="16" t="s">
        <v>8096</v>
      </c>
      <c r="T728" t="s">
        <v>1740</v>
      </c>
      <c r="U728">
        <v>0</v>
      </c>
    </row>
    <row r="729" spans="1:21">
      <c r="A729">
        <v>749</v>
      </c>
      <c r="B729" t="s">
        <v>1766</v>
      </c>
      <c r="C729" t="s">
        <v>783</v>
      </c>
      <c r="D729">
        <v>1292</v>
      </c>
      <c r="E729">
        <v>13</v>
      </c>
      <c r="F729" t="s">
        <v>4626</v>
      </c>
      <c r="G729" t="s">
        <v>4764</v>
      </c>
      <c r="I729" t="s">
        <v>1543</v>
      </c>
      <c r="J729" t="s">
        <v>8668</v>
      </c>
      <c r="L729">
        <v>1</v>
      </c>
      <c r="M729" t="s">
        <v>7022</v>
      </c>
      <c r="N729" t="s">
        <v>6986</v>
      </c>
      <c r="O729" t="s">
        <v>6973</v>
      </c>
      <c r="P729">
        <v>43000</v>
      </c>
      <c r="Q729">
        <v>498000</v>
      </c>
      <c r="R729" s="16" t="s">
        <v>8409</v>
      </c>
      <c r="S729" s="16" t="s">
        <v>8302</v>
      </c>
      <c r="T729" t="s">
        <v>1766</v>
      </c>
      <c r="U729">
        <v>0</v>
      </c>
    </row>
    <row r="730" spans="1:21">
      <c r="A730">
        <v>701</v>
      </c>
      <c r="B730" t="s">
        <v>1728</v>
      </c>
      <c r="C730" t="s">
        <v>4767</v>
      </c>
      <c r="D730">
        <v>974</v>
      </c>
      <c r="E730">
        <v>10</v>
      </c>
      <c r="F730" t="s">
        <v>4365</v>
      </c>
      <c r="G730" t="s">
        <v>4764</v>
      </c>
      <c r="I730" t="s">
        <v>1510</v>
      </c>
      <c r="J730" t="s">
        <v>8668</v>
      </c>
      <c r="L730">
        <v>1</v>
      </c>
      <c r="M730" t="s">
        <v>6758</v>
      </c>
      <c r="N730" t="s">
        <v>6759</v>
      </c>
      <c r="O730" t="s">
        <v>104</v>
      </c>
      <c r="P730" t="s">
        <v>6760</v>
      </c>
      <c r="Q730" t="s">
        <v>6761</v>
      </c>
      <c r="R730" s="16" t="s">
        <v>8483</v>
      </c>
      <c r="S730" s="16" t="s">
        <v>8188</v>
      </c>
      <c r="T730" t="s">
        <v>1728</v>
      </c>
      <c r="U730">
        <v>0</v>
      </c>
    </row>
    <row r="731" spans="1:21">
      <c r="A731">
        <v>725</v>
      </c>
      <c r="B731" t="s">
        <v>1746</v>
      </c>
      <c r="C731" t="s">
        <v>4490</v>
      </c>
      <c r="D731">
        <v>1157</v>
      </c>
      <c r="E731">
        <v>12</v>
      </c>
      <c r="F731" t="s">
        <v>4491</v>
      </c>
      <c r="G731" t="s">
        <v>4764</v>
      </c>
      <c r="I731" t="s">
        <v>1530</v>
      </c>
      <c r="J731" t="s">
        <v>8668</v>
      </c>
      <c r="L731">
        <v>1</v>
      </c>
      <c r="M731" t="s">
        <v>6474</v>
      </c>
      <c r="N731" t="s">
        <v>6475</v>
      </c>
      <c r="O731" t="s">
        <v>11</v>
      </c>
      <c r="P731">
        <v>133615</v>
      </c>
      <c r="Q731">
        <v>381157</v>
      </c>
      <c r="R731" s="16" t="s">
        <v>8598</v>
      </c>
      <c r="S731" s="16" t="s">
        <v>8304</v>
      </c>
      <c r="T731" t="s">
        <v>1746</v>
      </c>
      <c r="U731">
        <v>0</v>
      </c>
    </row>
    <row r="732" spans="1:21">
      <c r="A732">
        <v>747</v>
      </c>
      <c r="B732" t="s">
        <v>1763</v>
      </c>
      <c r="C732" t="s">
        <v>4729</v>
      </c>
      <c r="D732">
        <v>1281</v>
      </c>
      <c r="E732">
        <v>13</v>
      </c>
      <c r="F732" t="s">
        <v>1444</v>
      </c>
      <c r="G732" t="s">
        <v>4764</v>
      </c>
      <c r="I732" t="s">
        <v>1542</v>
      </c>
      <c r="J732" t="s">
        <v>8668</v>
      </c>
      <c r="L732">
        <v>0</v>
      </c>
      <c r="R732" s="16" t="s">
        <v>8064</v>
      </c>
      <c r="S732" s="16" t="s">
        <v>8064</v>
      </c>
      <c r="T732" t="s">
        <v>1763</v>
      </c>
      <c r="U732">
        <v>0</v>
      </c>
    </row>
    <row r="733" spans="1:21">
      <c r="A733">
        <v>743</v>
      </c>
      <c r="B733" t="s">
        <v>1761</v>
      </c>
      <c r="C733" t="s">
        <v>4728</v>
      </c>
      <c r="D733">
        <v>1274</v>
      </c>
      <c r="E733">
        <v>13</v>
      </c>
      <c r="F733" t="s">
        <v>1444</v>
      </c>
      <c r="G733" t="s">
        <v>4764</v>
      </c>
      <c r="I733" t="s">
        <v>1541</v>
      </c>
      <c r="J733" t="s">
        <v>8668</v>
      </c>
      <c r="L733">
        <v>0</v>
      </c>
      <c r="R733" s="16" t="s">
        <v>8064</v>
      </c>
      <c r="S733" s="16" t="s">
        <v>8064</v>
      </c>
      <c r="T733" t="s">
        <v>1761</v>
      </c>
      <c r="U733">
        <v>0</v>
      </c>
    </row>
    <row r="734" spans="1:21">
      <c r="A734">
        <v>722</v>
      </c>
      <c r="B734" t="s">
        <v>2110</v>
      </c>
      <c r="C734" t="s">
        <v>4786</v>
      </c>
      <c r="D734">
        <v>1151</v>
      </c>
      <c r="E734">
        <v>12</v>
      </c>
      <c r="F734" t="s">
        <v>4478</v>
      </c>
      <c r="G734" t="s">
        <v>4764</v>
      </c>
      <c r="I734" t="s">
        <v>1527</v>
      </c>
      <c r="J734" t="s">
        <v>8668</v>
      </c>
      <c r="L734">
        <v>1</v>
      </c>
      <c r="M734" t="s">
        <v>4478</v>
      </c>
      <c r="N734" t="s">
        <v>6849</v>
      </c>
      <c r="O734" t="s">
        <v>104</v>
      </c>
      <c r="P734" t="s">
        <v>6850</v>
      </c>
      <c r="Q734" t="s">
        <v>6851</v>
      </c>
      <c r="R734" s="16" t="s">
        <v>8593</v>
      </c>
      <c r="S734" s="16" t="s">
        <v>8298</v>
      </c>
      <c r="T734" t="s">
        <v>7972</v>
      </c>
      <c r="U734">
        <v>0</v>
      </c>
    </row>
    <row r="735" spans="1:21">
      <c r="A735">
        <v>713</v>
      </c>
      <c r="B735" t="s">
        <v>1741</v>
      </c>
      <c r="C735" t="s">
        <v>4781</v>
      </c>
      <c r="D735">
        <v>1072</v>
      </c>
      <c r="E735">
        <v>11</v>
      </c>
      <c r="F735" t="s">
        <v>4423</v>
      </c>
      <c r="G735" t="s">
        <v>4764</v>
      </c>
      <c r="I735" t="s">
        <v>1520</v>
      </c>
      <c r="J735" t="s">
        <v>8668</v>
      </c>
      <c r="L735">
        <v>1</v>
      </c>
      <c r="M735" t="s">
        <v>6483</v>
      </c>
      <c r="N735" t="s">
        <v>6484</v>
      </c>
      <c r="O735" t="s">
        <v>6290</v>
      </c>
      <c r="P735">
        <v>-38090</v>
      </c>
      <c r="Q735">
        <v>423540</v>
      </c>
      <c r="R735" s="16" t="s">
        <v>8425</v>
      </c>
      <c r="S735" s="16" t="s">
        <v>8129</v>
      </c>
      <c r="T735" t="s">
        <v>1741</v>
      </c>
      <c r="U735">
        <v>0</v>
      </c>
    </row>
    <row r="736" spans="1:21">
      <c r="A736">
        <v>738</v>
      </c>
      <c r="B736" t="s">
        <v>4796</v>
      </c>
      <c r="C736" t="s">
        <v>4797</v>
      </c>
      <c r="D736">
        <v>1243</v>
      </c>
      <c r="E736">
        <v>13</v>
      </c>
      <c r="F736" t="s">
        <v>4546</v>
      </c>
      <c r="G736" t="s">
        <v>4764</v>
      </c>
      <c r="I736" t="s">
        <v>1538</v>
      </c>
      <c r="J736" t="s">
        <v>8668</v>
      </c>
      <c r="L736">
        <v>1</v>
      </c>
      <c r="M736" t="s">
        <v>4546</v>
      </c>
      <c r="N736" t="s">
        <v>6610</v>
      </c>
      <c r="O736" t="s">
        <v>104</v>
      </c>
      <c r="P736" t="s">
        <v>6812</v>
      </c>
      <c r="Q736" t="s">
        <v>6813</v>
      </c>
      <c r="R736" s="16" t="s">
        <v>8596</v>
      </c>
      <c r="S736" s="16" t="s">
        <v>8301</v>
      </c>
      <c r="T736" t="s">
        <v>7974</v>
      </c>
      <c r="U736">
        <v>0</v>
      </c>
    </row>
    <row r="737" spans="1:21">
      <c r="A737">
        <v>707</v>
      </c>
      <c r="B737" t="s">
        <v>1735</v>
      </c>
      <c r="C737" t="s">
        <v>4768</v>
      </c>
      <c r="D737">
        <v>992</v>
      </c>
      <c r="E737">
        <v>10</v>
      </c>
      <c r="F737" t="s">
        <v>4378</v>
      </c>
      <c r="G737" t="s">
        <v>4764</v>
      </c>
      <c r="I737" t="s">
        <v>1515</v>
      </c>
      <c r="J737" t="s">
        <v>8668</v>
      </c>
      <c r="L737">
        <v>1</v>
      </c>
      <c r="M737" t="s">
        <v>6997</v>
      </c>
      <c r="N737" t="s">
        <v>6998</v>
      </c>
      <c r="O737" t="s">
        <v>6994</v>
      </c>
      <c r="P737">
        <v>-44647</v>
      </c>
      <c r="Q737">
        <v>424528</v>
      </c>
      <c r="R737" s="16" t="s">
        <v>8603</v>
      </c>
      <c r="S737" s="16" t="s">
        <v>8309</v>
      </c>
      <c r="T737" t="s">
        <v>1735</v>
      </c>
      <c r="U737">
        <v>0</v>
      </c>
    </row>
    <row r="738" spans="1:21">
      <c r="A738">
        <v>716</v>
      </c>
      <c r="B738" t="s">
        <v>1743</v>
      </c>
      <c r="C738" t="s">
        <v>4783</v>
      </c>
      <c r="D738">
        <v>1105</v>
      </c>
      <c r="E738">
        <v>12</v>
      </c>
      <c r="F738" t="s">
        <v>4441</v>
      </c>
      <c r="G738" t="s">
        <v>4764</v>
      </c>
      <c r="I738" t="s">
        <v>1522</v>
      </c>
      <c r="J738" t="s">
        <v>8668</v>
      </c>
      <c r="L738">
        <v>1</v>
      </c>
      <c r="M738" t="s">
        <v>4441</v>
      </c>
      <c r="N738" t="s">
        <v>6594</v>
      </c>
      <c r="O738" t="s">
        <v>4016</v>
      </c>
      <c r="P738" t="s">
        <v>6891</v>
      </c>
      <c r="Q738" t="s">
        <v>6892</v>
      </c>
      <c r="R738" s="16" t="s">
        <v>8563</v>
      </c>
      <c r="S738" s="16" t="s">
        <v>8268</v>
      </c>
      <c r="T738" t="s">
        <v>1743</v>
      </c>
      <c r="U738">
        <v>0</v>
      </c>
    </row>
    <row r="739" spans="1:21">
      <c r="A739">
        <v>730</v>
      </c>
      <c r="B739" t="s">
        <v>1748</v>
      </c>
      <c r="C739" t="s">
        <v>4793</v>
      </c>
      <c r="D739">
        <v>1195</v>
      </c>
      <c r="E739">
        <v>12</v>
      </c>
      <c r="F739" t="s">
        <v>4509</v>
      </c>
      <c r="G739" t="s">
        <v>4764</v>
      </c>
      <c r="I739" t="s">
        <v>1534</v>
      </c>
      <c r="J739" t="s">
        <v>8668</v>
      </c>
      <c r="L739">
        <v>1</v>
      </c>
      <c r="M739" t="s">
        <v>4509</v>
      </c>
      <c r="N739" t="s">
        <v>6565</v>
      </c>
      <c r="O739" t="s">
        <v>104</v>
      </c>
      <c r="P739" t="s">
        <v>6566</v>
      </c>
      <c r="Q739" t="s">
        <v>6567</v>
      </c>
      <c r="R739" s="16" t="s">
        <v>8586</v>
      </c>
      <c r="S739" s="16" t="s">
        <v>8292</v>
      </c>
      <c r="T739" t="s">
        <v>1748</v>
      </c>
      <c r="U739">
        <v>0</v>
      </c>
    </row>
    <row r="740" spans="1:21">
      <c r="A740">
        <v>739</v>
      </c>
      <c r="B740" t="s">
        <v>1756</v>
      </c>
      <c r="C740" t="s">
        <v>4798</v>
      </c>
      <c r="D740">
        <v>1252</v>
      </c>
      <c r="E740">
        <v>13</v>
      </c>
      <c r="F740" t="s">
        <v>4554</v>
      </c>
      <c r="G740" t="s">
        <v>4764</v>
      </c>
      <c r="I740" t="s">
        <v>1539</v>
      </c>
      <c r="J740" t="s">
        <v>8668</v>
      </c>
      <c r="L740">
        <v>1</v>
      </c>
      <c r="M740" t="s">
        <v>4554</v>
      </c>
      <c r="N740" t="s">
        <v>6520</v>
      </c>
      <c r="O740" t="s">
        <v>104</v>
      </c>
      <c r="P740" t="s">
        <v>6521</v>
      </c>
      <c r="Q740" t="s">
        <v>6522</v>
      </c>
      <c r="R740" s="16" t="s">
        <v>8602</v>
      </c>
      <c r="S740" s="16" t="s">
        <v>8308</v>
      </c>
      <c r="T740" t="s">
        <v>1756</v>
      </c>
      <c r="U740">
        <v>0</v>
      </c>
    </row>
    <row r="741" spans="1:21">
      <c r="A741">
        <v>750</v>
      </c>
      <c r="B741" t="s">
        <v>1767</v>
      </c>
      <c r="C741" t="s">
        <v>4744</v>
      </c>
      <c r="D741">
        <v>1293</v>
      </c>
      <c r="E741">
        <v>13</v>
      </c>
      <c r="F741" t="s">
        <v>4449</v>
      </c>
      <c r="G741" t="s">
        <v>4764</v>
      </c>
      <c r="I741" t="s">
        <v>1544</v>
      </c>
      <c r="J741" t="s">
        <v>8668</v>
      </c>
      <c r="L741">
        <v>1</v>
      </c>
      <c r="M741" t="s">
        <v>4532</v>
      </c>
      <c r="N741" t="s">
        <v>6308</v>
      </c>
      <c r="O741" t="s">
        <v>104</v>
      </c>
      <c r="P741">
        <v>32830</v>
      </c>
      <c r="Q741">
        <v>481980</v>
      </c>
      <c r="R741" s="16" t="s">
        <v>8366</v>
      </c>
      <c r="S741" s="16" t="s">
        <v>8071</v>
      </c>
      <c r="T741" t="s">
        <v>1767</v>
      </c>
      <c r="U741">
        <v>0</v>
      </c>
    </row>
    <row r="742" spans="1:21">
      <c r="A742">
        <v>735</v>
      </c>
      <c r="B742" t="s">
        <v>1752</v>
      </c>
      <c r="C742" t="s">
        <v>4795</v>
      </c>
      <c r="D742">
        <v>1231</v>
      </c>
      <c r="E742">
        <v>13</v>
      </c>
      <c r="F742" t="s">
        <v>4502</v>
      </c>
      <c r="G742" t="s">
        <v>4764</v>
      </c>
      <c r="I742" t="s">
        <v>1536</v>
      </c>
      <c r="J742" t="s">
        <v>8668</v>
      </c>
      <c r="L742">
        <v>1</v>
      </c>
      <c r="M742" t="s">
        <v>4502</v>
      </c>
      <c r="N742" t="s">
        <v>6456</v>
      </c>
      <c r="O742" t="s">
        <v>104</v>
      </c>
      <c r="P742">
        <v>23522</v>
      </c>
      <c r="Q742">
        <v>488566</v>
      </c>
      <c r="R742" s="16" t="s">
        <v>8364</v>
      </c>
      <c r="S742" s="16" t="s">
        <v>8069</v>
      </c>
      <c r="T742" t="s">
        <v>1752</v>
      </c>
      <c r="U742">
        <v>0</v>
      </c>
    </row>
    <row r="743" spans="1:21">
      <c r="A743">
        <v>714</v>
      </c>
      <c r="B743" t="s">
        <v>2105</v>
      </c>
      <c r="C743" t="s">
        <v>4784</v>
      </c>
      <c r="D743">
        <v>1093</v>
      </c>
      <c r="E743">
        <v>11</v>
      </c>
      <c r="F743" t="s">
        <v>4435</v>
      </c>
      <c r="G743" t="s">
        <v>4764</v>
      </c>
      <c r="I743" t="s">
        <v>1522</v>
      </c>
      <c r="J743" t="s">
        <v>8668</v>
      </c>
      <c r="L743">
        <v>1</v>
      </c>
      <c r="M743" t="s">
        <v>4435</v>
      </c>
      <c r="N743" t="s">
        <v>6610</v>
      </c>
      <c r="O743" t="s">
        <v>104</v>
      </c>
      <c r="P743" t="s">
        <v>6611</v>
      </c>
      <c r="Q743" t="s">
        <v>6612</v>
      </c>
      <c r="R743" s="16" t="s">
        <v>8651</v>
      </c>
      <c r="S743" s="16" t="s">
        <v>8353</v>
      </c>
      <c r="T743" t="s">
        <v>8031</v>
      </c>
      <c r="U743">
        <v>0</v>
      </c>
    </row>
    <row r="744" spans="1:21">
      <c r="A744">
        <v>732</v>
      </c>
      <c r="B744" t="s">
        <v>4792</v>
      </c>
      <c r="C744" t="s">
        <v>4517</v>
      </c>
      <c r="D744">
        <v>1200</v>
      </c>
      <c r="E744">
        <v>13</v>
      </c>
      <c r="F744" t="s">
        <v>4518</v>
      </c>
      <c r="G744" t="s">
        <v>4764</v>
      </c>
      <c r="I744" t="s">
        <v>1533</v>
      </c>
      <c r="J744" t="s">
        <v>8668</v>
      </c>
      <c r="L744">
        <v>1</v>
      </c>
      <c r="M744" t="s">
        <v>4518</v>
      </c>
      <c r="N744" t="s">
        <v>6738</v>
      </c>
      <c r="O744" t="s">
        <v>104</v>
      </c>
      <c r="P744" t="s">
        <v>6739</v>
      </c>
      <c r="Q744" t="s">
        <v>6740</v>
      </c>
      <c r="R744" s="16" t="s">
        <v>8650</v>
      </c>
      <c r="S744" s="16" t="s">
        <v>8352</v>
      </c>
      <c r="T744" t="s">
        <v>8030</v>
      </c>
      <c r="U744">
        <v>0</v>
      </c>
    </row>
    <row r="745" spans="1:21">
      <c r="A745">
        <v>752</v>
      </c>
      <c r="B745" t="s">
        <v>1769</v>
      </c>
      <c r="C745" t="s">
        <v>4745</v>
      </c>
      <c r="D745">
        <v>1294</v>
      </c>
      <c r="E745">
        <v>13</v>
      </c>
      <c r="F745" t="s">
        <v>1444</v>
      </c>
      <c r="G745" t="s">
        <v>4764</v>
      </c>
      <c r="I745" t="s">
        <v>1545</v>
      </c>
      <c r="J745" t="s">
        <v>8668</v>
      </c>
      <c r="L745">
        <v>0</v>
      </c>
      <c r="R745" s="16" t="s">
        <v>8064</v>
      </c>
      <c r="S745" s="16" t="s">
        <v>8064</v>
      </c>
      <c r="T745" t="s">
        <v>1769</v>
      </c>
      <c r="U745">
        <v>0</v>
      </c>
    </row>
    <row r="746" spans="1:21">
      <c r="A746">
        <v>723</v>
      </c>
      <c r="B746" t="s">
        <v>4787</v>
      </c>
      <c r="C746" t="s">
        <v>4479</v>
      </c>
      <c r="D746">
        <v>1153</v>
      </c>
      <c r="E746">
        <v>12</v>
      </c>
      <c r="F746" t="s">
        <v>4480</v>
      </c>
      <c r="G746" t="s">
        <v>4764</v>
      </c>
      <c r="I746" t="s">
        <v>1528</v>
      </c>
      <c r="J746" t="s">
        <v>8668</v>
      </c>
      <c r="L746">
        <v>1</v>
      </c>
      <c r="M746" t="s">
        <v>7029</v>
      </c>
      <c r="N746" t="s">
        <v>7030</v>
      </c>
      <c r="O746" t="s">
        <v>6973</v>
      </c>
      <c r="P746">
        <v>-19437</v>
      </c>
      <c r="Q746">
        <v>481303</v>
      </c>
      <c r="R746" s="16" t="s">
        <v>8599</v>
      </c>
      <c r="S746" s="16" t="s">
        <v>8305</v>
      </c>
      <c r="T746" t="s">
        <v>7976</v>
      </c>
      <c r="U746">
        <v>0</v>
      </c>
    </row>
    <row r="747" spans="1:21">
      <c r="A747">
        <v>728</v>
      </c>
      <c r="B747" t="s">
        <v>2113</v>
      </c>
      <c r="C747" t="s">
        <v>463</v>
      </c>
      <c r="D747">
        <v>1172</v>
      </c>
      <c r="E747">
        <v>12</v>
      </c>
      <c r="F747" t="s">
        <v>4473</v>
      </c>
      <c r="G747" t="s">
        <v>4764</v>
      </c>
      <c r="I747" t="s">
        <v>1532</v>
      </c>
      <c r="J747" t="s">
        <v>8668</v>
      </c>
      <c r="L747">
        <v>1</v>
      </c>
      <c r="M747" t="s">
        <v>6839</v>
      </c>
      <c r="N747" t="s">
        <v>6840</v>
      </c>
      <c r="O747" t="s">
        <v>104</v>
      </c>
      <c r="P747" t="s">
        <v>6841</v>
      </c>
      <c r="Q747" t="s">
        <v>6842</v>
      </c>
      <c r="R747" s="16" t="s">
        <v>8594</v>
      </c>
      <c r="S747" s="16" t="s">
        <v>8299</v>
      </c>
      <c r="T747" t="s">
        <v>7973</v>
      </c>
      <c r="U747">
        <v>0</v>
      </c>
    </row>
    <row r="748" spans="1:21">
      <c r="A748">
        <v>751</v>
      </c>
      <c r="B748" t="s">
        <v>1768</v>
      </c>
      <c r="C748" t="s">
        <v>4744</v>
      </c>
      <c r="D748">
        <v>1293</v>
      </c>
      <c r="E748">
        <v>13</v>
      </c>
      <c r="F748" t="s">
        <v>4628</v>
      </c>
      <c r="G748" t="s">
        <v>4764</v>
      </c>
      <c r="I748" t="s">
        <v>1544</v>
      </c>
      <c r="J748" t="s">
        <v>8668</v>
      </c>
      <c r="L748">
        <v>1</v>
      </c>
      <c r="M748" t="s">
        <v>7016</v>
      </c>
      <c r="N748" t="s">
        <v>7017</v>
      </c>
      <c r="O748" t="s">
        <v>6973</v>
      </c>
      <c r="P748">
        <v>15667</v>
      </c>
      <c r="Q748">
        <v>496500</v>
      </c>
      <c r="R748" s="16" t="s">
        <v>8600</v>
      </c>
      <c r="S748" s="16" t="s">
        <v>8306</v>
      </c>
      <c r="T748" t="s">
        <v>1768</v>
      </c>
      <c r="U748">
        <v>0</v>
      </c>
    </row>
    <row r="749" spans="1:21">
      <c r="A749">
        <v>734</v>
      </c>
      <c r="B749" t="s">
        <v>1750</v>
      </c>
      <c r="C749" t="s">
        <v>4524</v>
      </c>
      <c r="D749">
        <v>1221</v>
      </c>
      <c r="E749">
        <v>13</v>
      </c>
      <c r="F749" t="s">
        <v>1444</v>
      </c>
      <c r="G749" t="s">
        <v>4764</v>
      </c>
      <c r="I749" t="s">
        <v>1535</v>
      </c>
      <c r="J749" t="s">
        <v>8668</v>
      </c>
      <c r="L749">
        <v>0</v>
      </c>
      <c r="R749" s="16" t="s">
        <v>8064</v>
      </c>
      <c r="S749" s="16" t="s">
        <v>8064</v>
      </c>
      <c r="T749" t="s">
        <v>1750</v>
      </c>
      <c r="U749">
        <v>0</v>
      </c>
    </row>
    <row r="750" spans="1:21">
      <c r="A750">
        <v>720</v>
      </c>
      <c r="B750" t="s">
        <v>1745</v>
      </c>
      <c r="C750" t="s">
        <v>4785</v>
      </c>
      <c r="D750">
        <v>1143</v>
      </c>
      <c r="E750">
        <v>12</v>
      </c>
      <c r="F750" t="s">
        <v>4468</v>
      </c>
      <c r="G750" t="s">
        <v>4764</v>
      </c>
      <c r="I750" t="s">
        <v>1526</v>
      </c>
      <c r="J750" t="s">
        <v>8668</v>
      </c>
      <c r="L750">
        <v>1</v>
      </c>
      <c r="M750" t="s">
        <v>4468</v>
      </c>
      <c r="N750" t="s">
        <v>6378</v>
      </c>
      <c r="O750" t="s">
        <v>104</v>
      </c>
      <c r="P750" t="s">
        <v>6825</v>
      </c>
      <c r="Q750" t="s">
        <v>6519</v>
      </c>
      <c r="R750" s="16" t="s">
        <v>8595</v>
      </c>
      <c r="S750" s="16" t="s">
        <v>8300</v>
      </c>
      <c r="T750" t="s">
        <v>1745</v>
      </c>
      <c r="U750">
        <v>0</v>
      </c>
    </row>
    <row r="751" spans="1:21">
      <c r="A751">
        <v>744</v>
      </c>
      <c r="B751" t="s">
        <v>2116</v>
      </c>
      <c r="C751" t="s">
        <v>4737</v>
      </c>
      <c r="D751">
        <v>1275</v>
      </c>
      <c r="E751">
        <v>13</v>
      </c>
      <c r="F751" t="s">
        <v>1444</v>
      </c>
      <c r="G751" t="s">
        <v>4764</v>
      </c>
      <c r="I751" t="s">
        <v>1542</v>
      </c>
      <c r="J751" t="s">
        <v>8668</v>
      </c>
      <c r="L751">
        <v>0</v>
      </c>
      <c r="R751" s="16" t="s">
        <v>8064</v>
      </c>
      <c r="S751" s="16" t="s">
        <v>8064</v>
      </c>
      <c r="T751" t="s">
        <v>7983</v>
      </c>
      <c r="U751">
        <v>0</v>
      </c>
    </row>
    <row r="752" spans="1:21">
      <c r="A752">
        <v>737</v>
      </c>
      <c r="B752" t="s">
        <v>1754</v>
      </c>
      <c r="C752" t="s">
        <v>707</v>
      </c>
      <c r="D752">
        <v>1240</v>
      </c>
      <c r="E752">
        <v>13</v>
      </c>
      <c r="F752" t="s">
        <v>1444</v>
      </c>
      <c r="G752" t="s">
        <v>4764</v>
      </c>
      <c r="I752" t="s">
        <v>1537</v>
      </c>
      <c r="J752" t="s">
        <v>8668</v>
      </c>
      <c r="L752">
        <v>0</v>
      </c>
      <c r="R752" s="16" t="s">
        <v>8064</v>
      </c>
      <c r="S752" s="16" t="s">
        <v>8064</v>
      </c>
      <c r="T752" t="s">
        <v>1754</v>
      </c>
      <c r="U752">
        <v>0</v>
      </c>
    </row>
    <row r="753" spans="1:21">
      <c r="A753">
        <v>742</v>
      </c>
      <c r="B753" t="s">
        <v>1758</v>
      </c>
      <c r="C753" t="s">
        <v>4571</v>
      </c>
      <c r="D753">
        <v>1271</v>
      </c>
      <c r="E753">
        <v>13</v>
      </c>
      <c r="F753" t="s">
        <v>1444</v>
      </c>
      <c r="G753" t="s">
        <v>4764</v>
      </c>
      <c r="I753" t="s">
        <v>1540</v>
      </c>
      <c r="J753" t="s">
        <v>8668</v>
      </c>
      <c r="L753">
        <v>0</v>
      </c>
      <c r="R753" s="16" t="s">
        <v>8064</v>
      </c>
      <c r="S753" s="16" t="s">
        <v>8064</v>
      </c>
      <c r="T753" t="s">
        <v>1758</v>
      </c>
      <c r="U753">
        <v>0</v>
      </c>
    </row>
    <row r="754" spans="1:21">
      <c r="A754">
        <v>748</v>
      </c>
      <c r="B754" t="s">
        <v>1765</v>
      </c>
      <c r="C754" t="s">
        <v>4742</v>
      </c>
      <c r="D754">
        <v>1285</v>
      </c>
      <c r="E754">
        <v>13</v>
      </c>
      <c r="F754" t="s">
        <v>4611</v>
      </c>
      <c r="G754" t="s">
        <v>4764</v>
      </c>
      <c r="I754" t="s">
        <v>1543</v>
      </c>
      <c r="J754" t="s">
        <v>8668</v>
      </c>
      <c r="L754">
        <v>1</v>
      </c>
      <c r="M754" t="s">
        <v>4611</v>
      </c>
      <c r="N754" t="s">
        <v>6529</v>
      </c>
      <c r="O754" t="s">
        <v>104</v>
      </c>
      <c r="P754" t="s">
        <v>6530</v>
      </c>
      <c r="Q754" t="s">
        <v>6531</v>
      </c>
      <c r="R754" s="16" t="s">
        <v>8601</v>
      </c>
      <c r="S754" s="16" t="s">
        <v>8307</v>
      </c>
      <c r="T754" t="s">
        <v>1765</v>
      </c>
      <c r="U754">
        <v>0</v>
      </c>
    </row>
    <row r="755" spans="1:21">
      <c r="A755">
        <v>792</v>
      </c>
      <c r="B755" t="s">
        <v>7349</v>
      </c>
      <c r="C755" t="s">
        <v>4742</v>
      </c>
      <c r="D755">
        <v>1285</v>
      </c>
      <c r="E755">
        <v>13</v>
      </c>
      <c r="F755" t="s">
        <v>1444</v>
      </c>
      <c r="G755" t="s">
        <v>9277</v>
      </c>
      <c r="I755" t="s">
        <v>1799</v>
      </c>
      <c r="J755" t="s">
        <v>8818</v>
      </c>
      <c r="L755">
        <v>0</v>
      </c>
      <c r="R755" s="16" t="s">
        <v>8064</v>
      </c>
      <c r="S755" s="16" t="s">
        <v>8064</v>
      </c>
      <c r="T755" t="s">
        <v>7349</v>
      </c>
      <c r="U755">
        <v>1</v>
      </c>
    </row>
    <row r="756" spans="1:21">
      <c r="A756">
        <v>789</v>
      </c>
      <c r="B756" t="s">
        <v>7324</v>
      </c>
      <c r="C756" t="s">
        <v>4805</v>
      </c>
      <c r="D756">
        <v>1157</v>
      </c>
      <c r="E756">
        <v>12</v>
      </c>
      <c r="F756" t="s">
        <v>4492</v>
      </c>
      <c r="G756" t="s">
        <v>9278</v>
      </c>
      <c r="I756" t="s">
        <v>1787</v>
      </c>
      <c r="J756" t="s">
        <v>9122</v>
      </c>
      <c r="L756">
        <v>1</v>
      </c>
      <c r="M756" t="s">
        <v>6493</v>
      </c>
      <c r="N756" t="s">
        <v>6473</v>
      </c>
      <c r="O756" t="s">
        <v>11</v>
      </c>
      <c r="P756">
        <v>123155</v>
      </c>
      <c r="Q756">
        <v>454408</v>
      </c>
      <c r="R756" s="16" t="s">
        <v>8385</v>
      </c>
      <c r="S756" s="16" t="s">
        <v>8089</v>
      </c>
      <c r="T756" t="s">
        <v>7828</v>
      </c>
      <c r="U756">
        <v>1</v>
      </c>
    </row>
    <row r="757" spans="1:21">
      <c r="A757">
        <v>814</v>
      </c>
      <c r="B757" t="s">
        <v>7704</v>
      </c>
      <c r="C757" t="s">
        <v>4706</v>
      </c>
      <c r="D757">
        <v>1154</v>
      </c>
      <c r="E757">
        <v>12</v>
      </c>
      <c r="F757" t="s">
        <v>4487</v>
      </c>
      <c r="G757" t="s">
        <v>9279</v>
      </c>
      <c r="I757" t="s">
        <v>1784</v>
      </c>
      <c r="J757" t="s">
        <v>9049</v>
      </c>
      <c r="L757">
        <v>1</v>
      </c>
      <c r="M757" t="s">
        <v>4487</v>
      </c>
      <c r="N757" t="s">
        <v>6604</v>
      </c>
      <c r="O757" t="s">
        <v>3995</v>
      </c>
      <c r="P757" t="s">
        <v>6605</v>
      </c>
      <c r="Q757" t="s">
        <v>6606</v>
      </c>
      <c r="R757" s="16" t="s">
        <v>8376</v>
      </c>
      <c r="S757" s="16" t="s">
        <v>8080</v>
      </c>
      <c r="T757" t="s">
        <v>7704</v>
      </c>
      <c r="U757">
        <v>1</v>
      </c>
    </row>
    <row r="758" spans="1:21">
      <c r="A758">
        <v>776</v>
      </c>
      <c r="B758" t="s">
        <v>7320</v>
      </c>
      <c r="C758" t="s">
        <v>4562</v>
      </c>
      <c r="D758">
        <v>1277</v>
      </c>
      <c r="E758">
        <v>13</v>
      </c>
      <c r="F758" t="s">
        <v>1444</v>
      </c>
      <c r="G758" t="s">
        <v>9276</v>
      </c>
      <c r="J758" t="s">
        <v>8817</v>
      </c>
      <c r="L758">
        <v>0</v>
      </c>
      <c r="R758" s="16" t="s">
        <v>8064</v>
      </c>
      <c r="S758" s="16" t="s">
        <v>8064</v>
      </c>
      <c r="T758" t="s">
        <v>7320</v>
      </c>
      <c r="U758">
        <v>1</v>
      </c>
    </row>
    <row r="759" spans="1:21">
      <c r="A759">
        <v>760</v>
      </c>
      <c r="B759" t="s">
        <v>4695</v>
      </c>
      <c r="C759" t="s">
        <v>4696</v>
      </c>
      <c r="D759">
        <v>1151</v>
      </c>
      <c r="E759">
        <v>12</v>
      </c>
      <c r="F759" t="s">
        <v>4471</v>
      </c>
      <c r="G759" t="s">
        <v>4697</v>
      </c>
      <c r="I759" t="s">
        <v>4698</v>
      </c>
      <c r="J759" t="s">
        <v>8668</v>
      </c>
      <c r="L759">
        <v>1</v>
      </c>
      <c r="M759" t="s">
        <v>6320</v>
      </c>
      <c r="N759" t="s">
        <v>6986</v>
      </c>
      <c r="O759" t="s">
        <v>6973</v>
      </c>
      <c r="P759">
        <v>46350</v>
      </c>
      <c r="Q759">
        <v>497790</v>
      </c>
      <c r="R759" s="16" t="s">
        <v>8473</v>
      </c>
      <c r="S759" s="16" t="s">
        <v>8177</v>
      </c>
      <c r="T759" t="s">
        <v>4695</v>
      </c>
      <c r="U759">
        <v>0</v>
      </c>
    </row>
    <row r="760" spans="1:21">
      <c r="A760">
        <v>761</v>
      </c>
      <c r="B760" t="s">
        <v>7314</v>
      </c>
      <c r="C760" t="s">
        <v>4467</v>
      </c>
      <c r="D760">
        <v>1157</v>
      </c>
      <c r="E760">
        <v>12</v>
      </c>
      <c r="F760" t="s">
        <v>1444</v>
      </c>
      <c r="G760" t="s">
        <v>4697</v>
      </c>
      <c r="J760" t="s">
        <v>8668</v>
      </c>
      <c r="L760">
        <v>0</v>
      </c>
      <c r="R760" s="16" t="s">
        <v>8064</v>
      </c>
      <c r="S760" s="16" t="s">
        <v>8064</v>
      </c>
      <c r="T760" t="s">
        <v>7314</v>
      </c>
      <c r="U760">
        <v>0</v>
      </c>
    </row>
    <row r="761" spans="1:21">
      <c r="A761">
        <v>767</v>
      </c>
      <c r="B761" t="s">
        <v>4893</v>
      </c>
      <c r="C761">
        <v>1170</v>
      </c>
      <c r="D761">
        <v>1170</v>
      </c>
      <c r="E761">
        <v>12</v>
      </c>
      <c r="F761" t="s">
        <v>4471</v>
      </c>
      <c r="G761" t="s">
        <v>4697</v>
      </c>
      <c r="I761" t="s">
        <v>4894</v>
      </c>
      <c r="J761" t="s">
        <v>8668</v>
      </c>
      <c r="L761">
        <v>1</v>
      </c>
      <c r="M761" t="s">
        <v>6320</v>
      </c>
      <c r="N761" t="s">
        <v>6986</v>
      </c>
      <c r="O761" t="s">
        <v>6973</v>
      </c>
      <c r="P761">
        <v>46350</v>
      </c>
      <c r="Q761">
        <v>497790</v>
      </c>
      <c r="R761" s="16" t="s">
        <v>8473</v>
      </c>
      <c r="S761" s="16" t="s">
        <v>8177</v>
      </c>
      <c r="T761" t="s">
        <v>4893</v>
      </c>
      <c r="U761">
        <v>0</v>
      </c>
    </row>
    <row r="762" spans="1:21">
      <c r="A762">
        <v>759</v>
      </c>
      <c r="B762" t="s">
        <v>4890</v>
      </c>
      <c r="C762">
        <v>1148</v>
      </c>
      <c r="D762">
        <v>1148</v>
      </c>
      <c r="E762">
        <v>12</v>
      </c>
      <c r="F762" t="s">
        <v>4472</v>
      </c>
      <c r="G762" t="s">
        <v>4697</v>
      </c>
      <c r="I762" t="s">
        <v>1780</v>
      </c>
      <c r="J762" t="s">
        <v>8668</v>
      </c>
      <c r="L762">
        <v>1</v>
      </c>
      <c r="M762" t="s">
        <v>6839</v>
      </c>
      <c r="N762" t="s">
        <v>6840</v>
      </c>
      <c r="O762" t="s">
        <v>104</v>
      </c>
      <c r="P762" t="s">
        <v>6841</v>
      </c>
      <c r="Q762" t="s">
        <v>6842</v>
      </c>
      <c r="R762" s="16" t="s">
        <v>8594</v>
      </c>
      <c r="S762" s="16" t="s">
        <v>8299</v>
      </c>
      <c r="T762" t="s">
        <v>4890</v>
      </c>
      <c r="U762">
        <v>0</v>
      </c>
    </row>
    <row r="763" spans="1:21">
      <c r="A763">
        <v>754</v>
      </c>
      <c r="B763" t="s">
        <v>2102</v>
      </c>
      <c r="C763" t="s">
        <v>5006</v>
      </c>
      <c r="D763">
        <v>977</v>
      </c>
      <c r="E763">
        <v>10</v>
      </c>
      <c r="F763" t="s">
        <v>4358</v>
      </c>
      <c r="G763" t="s">
        <v>4697</v>
      </c>
      <c r="J763" t="s">
        <v>8668</v>
      </c>
      <c r="L763">
        <v>1</v>
      </c>
      <c r="M763" t="s">
        <v>4362</v>
      </c>
      <c r="N763" t="s">
        <v>6373</v>
      </c>
      <c r="O763" t="s">
        <v>104</v>
      </c>
      <c r="P763">
        <v>46540</v>
      </c>
      <c r="Q763">
        <v>464340</v>
      </c>
      <c r="R763" s="16" t="s">
        <v>8392</v>
      </c>
      <c r="S763" s="16" t="s">
        <v>8096</v>
      </c>
      <c r="T763" t="s">
        <v>7992</v>
      </c>
      <c r="U763">
        <v>0</v>
      </c>
    </row>
    <row r="764" spans="1:21">
      <c r="A764">
        <v>753</v>
      </c>
      <c r="B764" t="s">
        <v>1725</v>
      </c>
      <c r="C764" t="s">
        <v>5007</v>
      </c>
      <c r="D764">
        <v>945</v>
      </c>
      <c r="E764">
        <v>10</v>
      </c>
      <c r="F764" t="s">
        <v>4358</v>
      </c>
      <c r="G764" t="s">
        <v>4697</v>
      </c>
      <c r="J764" t="s">
        <v>8668</v>
      </c>
      <c r="L764">
        <v>1</v>
      </c>
      <c r="M764" t="s">
        <v>4362</v>
      </c>
      <c r="N764" t="s">
        <v>6373</v>
      </c>
      <c r="O764" t="s">
        <v>104</v>
      </c>
      <c r="P764">
        <v>46540</v>
      </c>
      <c r="Q764">
        <v>464340</v>
      </c>
      <c r="R764" s="16" t="s">
        <v>8392</v>
      </c>
      <c r="S764" s="16" t="s">
        <v>8096</v>
      </c>
      <c r="T764" t="s">
        <v>1725</v>
      </c>
      <c r="U764">
        <v>0</v>
      </c>
    </row>
    <row r="765" spans="1:21">
      <c r="A765">
        <v>755</v>
      </c>
      <c r="B765" t="s">
        <v>1733</v>
      </c>
      <c r="C765" t="s">
        <v>5008</v>
      </c>
      <c r="D765">
        <v>984</v>
      </c>
      <c r="E765">
        <v>10</v>
      </c>
      <c r="F765" t="s">
        <v>4358</v>
      </c>
      <c r="G765" t="s">
        <v>4697</v>
      </c>
      <c r="J765" t="s">
        <v>8668</v>
      </c>
      <c r="L765">
        <v>1</v>
      </c>
      <c r="M765" t="s">
        <v>4362</v>
      </c>
      <c r="N765" t="s">
        <v>6373</v>
      </c>
      <c r="O765" t="s">
        <v>104</v>
      </c>
      <c r="P765">
        <v>46540</v>
      </c>
      <c r="Q765">
        <v>464340</v>
      </c>
      <c r="R765" s="16" t="s">
        <v>8392</v>
      </c>
      <c r="S765" s="16" t="s">
        <v>8096</v>
      </c>
      <c r="T765" t="s">
        <v>1733</v>
      </c>
      <c r="U765">
        <v>0</v>
      </c>
    </row>
    <row r="766" spans="1:21">
      <c r="A766">
        <v>758</v>
      </c>
      <c r="B766" t="s">
        <v>5010</v>
      </c>
      <c r="C766" t="s">
        <v>5011</v>
      </c>
      <c r="D766">
        <v>1070</v>
      </c>
      <c r="E766">
        <v>11</v>
      </c>
      <c r="F766" t="s">
        <v>4423</v>
      </c>
      <c r="G766" t="s">
        <v>4697</v>
      </c>
      <c r="J766" t="s">
        <v>8668</v>
      </c>
      <c r="L766">
        <v>1</v>
      </c>
      <c r="M766" t="s">
        <v>6483</v>
      </c>
      <c r="N766" t="s">
        <v>6484</v>
      </c>
      <c r="O766" t="s">
        <v>6290</v>
      </c>
      <c r="P766">
        <v>-38090</v>
      </c>
      <c r="Q766">
        <v>423540</v>
      </c>
      <c r="R766" s="16" t="s">
        <v>8425</v>
      </c>
      <c r="S766" s="16" t="s">
        <v>8129</v>
      </c>
      <c r="T766" t="s">
        <v>7990</v>
      </c>
      <c r="U766">
        <v>0</v>
      </c>
    </row>
    <row r="767" spans="1:21">
      <c r="A767">
        <v>757</v>
      </c>
      <c r="B767" t="s">
        <v>1739</v>
      </c>
      <c r="C767" t="s">
        <v>5012</v>
      </c>
      <c r="D767">
        <v>1050</v>
      </c>
      <c r="E767">
        <v>11</v>
      </c>
      <c r="F767" t="s">
        <v>4408</v>
      </c>
      <c r="G767" t="s">
        <v>4697</v>
      </c>
      <c r="J767" t="s">
        <v>8668</v>
      </c>
      <c r="L767">
        <v>1</v>
      </c>
      <c r="M767" t="s">
        <v>6389</v>
      </c>
      <c r="N767" t="s">
        <v>6389</v>
      </c>
      <c r="O767" t="s">
        <v>6390</v>
      </c>
      <c r="P767">
        <v>64790</v>
      </c>
      <c r="Q767">
        <v>498110</v>
      </c>
      <c r="R767" s="16" t="s">
        <v>8576</v>
      </c>
      <c r="S767" s="16" t="s">
        <v>8281</v>
      </c>
      <c r="T767" t="s">
        <v>1739</v>
      </c>
      <c r="U767">
        <v>0</v>
      </c>
    </row>
    <row r="768" spans="1:21">
      <c r="A768">
        <v>756</v>
      </c>
      <c r="B768" t="s">
        <v>1736</v>
      </c>
      <c r="C768" t="s">
        <v>4773</v>
      </c>
      <c r="D768">
        <v>1003</v>
      </c>
      <c r="E768">
        <v>11</v>
      </c>
      <c r="F768" t="s">
        <v>4362</v>
      </c>
      <c r="G768" t="s">
        <v>4697</v>
      </c>
      <c r="J768" t="s">
        <v>8668</v>
      </c>
      <c r="L768">
        <v>1</v>
      </c>
      <c r="M768" t="s">
        <v>4362</v>
      </c>
      <c r="N768" t="s">
        <v>6373</v>
      </c>
      <c r="O768" t="s">
        <v>104</v>
      </c>
      <c r="P768">
        <v>46540</v>
      </c>
      <c r="Q768">
        <v>464340</v>
      </c>
      <c r="R768" s="16" t="s">
        <v>8392</v>
      </c>
      <c r="S768" s="16" t="s">
        <v>8096</v>
      </c>
      <c r="T768" t="s">
        <v>1736</v>
      </c>
      <c r="U768">
        <v>0</v>
      </c>
    </row>
    <row r="769" spans="1:21">
      <c r="A769">
        <v>777</v>
      </c>
      <c r="B769" t="s">
        <v>2117</v>
      </c>
      <c r="C769" t="s">
        <v>5014</v>
      </c>
      <c r="D769">
        <v>1287</v>
      </c>
      <c r="E769">
        <v>13</v>
      </c>
      <c r="F769" t="s">
        <v>4502</v>
      </c>
      <c r="G769" t="s">
        <v>4697</v>
      </c>
      <c r="J769" t="s">
        <v>8668</v>
      </c>
      <c r="L769">
        <v>1</v>
      </c>
      <c r="M769" t="s">
        <v>4502</v>
      </c>
      <c r="N769" t="s">
        <v>6456</v>
      </c>
      <c r="O769" t="s">
        <v>104</v>
      </c>
      <c r="P769">
        <v>23522</v>
      </c>
      <c r="Q769">
        <v>488566</v>
      </c>
      <c r="R769" s="16" t="s">
        <v>8364</v>
      </c>
      <c r="S769" s="16" t="s">
        <v>8069</v>
      </c>
      <c r="T769" t="s">
        <v>7991</v>
      </c>
      <c r="U769">
        <v>0</v>
      </c>
    </row>
    <row r="770" spans="1:21">
      <c r="A770">
        <v>766</v>
      </c>
      <c r="B770" t="s">
        <v>7315</v>
      </c>
      <c r="C770" t="s">
        <v>4500</v>
      </c>
      <c r="D770">
        <v>1168</v>
      </c>
      <c r="E770">
        <v>12</v>
      </c>
      <c r="F770" t="s">
        <v>1444</v>
      </c>
      <c r="G770" t="s">
        <v>4697</v>
      </c>
      <c r="J770" t="s">
        <v>8668</v>
      </c>
      <c r="L770">
        <v>0</v>
      </c>
      <c r="R770" s="16" t="s">
        <v>8064</v>
      </c>
      <c r="S770" s="16" t="s">
        <v>8064</v>
      </c>
      <c r="T770" t="s">
        <v>7315</v>
      </c>
      <c r="U770">
        <v>0</v>
      </c>
    </row>
    <row r="771" spans="1:21">
      <c r="A771">
        <v>763</v>
      </c>
      <c r="B771" t="s">
        <v>7309</v>
      </c>
      <c r="C771" t="s">
        <v>5019</v>
      </c>
      <c r="D771">
        <v>1161</v>
      </c>
      <c r="E771">
        <v>12</v>
      </c>
      <c r="F771" t="s">
        <v>4369</v>
      </c>
      <c r="G771" t="s">
        <v>4697</v>
      </c>
      <c r="J771" t="s">
        <v>8668</v>
      </c>
      <c r="L771">
        <v>1</v>
      </c>
      <c r="M771" t="s">
        <v>4369</v>
      </c>
      <c r="N771" t="s">
        <v>6787</v>
      </c>
      <c r="O771" t="s">
        <v>104</v>
      </c>
      <c r="P771" t="s">
        <v>6788</v>
      </c>
      <c r="Q771" t="s">
        <v>6789</v>
      </c>
      <c r="R771" s="16" t="s">
        <v>8463</v>
      </c>
      <c r="S771" s="16" t="s">
        <v>8167</v>
      </c>
      <c r="T771" t="s">
        <v>7309</v>
      </c>
      <c r="U771">
        <v>0</v>
      </c>
    </row>
    <row r="772" spans="1:21">
      <c r="A772">
        <v>778</v>
      </c>
      <c r="B772" t="s">
        <v>7316</v>
      </c>
      <c r="C772" t="s">
        <v>5020</v>
      </c>
      <c r="D772">
        <v>1288</v>
      </c>
      <c r="E772">
        <v>13</v>
      </c>
      <c r="F772" t="s">
        <v>1444</v>
      </c>
      <c r="G772" t="s">
        <v>4697</v>
      </c>
      <c r="J772" t="s">
        <v>8668</v>
      </c>
      <c r="L772">
        <v>0</v>
      </c>
      <c r="R772" s="16" t="s">
        <v>8064</v>
      </c>
      <c r="S772" s="16" t="s">
        <v>8064</v>
      </c>
      <c r="T772" t="s">
        <v>7316</v>
      </c>
      <c r="U772">
        <v>0</v>
      </c>
    </row>
    <row r="773" spans="1:21">
      <c r="A773">
        <v>772</v>
      </c>
      <c r="B773" t="s">
        <v>7317</v>
      </c>
      <c r="C773" t="s">
        <v>4558</v>
      </c>
      <c r="D773">
        <v>1255</v>
      </c>
      <c r="E773">
        <v>13</v>
      </c>
      <c r="F773" t="s">
        <v>1444</v>
      </c>
      <c r="G773" t="s">
        <v>4697</v>
      </c>
      <c r="J773" t="s">
        <v>8668</v>
      </c>
      <c r="L773">
        <v>0</v>
      </c>
      <c r="R773" s="16" t="s">
        <v>8064</v>
      </c>
      <c r="S773" s="16" t="s">
        <v>8064</v>
      </c>
      <c r="T773" t="s">
        <v>7317</v>
      </c>
      <c r="U773">
        <v>0</v>
      </c>
    </row>
    <row r="774" spans="1:21">
      <c r="A774">
        <v>774</v>
      </c>
      <c r="B774" t="s">
        <v>7318</v>
      </c>
      <c r="C774" t="s">
        <v>4604</v>
      </c>
      <c r="D774">
        <v>1282</v>
      </c>
      <c r="E774">
        <v>13</v>
      </c>
      <c r="F774" t="s">
        <v>1444</v>
      </c>
      <c r="G774" t="s">
        <v>4697</v>
      </c>
      <c r="J774" t="s">
        <v>8668</v>
      </c>
      <c r="L774">
        <v>0</v>
      </c>
      <c r="R774" s="16" t="s">
        <v>8064</v>
      </c>
      <c r="S774" s="16" t="s">
        <v>8064</v>
      </c>
      <c r="T774" t="s">
        <v>7318</v>
      </c>
      <c r="U774">
        <v>0</v>
      </c>
    </row>
    <row r="775" spans="1:21">
      <c r="A775">
        <v>780</v>
      </c>
      <c r="B775" t="s">
        <v>4937</v>
      </c>
      <c r="C775">
        <v>1300</v>
      </c>
      <c r="D775">
        <v>1300</v>
      </c>
      <c r="E775">
        <v>13</v>
      </c>
      <c r="F775" t="s">
        <v>1444</v>
      </c>
      <c r="G775" t="s">
        <v>4697</v>
      </c>
      <c r="I775" t="s">
        <v>4938</v>
      </c>
      <c r="J775" t="s">
        <v>8668</v>
      </c>
      <c r="L775">
        <v>0</v>
      </c>
      <c r="R775" s="16" t="s">
        <v>8064</v>
      </c>
      <c r="S775" s="16" t="s">
        <v>8064</v>
      </c>
      <c r="T775" t="s">
        <v>4937</v>
      </c>
      <c r="U775">
        <v>0</v>
      </c>
    </row>
    <row r="776" spans="1:21">
      <c r="A776">
        <v>768</v>
      </c>
      <c r="B776" t="s">
        <v>7311</v>
      </c>
      <c r="C776" t="s">
        <v>5026</v>
      </c>
      <c r="D776">
        <v>1196</v>
      </c>
      <c r="E776">
        <v>12</v>
      </c>
      <c r="F776" t="s">
        <v>4485</v>
      </c>
      <c r="G776" t="s">
        <v>4697</v>
      </c>
      <c r="J776" t="s">
        <v>8668</v>
      </c>
      <c r="L776">
        <v>1</v>
      </c>
      <c r="M776" t="s">
        <v>6504</v>
      </c>
      <c r="N776" t="s">
        <v>6505</v>
      </c>
      <c r="O776" t="s">
        <v>104</v>
      </c>
      <c r="P776" t="s">
        <v>6506</v>
      </c>
      <c r="Q776" t="s">
        <v>6507</v>
      </c>
      <c r="R776" s="16" t="s">
        <v>8465</v>
      </c>
      <c r="S776" s="16" t="s">
        <v>8169</v>
      </c>
      <c r="T776" t="s">
        <v>7824</v>
      </c>
      <c r="U776">
        <v>0</v>
      </c>
    </row>
    <row r="777" spans="1:21">
      <c r="A777">
        <v>769</v>
      </c>
      <c r="B777" t="s">
        <v>4913</v>
      </c>
      <c r="C777" t="s">
        <v>4523</v>
      </c>
      <c r="D777">
        <v>1218</v>
      </c>
      <c r="E777">
        <v>13</v>
      </c>
      <c r="F777" t="s">
        <v>4481</v>
      </c>
      <c r="G777" t="s">
        <v>4697</v>
      </c>
      <c r="I777" t="s">
        <v>1789</v>
      </c>
      <c r="J777" t="s">
        <v>8668</v>
      </c>
      <c r="L777">
        <v>1</v>
      </c>
      <c r="M777" t="s">
        <v>6504</v>
      </c>
      <c r="N777" t="s">
        <v>6505</v>
      </c>
      <c r="O777" t="s">
        <v>104</v>
      </c>
      <c r="P777" t="s">
        <v>6506</v>
      </c>
      <c r="Q777" t="s">
        <v>6507</v>
      </c>
      <c r="R777" s="16" t="s">
        <v>8465</v>
      </c>
      <c r="S777" s="16" t="s">
        <v>8169</v>
      </c>
      <c r="T777" t="s">
        <v>4913</v>
      </c>
      <c r="U777">
        <v>0</v>
      </c>
    </row>
    <row r="778" spans="1:21">
      <c r="A778">
        <v>770</v>
      </c>
      <c r="B778" t="s">
        <v>7313</v>
      </c>
      <c r="C778" t="s">
        <v>5027</v>
      </c>
      <c r="D778">
        <v>1231</v>
      </c>
      <c r="E778">
        <v>13</v>
      </c>
      <c r="F778" t="s">
        <v>4481</v>
      </c>
      <c r="G778" t="s">
        <v>4697</v>
      </c>
      <c r="J778" t="s">
        <v>8668</v>
      </c>
      <c r="L778">
        <v>1</v>
      </c>
      <c r="M778" t="s">
        <v>6504</v>
      </c>
      <c r="N778" t="s">
        <v>6505</v>
      </c>
      <c r="O778" t="s">
        <v>104</v>
      </c>
      <c r="P778" t="s">
        <v>6506</v>
      </c>
      <c r="Q778" t="s">
        <v>6507</v>
      </c>
      <c r="R778" s="16" t="s">
        <v>8465</v>
      </c>
      <c r="S778" s="16" t="s">
        <v>8169</v>
      </c>
      <c r="T778" t="s">
        <v>7825</v>
      </c>
      <c r="U778">
        <v>0</v>
      </c>
    </row>
    <row r="779" spans="1:21">
      <c r="A779">
        <v>764</v>
      </c>
      <c r="B779" t="s">
        <v>7319</v>
      </c>
      <c r="C779" t="s">
        <v>4482</v>
      </c>
      <c r="D779">
        <v>1163</v>
      </c>
      <c r="E779">
        <v>12</v>
      </c>
      <c r="F779" t="s">
        <v>1444</v>
      </c>
      <c r="G779" t="s">
        <v>4697</v>
      </c>
      <c r="I779" t="s">
        <v>1783</v>
      </c>
      <c r="J779" t="s">
        <v>8668</v>
      </c>
      <c r="L779">
        <v>0</v>
      </c>
      <c r="R779" s="16" t="s">
        <v>8064</v>
      </c>
      <c r="S779" s="16" t="s">
        <v>8064</v>
      </c>
      <c r="T779" t="s">
        <v>7319</v>
      </c>
      <c r="U779">
        <v>0</v>
      </c>
    </row>
    <row r="780" spans="1:21">
      <c r="A780">
        <v>779</v>
      </c>
      <c r="B780" t="s">
        <v>4939</v>
      </c>
      <c r="C780" t="s">
        <v>4940</v>
      </c>
      <c r="D780">
        <v>1300</v>
      </c>
      <c r="E780">
        <v>13</v>
      </c>
      <c r="F780" t="s">
        <v>4395</v>
      </c>
      <c r="G780" t="s">
        <v>4697</v>
      </c>
      <c r="I780" t="s">
        <v>4938</v>
      </c>
      <c r="J780" t="s">
        <v>8668</v>
      </c>
      <c r="L780">
        <v>1</v>
      </c>
      <c r="M780" t="s">
        <v>6383</v>
      </c>
      <c r="N780" t="s">
        <v>6308</v>
      </c>
      <c r="O780" t="s">
        <v>104</v>
      </c>
      <c r="P780">
        <v>50450</v>
      </c>
      <c r="Q780">
        <v>473220</v>
      </c>
      <c r="R780" s="16" t="s">
        <v>8588</v>
      </c>
      <c r="S780" s="16" t="s">
        <v>8293</v>
      </c>
      <c r="T780" t="s">
        <v>4939</v>
      </c>
      <c r="U780">
        <v>0</v>
      </c>
    </row>
    <row r="781" spans="1:21">
      <c r="A781">
        <v>765</v>
      </c>
      <c r="B781" t="s">
        <v>7312</v>
      </c>
      <c r="C781" t="s">
        <v>4352</v>
      </c>
      <c r="D781">
        <v>1163</v>
      </c>
      <c r="E781">
        <v>12</v>
      </c>
      <c r="F781" t="s">
        <v>4485</v>
      </c>
      <c r="G781" t="s">
        <v>4697</v>
      </c>
      <c r="J781" t="s">
        <v>8668</v>
      </c>
      <c r="L781">
        <v>1</v>
      </c>
      <c r="M781" t="s">
        <v>6504</v>
      </c>
      <c r="N781" t="s">
        <v>6505</v>
      </c>
      <c r="O781" t="s">
        <v>104</v>
      </c>
      <c r="P781" t="s">
        <v>6506</v>
      </c>
      <c r="Q781" t="s">
        <v>6507</v>
      </c>
      <c r="R781" s="16" t="s">
        <v>8465</v>
      </c>
      <c r="S781" s="16" t="s">
        <v>8169</v>
      </c>
      <c r="T781" t="s">
        <v>7312</v>
      </c>
      <c r="U781">
        <v>0</v>
      </c>
    </row>
    <row r="782" spans="1:21">
      <c r="A782">
        <v>775</v>
      </c>
      <c r="B782" t="s">
        <v>7310</v>
      </c>
      <c r="C782" t="s">
        <v>5028</v>
      </c>
      <c r="D782">
        <v>1283</v>
      </c>
      <c r="E782">
        <v>13</v>
      </c>
      <c r="F782" t="s">
        <v>4607</v>
      </c>
      <c r="G782" t="s">
        <v>4697</v>
      </c>
      <c r="J782" t="s">
        <v>8668</v>
      </c>
      <c r="L782">
        <v>1</v>
      </c>
      <c r="M782" t="s">
        <v>6457</v>
      </c>
      <c r="N782" t="s">
        <v>6357</v>
      </c>
      <c r="O782" t="s">
        <v>104</v>
      </c>
      <c r="P782">
        <v>61750</v>
      </c>
      <c r="Q782">
        <v>491190</v>
      </c>
      <c r="R782" s="16" t="s">
        <v>8464</v>
      </c>
      <c r="S782" s="16" t="s">
        <v>8168</v>
      </c>
      <c r="T782" t="s">
        <v>7310</v>
      </c>
      <c r="U782">
        <v>0</v>
      </c>
    </row>
    <row r="783" spans="1:21">
      <c r="A783">
        <v>762</v>
      </c>
      <c r="B783" t="s">
        <v>7321</v>
      </c>
      <c r="C783" t="s">
        <v>4496</v>
      </c>
      <c r="D783">
        <v>1158</v>
      </c>
      <c r="E783">
        <v>12</v>
      </c>
      <c r="F783" t="s">
        <v>1444</v>
      </c>
      <c r="G783" t="s">
        <v>4697</v>
      </c>
      <c r="J783" t="s">
        <v>8668</v>
      </c>
      <c r="L783">
        <v>0</v>
      </c>
      <c r="R783" s="16" t="s">
        <v>8064</v>
      </c>
      <c r="S783" s="16" t="s">
        <v>8064</v>
      </c>
      <c r="T783" t="s">
        <v>7826</v>
      </c>
      <c r="U783">
        <v>0</v>
      </c>
    </row>
    <row r="784" spans="1:21">
      <c r="A784">
        <v>771</v>
      </c>
      <c r="B784" t="s">
        <v>7322</v>
      </c>
      <c r="C784" t="s">
        <v>5030</v>
      </c>
      <c r="D784">
        <v>1248</v>
      </c>
      <c r="E784">
        <v>13</v>
      </c>
      <c r="F784" t="s">
        <v>1444</v>
      </c>
      <c r="G784" t="s">
        <v>4697</v>
      </c>
      <c r="J784" t="s">
        <v>8668</v>
      </c>
      <c r="L784">
        <v>0</v>
      </c>
      <c r="R784" s="16" t="s">
        <v>8064</v>
      </c>
      <c r="S784" s="16" t="s">
        <v>8064</v>
      </c>
      <c r="T784" t="s">
        <v>7322</v>
      </c>
      <c r="U784">
        <v>0</v>
      </c>
    </row>
    <row r="785" spans="1:21">
      <c r="A785">
        <v>813</v>
      </c>
      <c r="B785" t="s">
        <v>7336</v>
      </c>
      <c r="C785" t="s">
        <v>4742</v>
      </c>
      <c r="D785">
        <v>1285</v>
      </c>
      <c r="E785">
        <v>13</v>
      </c>
      <c r="F785" t="s">
        <v>4610</v>
      </c>
      <c r="G785" t="s">
        <v>4800</v>
      </c>
      <c r="I785" t="s">
        <v>1798</v>
      </c>
      <c r="J785" t="s">
        <v>8668</v>
      </c>
      <c r="L785">
        <v>1</v>
      </c>
      <c r="M785" t="s">
        <v>6361</v>
      </c>
      <c r="N785" t="s">
        <v>6308</v>
      </c>
      <c r="O785" t="s">
        <v>104</v>
      </c>
      <c r="P785">
        <v>43540</v>
      </c>
      <c r="Q785">
        <v>479960</v>
      </c>
      <c r="R785" s="16" t="s">
        <v>8471</v>
      </c>
      <c r="S785" s="16" t="s">
        <v>8175</v>
      </c>
      <c r="T785" t="s">
        <v>7336</v>
      </c>
      <c r="U785">
        <v>0</v>
      </c>
    </row>
    <row r="786" spans="1:21">
      <c r="A786">
        <v>804</v>
      </c>
      <c r="B786" t="s">
        <v>7343</v>
      </c>
      <c r="C786" t="s">
        <v>4541</v>
      </c>
      <c r="D786">
        <v>1236</v>
      </c>
      <c r="E786">
        <v>13</v>
      </c>
      <c r="F786" t="s">
        <v>1444</v>
      </c>
      <c r="G786" t="s">
        <v>4800</v>
      </c>
      <c r="I786" t="s">
        <v>1792</v>
      </c>
      <c r="J786" t="s">
        <v>8668</v>
      </c>
      <c r="L786">
        <v>0</v>
      </c>
      <c r="R786" s="16" t="s">
        <v>8064</v>
      </c>
      <c r="S786" s="16" t="s">
        <v>8064</v>
      </c>
      <c r="T786" t="s">
        <v>7832</v>
      </c>
      <c r="U786">
        <v>0</v>
      </c>
    </row>
    <row r="787" spans="1:21">
      <c r="A787">
        <v>821</v>
      </c>
      <c r="B787" t="s">
        <v>7337</v>
      </c>
      <c r="C787" t="s">
        <v>4810</v>
      </c>
      <c r="D787">
        <v>1295</v>
      </c>
      <c r="E787">
        <v>13</v>
      </c>
      <c r="F787" t="s">
        <v>4411</v>
      </c>
      <c r="G787" t="s">
        <v>4800</v>
      </c>
      <c r="I787" t="s">
        <v>1804</v>
      </c>
      <c r="J787" t="s">
        <v>8668</v>
      </c>
      <c r="L787">
        <v>1</v>
      </c>
      <c r="M787" t="s">
        <v>6356</v>
      </c>
      <c r="N787" t="s">
        <v>6357</v>
      </c>
      <c r="O787" t="s">
        <v>104</v>
      </c>
      <c r="P787">
        <v>43620</v>
      </c>
      <c r="Q787">
        <v>489570</v>
      </c>
      <c r="R787" s="16" t="s">
        <v>8472</v>
      </c>
      <c r="S787" s="16" t="s">
        <v>8176</v>
      </c>
      <c r="T787" t="s">
        <v>7830</v>
      </c>
      <c r="U787">
        <v>0</v>
      </c>
    </row>
    <row r="788" spans="1:21">
      <c r="A788">
        <v>794</v>
      </c>
      <c r="B788" t="s">
        <v>1773</v>
      </c>
      <c r="C788" t="s">
        <v>4474</v>
      </c>
      <c r="D788">
        <v>1161</v>
      </c>
      <c r="E788">
        <v>12</v>
      </c>
      <c r="F788" t="s">
        <v>4473</v>
      </c>
      <c r="G788" t="s">
        <v>4800</v>
      </c>
      <c r="I788" t="s">
        <v>1783</v>
      </c>
      <c r="J788" t="s">
        <v>8668</v>
      </c>
      <c r="L788">
        <v>1</v>
      </c>
      <c r="M788" t="s">
        <v>6839</v>
      </c>
      <c r="N788" t="s">
        <v>6840</v>
      </c>
      <c r="O788" t="s">
        <v>104</v>
      </c>
      <c r="P788" t="s">
        <v>6841</v>
      </c>
      <c r="Q788" t="s">
        <v>6842</v>
      </c>
      <c r="R788" s="16" t="s">
        <v>8594</v>
      </c>
      <c r="S788" s="16" t="s">
        <v>8299</v>
      </c>
      <c r="T788" t="s">
        <v>1773</v>
      </c>
      <c r="U788">
        <v>0</v>
      </c>
    </row>
    <row r="789" spans="1:21">
      <c r="A789">
        <v>786</v>
      </c>
      <c r="B789" t="s">
        <v>1772</v>
      </c>
      <c r="C789" t="s">
        <v>608</v>
      </c>
      <c r="D789">
        <v>1148</v>
      </c>
      <c r="E789">
        <v>12</v>
      </c>
      <c r="F789" t="s">
        <v>4471</v>
      </c>
      <c r="G789" t="s">
        <v>4800</v>
      </c>
      <c r="I789" t="s">
        <v>1782</v>
      </c>
      <c r="J789" t="s">
        <v>8668</v>
      </c>
      <c r="L789">
        <v>1</v>
      </c>
      <c r="M789" t="s">
        <v>6320</v>
      </c>
      <c r="N789" t="s">
        <v>6986</v>
      </c>
      <c r="O789" t="s">
        <v>6973</v>
      </c>
      <c r="P789">
        <v>46350</v>
      </c>
      <c r="Q789">
        <v>497790</v>
      </c>
      <c r="R789" s="16" t="s">
        <v>8473</v>
      </c>
      <c r="S789" s="16" t="s">
        <v>8177</v>
      </c>
      <c r="T789" t="s">
        <v>1772</v>
      </c>
      <c r="U789">
        <v>0</v>
      </c>
    </row>
    <row r="790" spans="1:21">
      <c r="A790">
        <v>787</v>
      </c>
      <c r="B790" t="s">
        <v>1774</v>
      </c>
      <c r="C790" t="s">
        <v>4804</v>
      </c>
      <c r="D790">
        <v>1149</v>
      </c>
      <c r="E790">
        <v>12</v>
      </c>
      <c r="F790" t="s">
        <v>4471</v>
      </c>
      <c r="G790" t="s">
        <v>4800</v>
      </c>
      <c r="I790" t="s">
        <v>1782</v>
      </c>
      <c r="J790" t="s">
        <v>8668</v>
      </c>
      <c r="L790">
        <v>1</v>
      </c>
      <c r="M790" t="s">
        <v>6320</v>
      </c>
      <c r="N790" t="s">
        <v>6986</v>
      </c>
      <c r="O790" t="s">
        <v>6973</v>
      </c>
      <c r="P790">
        <v>46350</v>
      </c>
      <c r="Q790">
        <v>497790</v>
      </c>
      <c r="R790" s="16" t="s">
        <v>8473</v>
      </c>
      <c r="S790" s="16" t="s">
        <v>8177</v>
      </c>
      <c r="T790" t="s">
        <v>1774</v>
      </c>
      <c r="U790">
        <v>0</v>
      </c>
    </row>
    <row r="791" spans="1:21">
      <c r="A791">
        <v>785</v>
      </c>
      <c r="B791" t="s">
        <v>7344</v>
      </c>
      <c r="C791" t="s">
        <v>4803</v>
      </c>
      <c r="D791">
        <v>1146</v>
      </c>
      <c r="E791">
        <v>12</v>
      </c>
      <c r="F791" t="s">
        <v>1444</v>
      </c>
      <c r="G791" t="s">
        <v>4800</v>
      </c>
      <c r="I791" t="s">
        <v>1781</v>
      </c>
      <c r="J791" t="s">
        <v>8668</v>
      </c>
      <c r="L791">
        <v>0</v>
      </c>
      <c r="R791" s="16" t="s">
        <v>8064</v>
      </c>
      <c r="S791" s="16" t="s">
        <v>8064</v>
      </c>
      <c r="T791" t="s">
        <v>7344</v>
      </c>
      <c r="U791">
        <v>0</v>
      </c>
    </row>
    <row r="792" spans="1:21">
      <c r="A792">
        <v>788</v>
      </c>
      <c r="B792" t="s">
        <v>7338</v>
      </c>
      <c r="C792" t="s">
        <v>4804</v>
      </c>
      <c r="D792">
        <v>1149</v>
      </c>
      <c r="E792">
        <v>12</v>
      </c>
      <c r="F792" t="s">
        <v>4471</v>
      </c>
      <c r="G792" t="s">
        <v>4800</v>
      </c>
      <c r="I792" t="s">
        <v>1782</v>
      </c>
      <c r="J792" t="s">
        <v>8668</v>
      </c>
      <c r="L792">
        <v>1</v>
      </c>
      <c r="M792" t="s">
        <v>6320</v>
      </c>
      <c r="N792" t="s">
        <v>6986</v>
      </c>
      <c r="O792" t="s">
        <v>6973</v>
      </c>
      <c r="P792">
        <v>46350</v>
      </c>
      <c r="Q792">
        <v>497790</v>
      </c>
      <c r="R792" s="16" t="s">
        <v>8473</v>
      </c>
      <c r="S792" s="16" t="s">
        <v>8177</v>
      </c>
      <c r="T792" t="s">
        <v>7831</v>
      </c>
      <c r="U792">
        <v>0</v>
      </c>
    </row>
    <row r="793" spans="1:21">
      <c r="A793">
        <v>791</v>
      </c>
      <c r="B793" t="s">
        <v>7339</v>
      </c>
      <c r="C793" t="s">
        <v>4805</v>
      </c>
      <c r="D793">
        <v>1157</v>
      </c>
      <c r="E793">
        <v>12</v>
      </c>
      <c r="F793" t="s">
        <v>4471</v>
      </c>
      <c r="G793" t="s">
        <v>4800</v>
      </c>
      <c r="I793" t="s">
        <v>1786</v>
      </c>
      <c r="J793" t="s">
        <v>8668</v>
      </c>
      <c r="L793">
        <v>1</v>
      </c>
      <c r="M793" t="s">
        <v>6320</v>
      </c>
      <c r="N793" t="s">
        <v>6986</v>
      </c>
      <c r="O793" t="s">
        <v>6973</v>
      </c>
      <c r="P793">
        <v>46350</v>
      </c>
      <c r="Q793">
        <v>497790</v>
      </c>
      <c r="R793" s="16" t="s">
        <v>8473</v>
      </c>
      <c r="S793" s="16" t="s">
        <v>8177</v>
      </c>
      <c r="T793" t="s">
        <v>7339</v>
      </c>
      <c r="U793">
        <v>0</v>
      </c>
    </row>
    <row r="794" spans="1:21">
      <c r="A794">
        <v>790</v>
      </c>
      <c r="B794" t="s">
        <v>7340</v>
      </c>
      <c r="C794" t="s">
        <v>4343</v>
      </c>
      <c r="D794">
        <v>1156</v>
      </c>
      <c r="E794">
        <v>12</v>
      </c>
      <c r="F794" t="s">
        <v>4471</v>
      </c>
      <c r="G794" t="s">
        <v>4800</v>
      </c>
      <c r="I794" t="s">
        <v>1786</v>
      </c>
      <c r="J794" t="s">
        <v>8668</v>
      </c>
      <c r="L794">
        <v>1</v>
      </c>
      <c r="M794" t="s">
        <v>6320</v>
      </c>
      <c r="N794" t="s">
        <v>6986</v>
      </c>
      <c r="O794" t="s">
        <v>6973</v>
      </c>
      <c r="P794">
        <v>46350</v>
      </c>
      <c r="Q794">
        <v>497790</v>
      </c>
      <c r="R794" s="16" t="s">
        <v>8473</v>
      </c>
      <c r="S794" s="16" t="s">
        <v>8177</v>
      </c>
      <c r="T794" t="s">
        <v>7340</v>
      </c>
      <c r="U794">
        <v>0</v>
      </c>
    </row>
    <row r="795" spans="1:21">
      <c r="A795">
        <v>798</v>
      </c>
      <c r="B795" t="s">
        <v>7341</v>
      </c>
      <c r="C795" t="s">
        <v>4344</v>
      </c>
      <c r="D795">
        <v>1166</v>
      </c>
      <c r="E795">
        <v>12</v>
      </c>
      <c r="F795" t="s">
        <v>4471</v>
      </c>
      <c r="G795" t="s">
        <v>4800</v>
      </c>
      <c r="I795" t="s">
        <v>1788</v>
      </c>
      <c r="J795" t="s">
        <v>8668</v>
      </c>
      <c r="L795">
        <v>1</v>
      </c>
      <c r="M795" t="s">
        <v>6320</v>
      </c>
      <c r="N795" t="s">
        <v>6986</v>
      </c>
      <c r="O795" t="s">
        <v>6973</v>
      </c>
      <c r="P795">
        <v>46350</v>
      </c>
      <c r="Q795">
        <v>497790</v>
      </c>
      <c r="R795" s="16" t="s">
        <v>8473</v>
      </c>
      <c r="S795" s="16" t="s">
        <v>8177</v>
      </c>
      <c r="T795" t="s">
        <v>7341</v>
      </c>
      <c r="U795">
        <v>0</v>
      </c>
    </row>
    <row r="796" spans="1:21">
      <c r="A796">
        <v>802</v>
      </c>
      <c r="B796" t="s">
        <v>7342</v>
      </c>
      <c r="C796" t="s">
        <v>4748</v>
      </c>
      <c r="D796">
        <v>1232</v>
      </c>
      <c r="E796">
        <v>13</v>
      </c>
      <c r="F796" t="s">
        <v>4471</v>
      </c>
      <c r="G796" t="s">
        <v>4800</v>
      </c>
      <c r="I796" t="s">
        <v>1791</v>
      </c>
      <c r="J796" t="s">
        <v>8668</v>
      </c>
      <c r="L796">
        <v>1</v>
      </c>
      <c r="M796" t="s">
        <v>6320</v>
      </c>
      <c r="N796" t="s">
        <v>6986</v>
      </c>
      <c r="O796" t="s">
        <v>6973</v>
      </c>
      <c r="P796">
        <v>46350</v>
      </c>
      <c r="Q796">
        <v>497790</v>
      </c>
      <c r="R796" s="16" t="s">
        <v>8473</v>
      </c>
      <c r="S796" s="16" t="s">
        <v>8177</v>
      </c>
      <c r="T796" t="s">
        <v>7342</v>
      </c>
      <c r="U796">
        <v>0</v>
      </c>
    </row>
    <row r="797" spans="1:21">
      <c r="A797">
        <v>808</v>
      </c>
      <c r="B797" t="s">
        <v>7326</v>
      </c>
      <c r="C797" t="s">
        <v>1020</v>
      </c>
      <c r="D797">
        <v>1276</v>
      </c>
      <c r="E797">
        <v>13</v>
      </c>
      <c r="F797" t="s">
        <v>4598</v>
      </c>
      <c r="G797" t="s">
        <v>4800</v>
      </c>
      <c r="I797" t="s">
        <v>1795</v>
      </c>
      <c r="J797" t="s">
        <v>8668</v>
      </c>
      <c r="L797">
        <v>1</v>
      </c>
      <c r="M797" t="s">
        <v>6818</v>
      </c>
      <c r="N797" t="s">
        <v>6604</v>
      </c>
      <c r="O797" t="s">
        <v>3995</v>
      </c>
      <c r="P797" t="s">
        <v>6819</v>
      </c>
      <c r="Q797" t="s">
        <v>6820</v>
      </c>
      <c r="R797" s="16" t="s">
        <v>8467</v>
      </c>
      <c r="S797" s="16" t="s">
        <v>8171</v>
      </c>
      <c r="T797" t="s">
        <v>7326</v>
      </c>
      <c r="U797">
        <v>0</v>
      </c>
    </row>
    <row r="798" spans="1:21">
      <c r="A798">
        <v>818</v>
      </c>
      <c r="B798" t="s">
        <v>7345</v>
      </c>
      <c r="C798" t="s">
        <v>4717</v>
      </c>
      <c r="D798">
        <v>1289</v>
      </c>
      <c r="E798">
        <v>13</v>
      </c>
      <c r="F798" t="s">
        <v>1444</v>
      </c>
      <c r="G798" t="s">
        <v>4800</v>
      </c>
      <c r="I798" t="s">
        <v>1801</v>
      </c>
      <c r="J798" t="s">
        <v>8668</v>
      </c>
      <c r="L798">
        <v>0</v>
      </c>
      <c r="R798" s="16" t="s">
        <v>8064</v>
      </c>
      <c r="S798" s="16" t="s">
        <v>8064</v>
      </c>
      <c r="T798" t="s">
        <v>7833</v>
      </c>
      <c r="U798">
        <v>0</v>
      </c>
    </row>
    <row r="799" spans="1:21">
      <c r="A799">
        <v>819</v>
      </c>
      <c r="B799" t="s">
        <v>7346</v>
      </c>
      <c r="C799" t="s">
        <v>4809</v>
      </c>
      <c r="D799">
        <v>1290</v>
      </c>
      <c r="E799">
        <v>13</v>
      </c>
      <c r="F799" t="s">
        <v>1444</v>
      </c>
      <c r="G799" t="s">
        <v>4800</v>
      </c>
      <c r="I799" t="s">
        <v>1802</v>
      </c>
      <c r="J799" t="s">
        <v>8668</v>
      </c>
      <c r="L799">
        <v>0</v>
      </c>
      <c r="R799" s="16" t="s">
        <v>8064</v>
      </c>
      <c r="S799" s="16" t="s">
        <v>8064</v>
      </c>
      <c r="T799" t="s">
        <v>7833</v>
      </c>
      <c r="U799">
        <v>0</v>
      </c>
    </row>
    <row r="800" spans="1:21">
      <c r="A800">
        <v>803</v>
      </c>
      <c r="B800" t="s">
        <v>7347</v>
      </c>
      <c r="C800" t="s">
        <v>4807</v>
      </c>
      <c r="D800">
        <v>1234</v>
      </c>
      <c r="E800">
        <v>13</v>
      </c>
      <c r="F800" t="s">
        <v>1444</v>
      </c>
      <c r="G800" t="s">
        <v>4800</v>
      </c>
      <c r="I800" t="s">
        <v>1791</v>
      </c>
      <c r="J800" t="s">
        <v>8668</v>
      </c>
      <c r="L800">
        <v>0</v>
      </c>
      <c r="R800" s="16" t="s">
        <v>8064</v>
      </c>
      <c r="S800" s="16" t="s">
        <v>8064</v>
      </c>
      <c r="T800" t="s">
        <v>7347</v>
      </c>
      <c r="U800">
        <v>0</v>
      </c>
    </row>
    <row r="801" spans="1:21">
      <c r="A801">
        <v>809</v>
      </c>
      <c r="B801" t="s">
        <v>7348</v>
      </c>
      <c r="C801" t="s">
        <v>1020</v>
      </c>
      <c r="D801">
        <v>1276</v>
      </c>
      <c r="E801">
        <v>13</v>
      </c>
      <c r="F801" t="s">
        <v>1444</v>
      </c>
      <c r="G801" t="s">
        <v>4800</v>
      </c>
      <c r="I801" t="s">
        <v>1795</v>
      </c>
      <c r="J801" t="s">
        <v>8668</v>
      </c>
      <c r="L801">
        <v>0</v>
      </c>
      <c r="R801" s="16" t="s">
        <v>8064</v>
      </c>
      <c r="S801" s="16" t="s">
        <v>8064</v>
      </c>
      <c r="T801" t="s">
        <v>7348</v>
      </c>
      <c r="U801">
        <v>0</v>
      </c>
    </row>
    <row r="802" spans="1:21">
      <c r="A802">
        <v>807</v>
      </c>
      <c r="B802" t="s">
        <v>7350</v>
      </c>
      <c r="C802" t="s">
        <v>760</v>
      </c>
      <c r="D802">
        <v>1273</v>
      </c>
      <c r="E802">
        <v>13</v>
      </c>
      <c r="F802" t="s">
        <v>1444</v>
      </c>
      <c r="G802" t="s">
        <v>4800</v>
      </c>
      <c r="I802" t="s">
        <v>1794</v>
      </c>
      <c r="J802" t="s">
        <v>8668</v>
      </c>
      <c r="L802">
        <v>0</v>
      </c>
      <c r="R802" s="16" t="s">
        <v>8064</v>
      </c>
      <c r="S802" s="16" t="s">
        <v>8064</v>
      </c>
      <c r="T802" t="s">
        <v>7834</v>
      </c>
      <c r="U802">
        <v>0</v>
      </c>
    </row>
    <row r="803" spans="1:21">
      <c r="A803">
        <v>817</v>
      </c>
      <c r="B803" t="s">
        <v>7325</v>
      </c>
      <c r="C803" t="s">
        <v>4717</v>
      </c>
      <c r="D803">
        <v>1289</v>
      </c>
      <c r="E803">
        <v>13</v>
      </c>
      <c r="F803" t="s">
        <v>4621</v>
      </c>
      <c r="G803" t="s">
        <v>4800</v>
      </c>
      <c r="I803" t="s">
        <v>1801</v>
      </c>
      <c r="J803" t="s">
        <v>8668</v>
      </c>
      <c r="L803">
        <v>1</v>
      </c>
      <c r="M803" t="s">
        <v>6493</v>
      </c>
      <c r="N803" t="s">
        <v>6473</v>
      </c>
      <c r="O803" t="s">
        <v>11</v>
      </c>
      <c r="P803">
        <v>123155</v>
      </c>
      <c r="Q803">
        <v>454408</v>
      </c>
      <c r="R803" s="16" t="s">
        <v>8385</v>
      </c>
      <c r="S803" s="16" t="s">
        <v>8089</v>
      </c>
      <c r="T803" t="s">
        <v>7325</v>
      </c>
      <c r="U803">
        <v>0</v>
      </c>
    </row>
    <row r="804" spans="1:21">
      <c r="A804">
        <v>784</v>
      </c>
      <c r="B804" t="s">
        <v>4801</v>
      </c>
      <c r="C804" t="s">
        <v>4802</v>
      </c>
      <c r="D804">
        <v>1071</v>
      </c>
      <c r="E804">
        <v>11</v>
      </c>
      <c r="F804" t="s">
        <v>1444</v>
      </c>
      <c r="G804" t="s">
        <v>4800</v>
      </c>
      <c r="I804" t="s">
        <v>1779</v>
      </c>
      <c r="J804" t="s">
        <v>8668</v>
      </c>
      <c r="L804">
        <v>0</v>
      </c>
      <c r="R804" s="16" t="s">
        <v>8064</v>
      </c>
      <c r="S804" s="16" t="s">
        <v>8064</v>
      </c>
      <c r="T804" t="s">
        <v>8046</v>
      </c>
      <c r="U804">
        <v>0</v>
      </c>
    </row>
    <row r="805" spans="1:21">
      <c r="A805">
        <v>805</v>
      </c>
      <c r="B805" t="s">
        <v>7330</v>
      </c>
      <c r="C805" t="s">
        <v>4808</v>
      </c>
      <c r="D805">
        <v>1252</v>
      </c>
      <c r="E805">
        <v>13</v>
      </c>
      <c r="F805" t="s">
        <v>4555</v>
      </c>
      <c r="G805" t="s">
        <v>4800</v>
      </c>
      <c r="I805" t="s">
        <v>1793</v>
      </c>
      <c r="J805" t="s">
        <v>8668</v>
      </c>
      <c r="L805">
        <v>1</v>
      </c>
      <c r="M805" t="s">
        <v>6477</v>
      </c>
      <c r="N805" t="s">
        <v>6357</v>
      </c>
      <c r="O805" t="s">
        <v>104</v>
      </c>
      <c r="P805">
        <v>40310</v>
      </c>
      <c r="Q805">
        <v>492580</v>
      </c>
      <c r="R805" s="16" t="s">
        <v>8469</v>
      </c>
      <c r="S805" s="16" t="s">
        <v>8173</v>
      </c>
      <c r="T805" t="s">
        <v>7330</v>
      </c>
      <c r="U805">
        <v>0</v>
      </c>
    </row>
    <row r="806" spans="1:21">
      <c r="A806">
        <v>799</v>
      </c>
      <c r="B806" t="s">
        <v>7351</v>
      </c>
      <c r="C806" t="s">
        <v>4806</v>
      </c>
      <c r="D806">
        <v>1200</v>
      </c>
      <c r="E806">
        <v>13</v>
      </c>
      <c r="F806" t="s">
        <v>1444</v>
      </c>
      <c r="G806" t="s">
        <v>4800</v>
      </c>
      <c r="I806" t="s">
        <v>1788</v>
      </c>
      <c r="J806" t="s">
        <v>8668</v>
      </c>
      <c r="L806">
        <v>0</v>
      </c>
      <c r="R806" s="16" t="s">
        <v>8064</v>
      </c>
      <c r="S806" s="16" t="s">
        <v>8064</v>
      </c>
      <c r="T806" t="s">
        <v>7351</v>
      </c>
      <c r="U806">
        <v>0</v>
      </c>
    </row>
    <row r="807" spans="1:21">
      <c r="A807">
        <v>782</v>
      </c>
      <c r="B807" t="s">
        <v>7327</v>
      </c>
      <c r="C807" t="s">
        <v>4368</v>
      </c>
      <c r="D807">
        <v>976</v>
      </c>
      <c r="E807">
        <v>10</v>
      </c>
      <c r="F807" t="s">
        <v>4369</v>
      </c>
      <c r="G807" t="s">
        <v>4800</v>
      </c>
      <c r="I807" t="s">
        <v>1777</v>
      </c>
      <c r="J807" t="s">
        <v>8668</v>
      </c>
      <c r="L807">
        <v>1</v>
      </c>
      <c r="M807" t="s">
        <v>4369</v>
      </c>
      <c r="N807" t="s">
        <v>6787</v>
      </c>
      <c r="O807" t="s">
        <v>104</v>
      </c>
      <c r="P807" t="s">
        <v>6788</v>
      </c>
      <c r="Q807" t="s">
        <v>6789</v>
      </c>
      <c r="R807" s="16" t="s">
        <v>8463</v>
      </c>
      <c r="S807" s="16" t="s">
        <v>8167</v>
      </c>
      <c r="T807" t="s">
        <v>7327</v>
      </c>
      <c r="U807">
        <v>0</v>
      </c>
    </row>
    <row r="808" spans="1:21">
      <c r="A808">
        <v>793</v>
      </c>
      <c r="B808" t="s">
        <v>7328</v>
      </c>
      <c r="C808" t="s">
        <v>4470</v>
      </c>
      <c r="D808">
        <v>1159</v>
      </c>
      <c r="E808">
        <v>12</v>
      </c>
      <c r="F808" t="s">
        <v>4369</v>
      </c>
      <c r="G808" t="s">
        <v>4800</v>
      </c>
      <c r="I808" t="s">
        <v>1780</v>
      </c>
      <c r="J808" t="s">
        <v>8668</v>
      </c>
      <c r="L808">
        <v>1</v>
      </c>
      <c r="M808" t="s">
        <v>4369</v>
      </c>
      <c r="N808" t="s">
        <v>6787</v>
      </c>
      <c r="O808" t="s">
        <v>104</v>
      </c>
      <c r="P808" t="s">
        <v>6788</v>
      </c>
      <c r="Q808" t="s">
        <v>6789</v>
      </c>
      <c r="R808" s="16" t="s">
        <v>8463</v>
      </c>
      <c r="S808" s="16" t="s">
        <v>8167</v>
      </c>
      <c r="T808" t="s">
        <v>7829</v>
      </c>
      <c r="U808">
        <v>0</v>
      </c>
    </row>
    <row r="809" spans="1:21">
      <c r="A809">
        <v>806</v>
      </c>
      <c r="B809" t="s">
        <v>7329</v>
      </c>
      <c r="C809" t="s">
        <v>751</v>
      </c>
      <c r="D809">
        <v>1269</v>
      </c>
      <c r="E809">
        <v>13</v>
      </c>
      <c r="F809" t="s">
        <v>4577</v>
      </c>
      <c r="G809" t="s">
        <v>4800</v>
      </c>
      <c r="I809" t="s">
        <v>1793</v>
      </c>
      <c r="J809" t="s">
        <v>8668</v>
      </c>
      <c r="L809">
        <v>1</v>
      </c>
      <c r="M809" t="s">
        <v>4577</v>
      </c>
      <c r="N809" t="s">
        <v>6776</v>
      </c>
      <c r="O809" t="s">
        <v>104</v>
      </c>
      <c r="P809" t="s">
        <v>6777</v>
      </c>
      <c r="Q809" t="s">
        <v>6778</v>
      </c>
      <c r="R809" s="16" t="s">
        <v>8468</v>
      </c>
      <c r="S809" s="16" t="s">
        <v>8172</v>
      </c>
      <c r="T809" t="s">
        <v>7329</v>
      </c>
      <c r="U809">
        <v>0</v>
      </c>
    </row>
    <row r="810" spans="1:21">
      <c r="A810">
        <v>801</v>
      </c>
      <c r="B810" t="s">
        <v>7332</v>
      </c>
      <c r="C810" t="s">
        <v>4527</v>
      </c>
      <c r="D810">
        <v>1232</v>
      </c>
      <c r="E810">
        <v>13</v>
      </c>
      <c r="F810" t="s">
        <v>4481</v>
      </c>
      <c r="G810" t="s">
        <v>4800</v>
      </c>
      <c r="I810" t="s">
        <v>1790</v>
      </c>
      <c r="J810" t="s">
        <v>8668</v>
      </c>
      <c r="L810">
        <v>1</v>
      </c>
      <c r="M810" t="s">
        <v>6504</v>
      </c>
      <c r="N810" t="s">
        <v>6505</v>
      </c>
      <c r="O810" t="s">
        <v>104</v>
      </c>
      <c r="P810" t="s">
        <v>6506</v>
      </c>
      <c r="Q810" t="s">
        <v>6507</v>
      </c>
      <c r="R810" s="16" t="s">
        <v>8465</v>
      </c>
      <c r="S810" s="16" t="s">
        <v>8169</v>
      </c>
      <c r="T810" t="s">
        <v>7332</v>
      </c>
      <c r="U810">
        <v>0</v>
      </c>
    </row>
    <row r="811" spans="1:21">
      <c r="A811">
        <v>796</v>
      </c>
      <c r="B811" t="s">
        <v>7352</v>
      </c>
      <c r="C811" t="s">
        <v>4482</v>
      </c>
      <c r="D811">
        <v>1163</v>
      </c>
      <c r="E811">
        <v>12</v>
      </c>
      <c r="F811" t="s">
        <v>1444</v>
      </c>
      <c r="G811" t="s">
        <v>4800</v>
      </c>
      <c r="I811" t="s">
        <v>1785</v>
      </c>
      <c r="J811" t="s">
        <v>8668</v>
      </c>
      <c r="L811">
        <v>0</v>
      </c>
      <c r="R811" s="16" t="s">
        <v>8064</v>
      </c>
      <c r="S811" s="16" t="s">
        <v>8064</v>
      </c>
      <c r="T811" t="s">
        <v>7835</v>
      </c>
      <c r="U811">
        <v>0</v>
      </c>
    </row>
    <row r="812" spans="1:21">
      <c r="A812">
        <v>822</v>
      </c>
      <c r="B812" t="s">
        <v>7333</v>
      </c>
      <c r="C812" t="s">
        <v>4348</v>
      </c>
      <c r="D812">
        <v>1296</v>
      </c>
      <c r="E812">
        <v>13</v>
      </c>
      <c r="F812" t="s">
        <v>4481</v>
      </c>
      <c r="G812" t="s">
        <v>4800</v>
      </c>
      <c r="I812" t="s">
        <v>1803</v>
      </c>
      <c r="J812" t="s">
        <v>8668</v>
      </c>
      <c r="L812">
        <v>1</v>
      </c>
      <c r="M812" t="s">
        <v>6504</v>
      </c>
      <c r="N812" t="s">
        <v>6505</v>
      </c>
      <c r="O812" t="s">
        <v>104</v>
      </c>
      <c r="P812" t="s">
        <v>6506</v>
      </c>
      <c r="Q812" t="s">
        <v>6507</v>
      </c>
      <c r="R812" s="16" t="s">
        <v>8465</v>
      </c>
      <c r="S812" s="16" t="s">
        <v>8169</v>
      </c>
      <c r="T812" t="s">
        <v>7333</v>
      </c>
      <c r="U812">
        <v>0</v>
      </c>
    </row>
    <row r="813" spans="1:21">
      <c r="A813">
        <v>811</v>
      </c>
      <c r="B813" t="s">
        <v>7353</v>
      </c>
      <c r="C813" t="s">
        <v>4729</v>
      </c>
      <c r="D813">
        <v>1281</v>
      </c>
      <c r="E813">
        <v>13</v>
      </c>
      <c r="F813" t="s">
        <v>1444</v>
      </c>
      <c r="G813" t="s">
        <v>4800</v>
      </c>
      <c r="I813" t="s">
        <v>1797</v>
      </c>
      <c r="J813" t="s">
        <v>8668</v>
      </c>
      <c r="L813">
        <v>0</v>
      </c>
      <c r="R813" s="16" t="s">
        <v>8064</v>
      </c>
      <c r="S813" s="16" t="s">
        <v>8064</v>
      </c>
      <c r="T813" t="s">
        <v>7353</v>
      </c>
      <c r="U813">
        <v>0</v>
      </c>
    </row>
    <row r="814" spans="1:21">
      <c r="A814">
        <v>824</v>
      </c>
      <c r="B814" t="s">
        <v>7334</v>
      </c>
      <c r="C814" t="s">
        <v>1044</v>
      </c>
      <c r="D814">
        <v>1298</v>
      </c>
      <c r="E814">
        <v>13</v>
      </c>
      <c r="F814" t="s">
        <v>4481</v>
      </c>
      <c r="G814" t="s">
        <v>4800</v>
      </c>
      <c r="I814" t="s">
        <v>1805</v>
      </c>
      <c r="J814" t="s">
        <v>8668</v>
      </c>
      <c r="L814">
        <v>1</v>
      </c>
      <c r="M814" t="s">
        <v>6504</v>
      </c>
      <c r="N814" t="s">
        <v>6505</v>
      </c>
      <c r="O814" t="s">
        <v>104</v>
      </c>
      <c r="P814" t="s">
        <v>6506</v>
      </c>
      <c r="Q814" t="s">
        <v>6507</v>
      </c>
      <c r="R814" s="16" t="s">
        <v>8465</v>
      </c>
      <c r="S814" s="16" t="s">
        <v>8169</v>
      </c>
      <c r="T814" t="s">
        <v>7334</v>
      </c>
      <c r="U814">
        <v>0</v>
      </c>
    </row>
    <row r="815" spans="1:21">
      <c r="A815">
        <v>823</v>
      </c>
      <c r="B815" t="s">
        <v>7331</v>
      </c>
      <c r="C815" t="s">
        <v>4811</v>
      </c>
      <c r="D815">
        <v>1297</v>
      </c>
      <c r="E815">
        <v>13</v>
      </c>
      <c r="F815" t="s">
        <v>4635</v>
      </c>
      <c r="G815" t="s">
        <v>4800</v>
      </c>
      <c r="I815" t="s">
        <v>1805</v>
      </c>
      <c r="J815" t="s">
        <v>8668</v>
      </c>
      <c r="L815">
        <v>1</v>
      </c>
      <c r="M815" t="s">
        <v>4635</v>
      </c>
      <c r="N815" t="s">
        <v>7004</v>
      </c>
      <c r="O815" t="s">
        <v>6973</v>
      </c>
      <c r="P815">
        <v>47000</v>
      </c>
      <c r="Q815">
        <v>494500</v>
      </c>
      <c r="R815" s="16" t="s">
        <v>8470</v>
      </c>
      <c r="S815" s="16" t="s">
        <v>8174</v>
      </c>
      <c r="T815" t="s">
        <v>7331</v>
      </c>
      <c r="U815">
        <v>0</v>
      </c>
    </row>
    <row r="816" spans="1:21">
      <c r="A816">
        <v>812</v>
      </c>
      <c r="B816" t="s">
        <v>7354</v>
      </c>
      <c r="C816" t="s">
        <v>4729</v>
      </c>
      <c r="D816">
        <v>1281</v>
      </c>
      <c r="E816">
        <v>13</v>
      </c>
      <c r="F816" t="s">
        <v>1444</v>
      </c>
      <c r="G816" t="s">
        <v>4800</v>
      </c>
      <c r="I816" t="s">
        <v>1797</v>
      </c>
      <c r="J816" t="s">
        <v>8668</v>
      </c>
      <c r="L816">
        <v>0</v>
      </c>
      <c r="R816" s="16" t="s">
        <v>8064</v>
      </c>
      <c r="S816" s="16" t="s">
        <v>8064</v>
      </c>
      <c r="T816" t="s">
        <v>7354</v>
      </c>
      <c r="U816">
        <v>0</v>
      </c>
    </row>
    <row r="817" spans="1:21">
      <c r="A817">
        <v>810</v>
      </c>
      <c r="B817" t="s">
        <v>7355</v>
      </c>
      <c r="C817" t="s">
        <v>4687</v>
      </c>
      <c r="D817">
        <v>1279</v>
      </c>
      <c r="E817">
        <v>13</v>
      </c>
      <c r="F817" t="s">
        <v>1444</v>
      </c>
      <c r="G817" t="s">
        <v>4800</v>
      </c>
      <c r="I817" t="s">
        <v>1796</v>
      </c>
      <c r="J817" t="s">
        <v>8668</v>
      </c>
      <c r="L817">
        <v>0</v>
      </c>
      <c r="R817" s="16" t="s">
        <v>8064</v>
      </c>
      <c r="S817" s="16" t="s">
        <v>8064</v>
      </c>
      <c r="T817" t="s">
        <v>7355</v>
      </c>
      <c r="U817">
        <v>0</v>
      </c>
    </row>
    <row r="818" spans="1:21">
      <c r="A818">
        <v>820</v>
      </c>
      <c r="B818" t="s">
        <v>7356</v>
      </c>
      <c r="C818" t="s">
        <v>4631</v>
      </c>
      <c r="D818">
        <v>1294</v>
      </c>
      <c r="E818">
        <v>13</v>
      </c>
      <c r="F818" t="s">
        <v>1444</v>
      </c>
      <c r="G818" t="s">
        <v>4800</v>
      </c>
      <c r="I818" t="s">
        <v>1802</v>
      </c>
      <c r="J818" t="s">
        <v>8668</v>
      </c>
      <c r="L818">
        <v>0</v>
      </c>
      <c r="R818" s="16" t="s">
        <v>8064</v>
      </c>
      <c r="S818" s="16" t="s">
        <v>8064</v>
      </c>
      <c r="T818" t="s">
        <v>7836</v>
      </c>
      <c r="U818">
        <v>0</v>
      </c>
    </row>
    <row r="819" spans="1:21">
      <c r="A819">
        <v>795</v>
      </c>
      <c r="B819" t="s">
        <v>7335</v>
      </c>
      <c r="C819" t="s">
        <v>4482</v>
      </c>
      <c r="D819">
        <v>1163</v>
      </c>
      <c r="E819">
        <v>12</v>
      </c>
      <c r="F819" t="s">
        <v>4481</v>
      </c>
      <c r="G819" t="s">
        <v>4800</v>
      </c>
      <c r="I819" t="s">
        <v>1784</v>
      </c>
      <c r="J819" t="s">
        <v>8668</v>
      </c>
      <c r="L819">
        <v>1</v>
      </c>
      <c r="M819" t="s">
        <v>6504</v>
      </c>
      <c r="N819" t="s">
        <v>6505</v>
      </c>
      <c r="O819" t="s">
        <v>104</v>
      </c>
      <c r="P819" t="s">
        <v>6506</v>
      </c>
      <c r="Q819" t="s">
        <v>6507</v>
      </c>
      <c r="R819" s="16" t="s">
        <v>8465</v>
      </c>
      <c r="S819" s="16" t="s">
        <v>8169</v>
      </c>
      <c r="T819" t="s">
        <v>7335</v>
      </c>
      <c r="U819">
        <v>0</v>
      </c>
    </row>
    <row r="820" spans="1:21">
      <c r="A820">
        <v>800</v>
      </c>
      <c r="B820" t="s">
        <v>7357</v>
      </c>
      <c r="C820" t="s">
        <v>4521</v>
      </c>
      <c r="D820">
        <v>1221</v>
      </c>
      <c r="E820">
        <v>13</v>
      </c>
      <c r="F820" t="s">
        <v>1444</v>
      </c>
      <c r="G820" t="s">
        <v>4800</v>
      </c>
      <c r="I820" t="s">
        <v>1789</v>
      </c>
      <c r="J820" t="s">
        <v>8668</v>
      </c>
      <c r="L820">
        <v>0</v>
      </c>
      <c r="R820" s="16" t="s">
        <v>8064</v>
      </c>
      <c r="S820" s="16" t="s">
        <v>8064</v>
      </c>
      <c r="T820" t="s">
        <v>7357</v>
      </c>
      <c r="U820">
        <v>0</v>
      </c>
    </row>
    <row r="821" spans="1:21">
      <c r="A821">
        <v>815</v>
      </c>
      <c r="B821" t="s">
        <v>7358</v>
      </c>
      <c r="C821" t="s">
        <v>778</v>
      </c>
      <c r="D821">
        <v>1286</v>
      </c>
      <c r="E821">
        <v>13</v>
      </c>
      <c r="F821" t="s">
        <v>1444</v>
      </c>
      <c r="G821" t="s">
        <v>4800</v>
      </c>
      <c r="I821" t="s">
        <v>1799</v>
      </c>
      <c r="J821" t="s">
        <v>8668</v>
      </c>
      <c r="L821">
        <v>0</v>
      </c>
      <c r="R821" s="16" t="s">
        <v>8064</v>
      </c>
      <c r="S821" s="16" t="s">
        <v>8064</v>
      </c>
      <c r="T821" t="s">
        <v>7358</v>
      </c>
      <c r="U821">
        <v>0</v>
      </c>
    </row>
    <row r="822" spans="1:21">
      <c r="A822">
        <v>816</v>
      </c>
      <c r="B822" t="s">
        <v>7359</v>
      </c>
      <c r="C822" t="s">
        <v>4711</v>
      </c>
      <c r="D822">
        <v>1287</v>
      </c>
      <c r="E822">
        <v>13</v>
      </c>
      <c r="F822" t="s">
        <v>1444</v>
      </c>
      <c r="G822" t="s">
        <v>4800</v>
      </c>
      <c r="I822" t="s">
        <v>1800</v>
      </c>
      <c r="J822" t="s">
        <v>8668</v>
      </c>
      <c r="L822">
        <v>0</v>
      </c>
      <c r="R822" s="16" t="s">
        <v>8064</v>
      </c>
      <c r="S822" s="16" t="s">
        <v>8064</v>
      </c>
      <c r="T822" t="s">
        <v>7359</v>
      </c>
      <c r="U822">
        <v>0</v>
      </c>
    </row>
    <row r="823" spans="1:21">
      <c r="A823">
        <v>797</v>
      </c>
      <c r="B823" t="s">
        <v>7360</v>
      </c>
      <c r="C823" t="s">
        <v>4482</v>
      </c>
      <c r="D823">
        <v>1163</v>
      </c>
      <c r="E823">
        <v>12</v>
      </c>
      <c r="F823" t="s">
        <v>1444</v>
      </c>
      <c r="G823" t="s">
        <v>4800</v>
      </c>
      <c r="I823" t="s">
        <v>1785</v>
      </c>
      <c r="J823" t="s">
        <v>8668</v>
      </c>
      <c r="L823">
        <v>0</v>
      </c>
      <c r="R823" s="16" t="s">
        <v>8064</v>
      </c>
      <c r="S823" s="16" t="s">
        <v>8064</v>
      </c>
      <c r="T823" t="s">
        <v>7360</v>
      </c>
      <c r="U823">
        <v>0</v>
      </c>
    </row>
    <row r="824" spans="1:21">
      <c r="A824">
        <v>781</v>
      </c>
      <c r="B824" t="s">
        <v>7361</v>
      </c>
      <c r="C824" t="s">
        <v>4799</v>
      </c>
      <c r="D824">
        <v>909</v>
      </c>
      <c r="E824">
        <v>10</v>
      </c>
      <c r="F824" t="s">
        <v>1444</v>
      </c>
      <c r="G824" t="s">
        <v>4800</v>
      </c>
      <c r="I824" t="s">
        <v>1776</v>
      </c>
      <c r="J824" t="s">
        <v>8668</v>
      </c>
      <c r="L824">
        <v>0</v>
      </c>
      <c r="R824" s="16" t="s">
        <v>8064</v>
      </c>
      <c r="S824" s="16" t="s">
        <v>8064</v>
      </c>
      <c r="T824" t="s">
        <v>7361</v>
      </c>
      <c r="U824">
        <v>0</v>
      </c>
    </row>
    <row r="825" spans="1:21">
      <c r="A825">
        <v>783</v>
      </c>
      <c r="B825" t="s">
        <v>7323</v>
      </c>
      <c r="C825" t="s">
        <v>4383</v>
      </c>
      <c r="D825">
        <v>1025</v>
      </c>
      <c r="E825">
        <v>11</v>
      </c>
      <c r="F825" t="s">
        <v>4384</v>
      </c>
      <c r="G825" t="s">
        <v>4800</v>
      </c>
      <c r="I825" t="s">
        <v>1778</v>
      </c>
      <c r="J825" t="s">
        <v>8668</v>
      </c>
      <c r="L825">
        <v>1</v>
      </c>
      <c r="M825" t="s">
        <v>4514</v>
      </c>
      <c r="N825" t="s">
        <v>6917</v>
      </c>
      <c r="O825" t="s">
        <v>104</v>
      </c>
      <c r="P825" t="s">
        <v>6918</v>
      </c>
      <c r="Q825" t="s">
        <v>6919</v>
      </c>
      <c r="R825" s="16" t="s">
        <v>8466</v>
      </c>
      <c r="S825" s="16" t="s">
        <v>8170</v>
      </c>
      <c r="T825" t="s">
        <v>7827</v>
      </c>
      <c r="U825">
        <v>0</v>
      </c>
    </row>
    <row r="826" spans="1:21">
      <c r="A826">
        <v>833</v>
      </c>
      <c r="B826" t="s">
        <v>7366</v>
      </c>
      <c r="C826" t="s">
        <v>586</v>
      </c>
      <c r="D826">
        <v>1134</v>
      </c>
      <c r="E826">
        <v>12</v>
      </c>
      <c r="F826" t="s">
        <v>4461</v>
      </c>
      <c r="G826" t="s">
        <v>9301</v>
      </c>
      <c r="J826" t="s">
        <v>9053</v>
      </c>
      <c r="L826">
        <v>1</v>
      </c>
      <c r="M826" t="s">
        <v>6403</v>
      </c>
      <c r="N826" t="s">
        <v>6308</v>
      </c>
      <c r="O826" t="s">
        <v>104</v>
      </c>
      <c r="P826">
        <v>47000</v>
      </c>
      <c r="Q826">
        <v>465000</v>
      </c>
      <c r="R826" s="16" t="s">
        <v>8470</v>
      </c>
      <c r="S826" s="16" t="s">
        <v>8180</v>
      </c>
      <c r="T826" t="s">
        <v>7366</v>
      </c>
      <c r="U826">
        <v>1</v>
      </c>
    </row>
    <row r="827" spans="1:21">
      <c r="A827">
        <v>834</v>
      </c>
      <c r="B827" t="s">
        <v>7367</v>
      </c>
      <c r="C827" t="s">
        <v>586</v>
      </c>
      <c r="D827">
        <v>1134</v>
      </c>
      <c r="E827">
        <v>12</v>
      </c>
      <c r="F827" t="s">
        <v>4461</v>
      </c>
      <c r="G827" t="s">
        <v>9301</v>
      </c>
      <c r="J827" t="s">
        <v>9054</v>
      </c>
      <c r="L827">
        <v>1</v>
      </c>
      <c r="M827" t="s">
        <v>6403</v>
      </c>
      <c r="N827" t="s">
        <v>6308</v>
      </c>
      <c r="O827" t="s">
        <v>104</v>
      </c>
      <c r="P827">
        <v>47000</v>
      </c>
      <c r="Q827">
        <v>465000</v>
      </c>
      <c r="R827" s="16" t="s">
        <v>8470</v>
      </c>
      <c r="S827" s="16" t="s">
        <v>8180</v>
      </c>
      <c r="T827" t="s">
        <v>7367</v>
      </c>
      <c r="U827">
        <v>1</v>
      </c>
    </row>
    <row r="828" spans="1:21">
      <c r="A828">
        <v>835</v>
      </c>
      <c r="B828" t="s">
        <v>7368</v>
      </c>
      <c r="C828" t="s">
        <v>586</v>
      </c>
      <c r="D828">
        <v>1134</v>
      </c>
      <c r="E828">
        <v>12</v>
      </c>
      <c r="F828" t="s">
        <v>4461</v>
      </c>
      <c r="G828" t="s">
        <v>9301</v>
      </c>
      <c r="J828" t="s">
        <v>9055</v>
      </c>
      <c r="L828">
        <v>1</v>
      </c>
      <c r="M828" t="s">
        <v>6403</v>
      </c>
      <c r="N828" t="s">
        <v>6308</v>
      </c>
      <c r="O828" t="s">
        <v>104</v>
      </c>
      <c r="P828">
        <v>47000</v>
      </c>
      <c r="Q828">
        <v>465000</v>
      </c>
      <c r="R828" s="16" t="s">
        <v>8470</v>
      </c>
      <c r="S828" s="16" t="s">
        <v>8180</v>
      </c>
      <c r="T828" t="s">
        <v>7368</v>
      </c>
      <c r="U828">
        <v>1</v>
      </c>
    </row>
    <row r="829" spans="1:21">
      <c r="A829">
        <v>870</v>
      </c>
      <c r="B829" t="s">
        <v>7402</v>
      </c>
      <c r="C829" t="s">
        <v>1837</v>
      </c>
      <c r="D829">
        <v>1297</v>
      </c>
      <c r="E829">
        <v>13</v>
      </c>
      <c r="F829" t="s">
        <v>1444</v>
      </c>
      <c r="G829" t="s">
        <v>9286</v>
      </c>
      <c r="I829" t="s">
        <v>1869</v>
      </c>
      <c r="J829" t="s">
        <v>8824</v>
      </c>
      <c r="L829">
        <v>0</v>
      </c>
      <c r="R829" s="16" t="s">
        <v>8064</v>
      </c>
      <c r="S829" s="16" t="s">
        <v>8064</v>
      </c>
      <c r="T829" t="s">
        <v>7402</v>
      </c>
      <c r="U829">
        <v>1</v>
      </c>
    </row>
    <row r="830" spans="1:21">
      <c r="A830">
        <v>836</v>
      </c>
      <c r="B830" t="s">
        <v>4909</v>
      </c>
      <c r="C830" t="s">
        <v>4910</v>
      </c>
      <c r="D830">
        <v>1194</v>
      </c>
      <c r="E830">
        <v>12</v>
      </c>
      <c r="F830" t="s">
        <v>4446</v>
      </c>
      <c r="G830" t="s">
        <v>9282</v>
      </c>
      <c r="I830" t="s">
        <v>1858</v>
      </c>
      <c r="J830" t="s">
        <v>9050</v>
      </c>
      <c r="L830">
        <v>1</v>
      </c>
      <c r="M830" t="s">
        <v>6368</v>
      </c>
      <c r="N830" t="s">
        <v>6369</v>
      </c>
      <c r="O830" t="s">
        <v>104</v>
      </c>
      <c r="P830">
        <v>50860</v>
      </c>
      <c r="Q830">
        <v>472440</v>
      </c>
      <c r="R830" s="16" t="s">
        <v>8386</v>
      </c>
      <c r="S830" s="16" t="s">
        <v>8090</v>
      </c>
      <c r="T830" t="s">
        <v>4909</v>
      </c>
      <c r="U830">
        <v>1</v>
      </c>
    </row>
    <row r="831" spans="1:21">
      <c r="A831">
        <v>841</v>
      </c>
      <c r="B831" t="s">
        <v>2137</v>
      </c>
      <c r="C831" t="s">
        <v>4973</v>
      </c>
      <c r="D831">
        <v>1227</v>
      </c>
      <c r="E831">
        <v>13</v>
      </c>
      <c r="F831" t="s">
        <v>4531</v>
      </c>
      <c r="G831" t="s">
        <v>9302</v>
      </c>
      <c r="J831" t="s">
        <v>9051</v>
      </c>
      <c r="L831">
        <v>1</v>
      </c>
      <c r="M831" t="s">
        <v>6306</v>
      </c>
      <c r="N831" t="s">
        <v>6307</v>
      </c>
      <c r="O831" t="s">
        <v>104</v>
      </c>
      <c r="P831">
        <v>24400</v>
      </c>
      <c r="Q831">
        <v>449260</v>
      </c>
      <c r="R831" s="16" t="s">
        <v>8361</v>
      </c>
      <c r="S831" s="16" t="s">
        <v>8065</v>
      </c>
      <c r="T831" t="s">
        <v>8047</v>
      </c>
      <c r="U831">
        <v>1</v>
      </c>
    </row>
    <row r="832" spans="1:21">
      <c r="A832">
        <v>874</v>
      </c>
      <c r="B832" t="s">
        <v>7386</v>
      </c>
      <c r="C832" t="s">
        <v>4820</v>
      </c>
      <c r="D832">
        <v>1170</v>
      </c>
      <c r="E832">
        <v>12</v>
      </c>
      <c r="F832" t="s">
        <v>4501</v>
      </c>
      <c r="G832" t="s">
        <v>9287</v>
      </c>
      <c r="I832" t="s">
        <v>1855</v>
      </c>
      <c r="J832" s="5" t="s">
        <v>8729</v>
      </c>
      <c r="L832">
        <v>1</v>
      </c>
      <c r="M832" t="s">
        <v>6464</v>
      </c>
      <c r="N832" t="s">
        <v>6345</v>
      </c>
      <c r="O832" t="s">
        <v>104</v>
      </c>
      <c r="P832">
        <v>43600</v>
      </c>
      <c r="Q832">
        <v>438360</v>
      </c>
      <c r="R832" s="16" t="s">
        <v>8477</v>
      </c>
      <c r="S832" s="16" t="s">
        <v>8182</v>
      </c>
      <c r="T832" t="s">
        <v>7386</v>
      </c>
      <c r="U832">
        <v>1</v>
      </c>
    </row>
    <row r="833" spans="1:21">
      <c r="A833">
        <v>875</v>
      </c>
      <c r="B833" t="s">
        <v>7383</v>
      </c>
      <c r="C833" t="s">
        <v>1044</v>
      </c>
      <c r="D833">
        <v>1298</v>
      </c>
      <c r="E833">
        <v>13</v>
      </c>
      <c r="F833" t="s">
        <v>4449</v>
      </c>
      <c r="G833" t="s">
        <v>9288</v>
      </c>
      <c r="I833" t="s">
        <v>1870</v>
      </c>
      <c r="J833" t="s">
        <v>9061</v>
      </c>
      <c r="L833">
        <v>1</v>
      </c>
      <c r="M833" t="s">
        <v>4532</v>
      </c>
      <c r="N833" t="s">
        <v>6308</v>
      </c>
      <c r="O833" t="s">
        <v>104</v>
      </c>
      <c r="P833">
        <v>32830</v>
      </c>
      <c r="Q833">
        <v>481980</v>
      </c>
      <c r="R833" s="16" t="s">
        <v>8366</v>
      </c>
      <c r="S833" s="16" t="s">
        <v>8071</v>
      </c>
      <c r="T833" t="s">
        <v>7383</v>
      </c>
      <c r="U833">
        <v>1</v>
      </c>
    </row>
    <row r="834" spans="1:21">
      <c r="A834">
        <v>876</v>
      </c>
      <c r="B834" t="s">
        <v>7384</v>
      </c>
      <c r="C834" t="s">
        <v>1044</v>
      </c>
      <c r="D834">
        <v>1298</v>
      </c>
      <c r="E834">
        <v>13</v>
      </c>
      <c r="F834" t="s">
        <v>4449</v>
      </c>
      <c r="G834" t="s">
        <v>9288</v>
      </c>
      <c r="I834" t="s">
        <v>1871</v>
      </c>
      <c r="J834" t="s">
        <v>8732</v>
      </c>
      <c r="L834">
        <v>1</v>
      </c>
      <c r="M834" t="s">
        <v>4532</v>
      </c>
      <c r="N834" t="s">
        <v>6308</v>
      </c>
      <c r="O834" t="s">
        <v>104</v>
      </c>
      <c r="P834">
        <v>32830</v>
      </c>
      <c r="Q834">
        <v>481980</v>
      </c>
      <c r="R834" s="16" t="s">
        <v>8366</v>
      </c>
      <c r="S834" s="16" t="s">
        <v>8071</v>
      </c>
      <c r="T834" t="s">
        <v>7384</v>
      </c>
      <c r="U834">
        <v>1</v>
      </c>
    </row>
    <row r="835" spans="1:21">
      <c r="A835">
        <v>888</v>
      </c>
      <c r="B835" t="s">
        <v>7417</v>
      </c>
      <c r="C835" t="s">
        <v>1047</v>
      </c>
      <c r="D835">
        <v>1299</v>
      </c>
      <c r="E835">
        <v>13</v>
      </c>
      <c r="F835" t="s">
        <v>1444</v>
      </c>
      <c r="G835" t="s">
        <v>9295</v>
      </c>
      <c r="I835" t="s">
        <v>1871</v>
      </c>
      <c r="J835" t="s">
        <v>8832</v>
      </c>
      <c r="L835">
        <v>0</v>
      </c>
      <c r="R835" s="16" t="s">
        <v>8064</v>
      </c>
      <c r="S835" s="16" t="s">
        <v>8064</v>
      </c>
      <c r="T835" t="s">
        <v>7417</v>
      </c>
      <c r="U835">
        <v>1</v>
      </c>
    </row>
    <row r="836" spans="1:21">
      <c r="A836">
        <v>877</v>
      </c>
      <c r="B836" t="s">
        <v>7410</v>
      </c>
      <c r="C836" t="s">
        <v>4744</v>
      </c>
      <c r="D836">
        <v>1293</v>
      </c>
      <c r="E836">
        <v>13</v>
      </c>
      <c r="F836" t="s">
        <v>1444</v>
      </c>
      <c r="G836" t="s">
        <v>9289</v>
      </c>
      <c r="I836" t="s">
        <v>1866</v>
      </c>
      <c r="J836" t="s">
        <v>8825</v>
      </c>
      <c r="L836">
        <v>0</v>
      </c>
      <c r="R836" s="16" t="s">
        <v>8064</v>
      </c>
      <c r="S836" s="16" t="s">
        <v>8064</v>
      </c>
      <c r="T836" t="s">
        <v>7410</v>
      </c>
      <c r="U836">
        <v>1</v>
      </c>
    </row>
    <row r="837" spans="1:21">
      <c r="A837">
        <v>879</v>
      </c>
      <c r="B837" t="s">
        <v>7411</v>
      </c>
      <c r="C837" t="s">
        <v>4745</v>
      </c>
      <c r="D837">
        <v>1294</v>
      </c>
      <c r="E837">
        <v>13</v>
      </c>
      <c r="F837" t="s">
        <v>1444</v>
      </c>
      <c r="G837" t="s">
        <v>9290</v>
      </c>
      <c r="I837" t="s">
        <v>1867</v>
      </c>
      <c r="J837" t="s">
        <v>8826</v>
      </c>
      <c r="L837">
        <v>0</v>
      </c>
      <c r="R837" s="16" t="s">
        <v>8064</v>
      </c>
      <c r="S837" s="16" t="s">
        <v>8064</v>
      </c>
      <c r="T837" t="s">
        <v>7841</v>
      </c>
      <c r="U837">
        <v>1</v>
      </c>
    </row>
    <row r="838" spans="1:21">
      <c r="A838">
        <v>844</v>
      </c>
      <c r="B838" t="s">
        <v>7379</v>
      </c>
      <c r="C838" t="s">
        <v>4825</v>
      </c>
      <c r="D838">
        <v>1295</v>
      </c>
      <c r="E838">
        <v>13</v>
      </c>
      <c r="F838" t="s">
        <v>1444</v>
      </c>
      <c r="G838" t="s">
        <v>9290</v>
      </c>
      <c r="J838" t="s">
        <v>8821</v>
      </c>
      <c r="L838">
        <v>0</v>
      </c>
      <c r="R838" s="16" t="s">
        <v>8064</v>
      </c>
      <c r="S838" s="16" t="s">
        <v>8064</v>
      </c>
      <c r="T838" t="s">
        <v>7379</v>
      </c>
      <c r="U838">
        <v>1</v>
      </c>
    </row>
    <row r="839" spans="1:21">
      <c r="A839">
        <v>880</v>
      </c>
      <c r="B839" t="s">
        <v>7412</v>
      </c>
      <c r="C839" t="s">
        <v>4825</v>
      </c>
      <c r="D839">
        <v>1295</v>
      </c>
      <c r="E839">
        <v>13</v>
      </c>
      <c r="F839" t="s">
        <v>1444</v>
      </c>
      <c r="G839" t="s">
        <v>9291</v>
      </c>
      <c r="I839" t="s">
        <v>1865</v>
      </c>
      <c r="J839" t="s">
        <v>8827</v>
      </c>
      <c r="L839">
        <v>0</v>
      </c>
      <c r="R839" s="16" t="s">
        <v>8064</v>
      </c>
      <c r="S839" s="16" t="s">
        <v>8064</v>
      </c>
      <c r="T839" t="s">
        <v>7412</v>
      </c>
      <c r="U839">
        <v>1</v>
      </c>
    </row>
    <row r="840" spans="1:21">
      <c r="A840">
        <v>883</v>
      </c>
      <c r="B840" t="s">
        <v>7413</v>
      </c>
      <c r="C840" t="s">
        <v>790</v>
      </c>
      <c r="D840">
        <v>1295</v>
      </c>
      <c r="E840">
        <v>13</v>
      </c>
      <c r="F840" t="s">
        <v>1444</v>
      </c>
      <c r="G840" t="s">
        <v>9292</v>
      </c>
      <c r="I840" t="s">
        <v>1868</v>
      </c>
      <c r="J840" t="s">
        <v>8828</v>
      </c>
      <c r="L840">
        <v>0</v>
      </c>
      <c r="R840" s="16" t="s">
        <v>8064</v>
      </c>
      <c r="S840" s="16" t="s">
        <v>8064</v>
      </c>
      <c r="T840" t="s">
        <v>7413</v>
      </c>
      <c r="U840">
        <v>1</v>
      </c>
    </row>
    <row r="841" spans="1:21">
      <c r="A841">
        <v>885</v>
      </c>
      <c r="B841" t="s">
        <v>7414</v>
      </c>
      <c r="C841" t="s">
        <v>1822</v>
      </c>
      <c r="D841">
        <v>1292</v>
      </c>
      <c r="E841">
        <v>13</v>
      </c>
      <c r="F841" t="s">
        <v>1444</v>
      </c>
      <c r="G841" t="s">
        <v>9292</v>
      </c>
      <c r="I841" t="s">
        <v>1864</v>
      </c>
      <c r="J841" t="s">
        <v>8829</v>
      </c>
      <c r="L841">
        <v>0</v>
      </c>
      <c r="R841" s="16" t="s">
        <v>8064</v>
      </c>
      <c r="S841" s="16" t="s">
        <v>8064</v>
      </c>
      <c r="T841" t="s">
        <v>7414</v>
      </c>
      <c r="U841">
        <v>1</v>
      </c>
    </row>
    <row r="842" spans="1:21">
      <c r="A842">
        <v>886</v>
      </c>
      <c r="B842" t="s">
        <v>7415</v>
      </c>
      <c r="C842" t="s">
        <v>1044</v>
      </c>
      <c r="D842">
        <v>1298</v>
      </c>
      <c r="E842">
        <v>13</v>
      </c>
      <c r="F842" t="s">
        <v>1444</v>
      </c>
      <c r="G842" t="s">
        <v>9293</v>
      </c>
      <c r="I842" t="s">
        <v>1872</v>
      </c>
      <c r="J842" t="s">
        <v>8830</v>
      </c>
      <c r="L842">
        <v>0</v>
      </c>
      <c r="R842" s="16" t="s">
        <v>8064</v>
      </c>
      <c r="S842" s="16" t="s">
        <v>8064</v>
      </c>
      <c r="T842" t="s">
        <v>7415</v>
      </c>
      <c r="U842">
        <v>1</v>
      </c>
    </row>
    <row r="843" spans="1:21">
      <c r="A843">
        <v>887</v>
      </c>
      <c r="B843" t="s">
        <v>7416</v>
      </c>
      <c r="C843" t="s">
        <v>4745</v>
      </c>
      <c r="D843">
        <v>1294</v>
      </c>
      <c r="E843">
        <v>13</v>
      </c>
      <c r="F843" t="s">
        <v>1444</v>
      </c>
      <c r="G843" t="s">
        <v>9293</v>
      </c>
      <c r="I843" t="s">
        <v>1867</v>
      </c>
      <c r="J843" t="s">
        <v>8831</v>
      </c>
      <c r="L843">
        <v>0</v>
      </c>
      <c r="R843" s="16" t="s">
        <v>8064</v>
      </c>
      <c r="S843" s="16" t="s">
        <v>8064</v>
      </c>
      <c r="T843" t="s">
        <v>7416</v>
      </c>
      <c r="U843">
        <v>1</v>
      </c>
    </row>
    <row r="844" spans="1:21">
      <c r="A844">
        <v>845</v>
      </c>
      <c r="B844" t="s">
        <v>4919</v>
      </c>
      <c r="C844">
        <v>1300</v>
      </c>
      <c r="D844">
        <v>1300</v>
      </c>
      <c r="E844">
        <v>13</v>
      </c>
      <c r="F844" t="s">
        <v>1444</v>
      </c>
      <c r="G844" t="s">
        <v>9294</v>
      </c>
      <c r="I844" t="s">
        <v>4918</v>
      </c>
      <c r="J844" t="s">
        <v>8822</v>
      </c>
      <c r="L844">
        <v>0</v>
      </c>
      <c r="R844" s="16" t="s">
        <v>8064</v>
      </c>
      <c r="S844" s="16" t="s">
        <v>8064</v>
      </c>
      <c r="T844" t="s">
        <v>4919</v>
      </c>
      <c r="U844">
        <v>1</v>
      </c>
    </row>
    <row r="845" spans="1:21">
      <c r="A845">
        <v>848</v>
      </c>
      <c r="B845" t="s">
        <v>7362</v>
      </c>
      <c r="C845" t="s">
        <v>4346</v>
      </c>
      <c r="D845">
        <v>1260</v>
      </c>
      <c r="E845">
        <v>13</v>
      </c>
      <c r="F845" t="s">
        <v>4561</v>
      </c>
      <c r="G845" t="s">
        <v>9303</v>
      </c>
      <c r="J845" t="s">
        <v>9052</v>
      </c>
      <c r="L845">
        <v>1</v>
      </c>
      <c r="M845" t="s">
        <v>4550</v>
      </c>
      <c r="N845" t="s">
        <v>6345</v>
      </c>
      <c r="O845" t="s">
        <v>104</v>
      </c>
      <c r="P845">
        <v>14440</v>
      </c>
      <c r="Q845">
        <v>436040</v>
      </c>
      <c r="R845" s="16" t="s">
        <v>8474</v>
      </c>
      <c r="S845" s="16" t="s">
        <v>8178</v>
      </c>
      <c r="T845" t="s">
        <v>7362</v>
      </c>
      <c r="U845">
        <v>1</v>
      </c>
    </row>
    <row r="846" spans="1:21">
      <c r="A846">
        <v>832</v>
      </c>
      <c r="B846" t="s">
        <v>7374</v>
      </c>
      <c r="C846" t="s">
        <v>4533</v>
      </c>
      <c r="D846">
        <v>1229</v>
      </c>
      <c r="E846">
        <v>13</v>
      </c>
      <c r="F846" t="s">
        <v>1444</v>
      </c>
      <c r="G846" t="s">
        <v>9296</v>
      </c>
      <c r="J846" t="s">
        <v>8819</v>
      </c>
      <c r="L846">
        <v>0</v>
      </c>
      <c r="R846" s="16" t="s">
        <v>8064</v>
      </c>
      <c r="S846" s="16" t="s">
        <v>8064</v>
      </c>
      <c r="T846" t="s">
        <v>7374</v>
      </c>
      <c r="U846">
        <v>1</v>
      </c>
    </row>
    <row r="847" spans="1:21">
      <c r="A847">
        <v>837</v>
      </c>
      <c r="B847" t="s">
        <v>7363</v>
      </c>
      <c r="C847" t="s">
        <v>4968</v>
      </c>
      <c r="D847">
        <v>1130</v>
      </c>
      <c r="E847">
        <v>12</v>
      </c>
      <c r="F847" t="s">
        <v>4460</v>
      </c>
      <c r="G847" t="s">
        <v>9298</v>
      </c>
      <c r="J847" t="s">
        <v>8698</v>
      </c>
      <c r="L847">
        <v>1</v>
      </c>
      <c r="M847" t="s">
        <v>4508</v>
      </c>
      <c r="N847" t="s">
        <v>6414</v>
      </c>
      <c r="O847" t="s">
        <v>104</v>
      </c>
      <c r="P847">
        <v>58500</v>
      </c>
      <c r="Q847">
        <v>453500</v>
      </c>
      <c r="R847" s="16" t="s">
        <v>8475</v>
      </c>
      <c r="S847" s="16" t="s">
        <v>8179</v>
      </c>
      <c r="T847" t="s">
        <v>7363</v>
      </c>
      <c r="U847">
        <v>1</v>
      </c>
    </row>
    <row r="848" spans="1:21">
      <c r="A848">
        <v>838</v>
      </c>
      <c r="B848" t="s">
        <v>7364</v>
      </c>
      <c r="C848" t="s">
        <v>4968</v>
      </c>
      <c r="D848">
        <v>1130</v>
      </c>
      <c r="E848">
        <v>12</v>
      </c>
      <c r="F848" t="s">
        <v>4460</v>
      </c>
      <c r="G848" t="s">
        <v>9298</v>
      </c>
      <c r="J848" s="5" t="s">
        <v>8699</v>
      </c>
      <c r="L848">
        <v>1</v>
      </c>
      <c r="M848" t="s">
        <v>4508</v>
      </c>
      <c r="N848" t="s">
        <v>6414</v>
      </c>
      <c r="O848" t="s">
        <v>104</v>
      </c>
      <c r="P848">
        <v>58500</v>
      </c>
      <c r="Q848">
        <v>453500</v>
      </c>
      <c r="R848" s="16" t="s">
        <v>8475</v>
      </c>
      <c r="S848" s="16" t="s">
        <v>8179</v>
      </c>
      <c r="T848" t="s">
        <v>7364</v>
      </c>
      <c r="U848">
        <v>1</v>
      </c>
    </row>
    <row r="849" spans="1:21">
      <c r="A849">
        <v>840</v>
      </c>
      <c r="B849" t="s">
        <v>9297</v>
      </c>
      <c r="C849" t="s">
        <v>4968</v>
      </c>
      <c r="D849">
        <v>1130</v>
      </c>
      <c r="E849">
        <v>12</v>
      </c>
      <c r="F849" t="s">
        <v>4460</v>
      </c>
      <c r="G849" t="s">
        <v>9298</v>
      </c>
      <c r="J849" s="5" t="s">
        <v>8700</v>
      </c>
      <c r="L849">
        <v>1</v>
      </c>
      <c r="M849" t="s">
        <v>4508</v>
      </c>
      <c r="N849" t="s">
        <v>6414</v>
      </c>
      <c r="O849" t="s">
        <v>104</v>
      </c>
      <c r="P849">
        <v>58500</v>
      </c>
      <c r="Q849">
        <v>453500</v>
      </c>
      <c r="R849" s="16" t="s">
        <v>8475</v>
      </c>
      <c r="S849" s="16" t="s">
        <v>8179</v>
      </c>
      <c r="T849" t="s">
        <v>9297</v>
      </c>
      <c r="U849">
        <v>1</v>
      </c>
    </row>
    <row r="850" spans="1:21">
      <c r="A850">
        <v>843</v>
      </c>
      <c r="B850" t="s">
        <v>7378</v>
      </c>
      <c r="C850" t="s">
        <v>4810</v>
      </c>
      <c r="D850">
        <v>1295</v>
      </c>
      <c r="E850">
        <v>13</v>
      </c>
      <c r="F850" t="s">
        <v>1444</v>
      </c>
      <c r="G850" t="s">
        <v>9299</v>
      </c>
      <c r="J850" t="s">
        <v>8820</v>
      </c>
      <c r="L850">
        <v>0</v>
      </c>
      <c r="R850" s="16" t="s">
        <v>8064</v>
      </c>
      <c r="S850" s="16" t="s">
        <v>8064</v>
      </c>
      <c r="T850" t="s">
        <v>7378</v>
      </c>
      <c r="U850">
        <v>1</v>
      </c>
    </row>
    <row r="851" spans="1:21">
      <c r="A851">
        <v>846</v>
      </c>
      <c r="B851" t="s">
        <v>7380</v>
      </c>
      <c r="C851" t="s">
        <v>5022</v>
      </c>
      <c r="D851">
        <v>1285</v>
      </c>
      <c r="E851">
        <v>13</v>
      </c>
      <c r="F851" t="s">
        <v>1444</v>
      </c>
      <c r="G851" t="s">
        <v>9300</v>
      </c>
      <c r="J851" t="s">
        <v>8823</v>
      </c>
      <c r="L851">
        <v>0</v>
      </c>
      <c r="R851" s="16" t="s">
        <v>8064</v>
      </c>
      <c r="S851" s="16" t="s">
        <v>8064</v>
      </c>
      <c r="T851" t="s">
        <v>7380</v>
      </c>
      <c r="U851">
        <v>1</v>
      </c>
    </row>
    <row r="852" spans="1:21">
      <c r="A852">
        <v>852</v>
      </c>
      <c r="B852" t="s">
        <v>7398</v>
      </c>
      <c r="C852" t="s">
        <v>1374</v>
      </c>
      <c r="D852">
        <v>1152</v>
      </c>
      <c r="E852">
        <v>12</v>
      </c>
      <c r="F852" t="s">
        <v>4416</v>
      </c>
      <c r="G852" t="s">
        <v>9283</v>
      </c>
      <c r="I852" t="s">
        <v>1853</v>
      </c>
      <c r="J852" t="s">
        <v>9057</v>
      </c>
      <c r="L852">
        <v>1</v>
      </c>
      <c r="M852" t="s">
        <v>4416</v>
      </c>
      <c r="N852" t="s">
        <v>6308</v>
      </c>
      <c r="O852" t="s">
        <v>104</v>
      </c>
      <c r="P852">
        <v>35650</v>
      </c>
      <c r="Q852">
        <v>477980</v>
      </c>
      <c r="R852" s="16" t="s">
        <v>8479</v>
      </c>
      <c r="S852" s="16" t="s">
        <v>8184</v>
      </c>
      <c r="T852" t="s">
        <v>7398</v>
      </c>
      <c r="U852">
        <v>1</v>
      </c>
    </row>
    <row r="853" spans="1:21">
      <c r="A853">
        <v>854</v>
      </c>
      <c r="B853" t="s">
        <v>7396</v>
      </c>
      <c r="C853" t="s">
        <v>4511</v>
      </c>
      <c r="D853">
        <v>1189</v>
      </c>
      <c r="E853">
        <v>12</v>
      </c>
      <c r="F853" t="s">
        <v>4512</v>
      </c>
      <c r="G853" t="s">
        <v>9283</v>
      </c>
      <c r="I853" t="s">
        <v>1856</v>
      </c>
      <c r="J853" t="s">
        <v>9058</v>
      </c>
      <c r="L853">
        <v>1</v>
      </c>
      <c r="M853" t="s">
        <v>4512</v>
      </c>
      <c r="N853" t="s">
        <v>6308</v>
      </c>
      <c r="O853" t="s">
        <v>104</v>
      </c>
      <c r="P853">
        <v>35650</v>
      </c>
      <c r="Q853">
        <v>477980</v>
      </c>
      <c r="R853" s="16" t="s">
        <v>8479</v>
      </c>
      <c r="S853" s="16" t="s">
        <v>8184</v>
      </c>
      <c r="T853" t="s">
        <v>7396</v>
      </c>
      <c r="U853">
        <v>1</v>
      </c>
    </row>
    <row r="854" spans="1:21">
      <c r="A854">
        <v>856</v>
      </c>
      <c r="B854" t="s">
        <v>7397</v>
      </c>
      <c r="C854" t="s">
        <v>4685</v>
      </c>
      <c r="D854">
        <v>1266</v>
      </c>
      <c r="E854">
        <v>13</v>
      </c>
      <c r="F854" t="s">
        <v>4377</v>
      </c>
      <c r="G854" t="s">
        <v>9284</v>
      </c>
      <c r="I854" t="s">
        <v>1863</v>
      </c>
      <c r="J854" t="s">
        <v>9060</v>
      </c>
      <c r="L854">
        <v>1</v>
      </c>
      <c r="M854" t="s">
        <v>4377</v>
      </c>
      <c r="N854" t="s">
        <v>6308</v>
      </c>
      <c r="O854" t="s">
        <v>104</v>
      </c>
      <c r="P854">
        <v>35650</v>
      </c>
      <c r="Q854">
        <v>477980</v>
      </c>
      <c r="R854" s="16" t="s">
        <v>8479</v>
      </c>
      <c r="S854" s="16" t="s">
        <v>8184</v>
      </c>
      <c r="T854" t="s">
        <v>7839</v>
      </c>
      <c r="U854">
        <v>1</v>
      </c>
    </row>
    <row r="855" spans="1:21">
      <c r="A855">
        <v>859</v>
      </c>
      <c r="B855" t="s">
        <v>7382</v>
      </c>
      <c r="C855" t="s">
        <v>4448</v>
      </c>
      <c r="D855">
        <v>1116</v>
      </c>
      <c r="E855">
        <v>12</v>
      </c>
      <c r="F855" t="s">
        <v>4449</v>
      </c>
      <c r="G855" t="s">
        <v>9285</v>
      </c>
      <c r="I855" t="s">
        <v>1849</v>
      </c>
      <c r="J855" t="s">
        <v>9056</v>
      </c>
      <c r="L855">
        <v>1</v>
      </c>
      <c r="M855" t="s">
        <v>4532</v>
      </c>
      <c r="N855" t="s">
        <v>6308</v>
      </c>
      <c r="O855" t="s">
        <v>104</v>
      </c>
      <c r="P855">
        <v>32830</v>
      </c>
      <c r="Q855">
        <v>481980</v>
      </c>
      <c r="R855" s="16" t="s">
        <v>8366</v>
      </c>
      <c r="S855" s="16" t="s">
        <v>8071</v>
      </c>
      <c r="T855" t="s">
        <v>7837</v>
      </c>
      <c r="U855">
        <v>1</v>
      </c>
    </row>
    <row r="856" spans="1:21">
      <c r="A856">
        <v>860</v>
      </c>
      <c r="B856" t="s">
        <v>7381</v>
      </c>
      <c r="C856" t="s">
        <v>4821</v>
      </c>
      <c r="D856">
        <v>1187</v>
      </c>
      <c r="E856">
        <v>12</v>
      </c>
      <c r="F856" t="s">
        <v>4514</v>
      </c>
      <c r="G856" t="s">
        <v>9285</v>
      </c>
      <c r="I856" t="s">
        <v>1858</v>
      </c>
      <c r="J856" t="s">
        <v>9059</v>
      </c>
      <c r="L856">
        <v>1</v>
      </c>
      <c r="M856" t="s">
        <v>4514</v>
      </c>
      <c r="N856" t="s">
        <v>6917</v>
      </c>
      <c r="O856" t="s">
        <v>104</v>
      </c>
      <c r="P856" t="s">
        <v>6918</v>
      </c>
      <c r="Q856" t="s">
        <v>6919</v>
      </c>
      <c r="R856" s="16" t="s">
        <v>8466</v>
      </c>
      <c r="S856" s="16" t="s">
        <v>8170</v>
      </c>
      <c r="T856" t="s">
        <v>7381</v>
      </c>
      <c r="U856">
        <v>1</v>
      </c>
    </row>
    <row r="857" spans="1:21">
      <c r="A857">
        <v>826</v>
      </c>
      <c r="B857" t="s">
        <v>7373</v>
      </c>
      <c r="C857" t="s">
        <v>4403</v>
      </c>
      <c r="D857">
        <v>1054</v>
      </c>
      <c r="E857">
        <v>11</v>
      </c>
      <c r="F857" t="s">
        <v>4404</v>
      </c>
      <c r="G857" t="s">
        <v>4911</v>
      </c>
      <c r="J857" t="s">
        <v>8668</v>
      </c>
      <c r="L857">
        <v>1</v>
      </c>
      <c r="M857" t="s">
        <v>6310</v>
      </c>
      <c r="N857" t="s">
        <v>6309</v>
      </c>
      <c r="O857" t="s">
        <v>104</v>
      </c>
      <c r="P857">
        <v>48055</v>
      </c>
      <c r="Q857">
        <v>439493</v>
      </c>
      <c r="R857" s="16" t="s">
        <v>8476</v>
      </c>
      <c r="S857" s="16" t="s">
        <v>8181</v>
      </c>
      <c r="T857" t="s">
        <v>7373</v>
      </c>
      <c r="U857">
        <v>0</v>
      </c>
    </row>
    <row r="858" spans="1:21">
      <c r="A858">
        <v>847</v>
      </c>
      <c r="B858" t="s">
        <v>7375</v>
      </c>
      <c r="C858" t="s">
        <v>4602</v>
      </c>
      <c r="D858">
        <v>1297</v>
      </c>
      <c r="E858">
        <v>13</v>
      </c>
      <c r="F858" t="s">
        <v>1444</v>
      </c>
      <c r="G858" t="s">
        <v>4911</v>
      </c>
      <c r="J858" t="s">
        <v>8668</v>
      </c>
      <c r="L858">
        <v>0</v>
      </c>
      <c r="R858" s="16" t="s">
        <v>8064</v>
      </c>
      <c r="S858" s="16" t="s">
        <v>8064</v>
      </c>
      <c r="T858" t="s">
        <v>7375</v>
      </c>
      <c r="U858">
        <v>0</v>
      </c>
    </row>
    <row r="859" spans="1:21">
      <c r="A859">
        <v>828</v>
      </c>
      <c r="B859" t="s">
        <v>7369</v>
      </c>
      <c r="C859" t="s">
        <v>4814</v>
      </c>
      <c r="D859">
        <v>1109</v>
      </c>
      <c r="E859">
        <v>12</v>
      </c>
      <c r="F859" t="s">
        <v>4446</v>
      </c>
      <c r="G859" t="s">
        <v>4911</v>
      </c>
      <c r="J859" t="s">
        <v>8668</v>
      </c>
      <c r="L859">
        <v>1</v>
      </c>
      <c r="M859" t="s">
        <v>6368</v>
      </c>
      <c r="N859" t="s">
        <v>6369</v>
      </c>
      <c r="O859" t="s">
        <v>104</v>
      </c>
      <c r="P859">
        <v>50860</v>
      </c>
      <c r="Q859">
        <v>472440</v>
      </c>
      <c r="R859" s="16" t="s">
        <v>8386</v>
      </c>
      <c r="S859" s="16" t="s">
        <v>8090</v>
      </c>
      <c r="T859" t="s">
        <v>7369</v>
      </c>
      <c r="U859">
        <v>0</v>
      </c>
    </row>
    <row r="860" spans="1:21">
      <c r="A860">
        <v>829</v>
      </c>
      <c r="B860" t="s">
        <v>7370</v>
      </c>
      <c r="C860" t="s">
        <v>4814</v>
      </c>
      <c r="D860">
        <v>1109</v>
      </c>
      <c r="E860">
        <v>12</v>
      </c>
      <c r="F860" t="s">
        <v>4446</v>
      </c>
      <c r="G860" t="s">
        <v>4911</v>
      </c>
      <c r="J860" t="s">
        <v>8668</v>
      </c>
      <c r="L860">
        <v>1</v>
      </c>
      <c r="M860" t="s">
        <v>6368</v>
      </c>
      <c r="N860" t="s">
        <v>6369</v>
      </c>
      <c r="O860" t="s">
        <v>104</v>
      </c>
      <c r="P860">
        <v>50860</v>
      </c>
      <c r="Q860">
        <v>472440</v>
      </c>
      <c r="R860" s="16" t="s">
        <v>8386</v>
      </c>
      <c r="S860" s="16" t="s">
        <v>8090</v>
      </c>
      <c r="T860" t="s">
        <v>7370</v>
      </c>
      <c r="U860">
        <v>0</v>
      </c>
    </row>
    <row r="861" spans="1:21">
      <c r="A861">
        <v>830</v>
      </c>
      <c r="B861" t="s">
        <v>7371</v>
      </c>
      <c r="C861" t="s">
        <v>4814</v>
      </c>
      <c r="D861">
        <v>1109</v>
      </c>
      <c r="E861">
        <v>12</v>
      </c>
      <c r="F861" t="s">
        <v>4446</v>
      </c>
      <c r="G861" t="s">
        <v>4911</v>
      </c>
      <c r="J861" t="s">
        <v>8668</v>
      </c>
      <c r="L861">
        <v>1</v>
      </c>
      <c r="M861" t="s">
        <v>6368</v>
      </c>
      <c r="N861" t="s">
        <v>6369</v>
      </c>
      <c r="O861" t="s">
        <v>104</v>
      </c>
      <c r="P861">
        <v>50860</v>
      </c>
      <c r="Q861">
        <v>472440</v>
      </c>
      <c r="R861" s="16" t="s">
        <v>8386</v>
      </c>
      <c r="S861" s="16" t="s">
        <v>8090</v>
      </c>
      <c r="T861" t="s">
        <v>7371</v>
      </c>
      <c r="U861">
        <v>0</v>
      </c>
    </row>
    <row r="862" spans="1:21">
      <c r="A862">
        <v>831</v>
      </c>
      <c r="B862" t="s">
        <v>7372</v>
      </c>
      <c r="C862" t="s">
        <v>4816</v>
      </c>
      <c r="D862">
        <v>1111</v>
      </c>
      <c r="E862">
        <v>12</v>
      </c>
      <c r="F862" t="s">
        <v>4446</v>
      </c>
      <c r="G862" t="s">
        <v>4911</v>
      </c>
      <c r="J862" t="s">
        <v>8668</v>
      </c>
      <c r="L862">
        <v>1</v>
      </c>
      <c r="M862" t="s">
        <v>6368</v>
      </c>
      <c r="N862" t="s">
        <v>6369</v>
      </c>
      <c r="O862" t="s">
        <v>104</v>
      </c>
      <c r="P862">
        <v>50860</v>
      </c>
      <c r="Q862">
        <v>472440</v>
      </c>
      <c r="R862" s="16" t="s">
        <v>8386</v>
      </c>
      <c r="S862" s="16" t="s">
        <v>8090</v>
      </c>
      <c r="T862" t="s">
        <v>7372</v>
      </c>
      <c r="U862">
        <v>0</v>
      </c>
    </row>
    <row r="863" spans="1:21">
      <c r="A863">
        <v>839</v>
      </c>
      <c r="B863" t="s">
        <v>7376</v>
      </c>
      <c r="C863" t="s">
        <v>4964</v>
      </c>
      <c r="D863">
        <v>1214</v>
      </c>
      <c r="E863">
        <v>13</v>
      </c>
      <c r="F863" t="s">
        <v>1444</v>
      </c>
      <c r="G863" t="s">
        <v>4911</v>
      </c>
      <c r="J863" t="s">
        <v>8668</v>
      </c>
      <c r="L863">
        <v>0</v>
      </c>
      <c r="R863" s="16" t="s">
        <v>8064</v>
      </c>
      <c r="S863" s="16" t="s">
        <v>8064</v>
      </c>
      <c r="T863" t="s">
        <v>7376</v>
      </c>
      <c r="U863">
        <v>0</v>
      </c>
    </row>
    <row r="864" spans="1:21">
      <c r="A864">
        <v>842</v>
      </c>
      <c r="B864" t="s">
        <v>7377</v>
      </c>
      <c r="C864" t="s">
        <v>4551</v>
      </c>
      <c r="D864">
        <v>1253</v>
      </c>
      <c r="E864">
        <v>13</v>
      </c>
      <c r="F864" t="s">
        <v>1444</v>
      </c>
      <c r="G864" t="s">
        <v>4911</v>
      </c>
      <c r="J864" t="s">
        <v>8668</v>
      </c>
      <c r="L864">
        <v>0</v>
      </c>
      <c r="R864" s="16" t="s">
        <v>8064</v>
      </c>
      <c r="S864" s="16" t="s">
        <v>8064</v>
      </c>
      <c r="T864" t="s">
        <v>7377</v>
      </c>
      <c r="U864">
        <v>0</v>
      </c>
    </row>
    <row r="865" spans="1:21">
      <c r="A865">
        <v>825</v>
      </c>
      <c r="B865" t="s">
        <v>7705</v>
      </c>
      <c r="C865" t="s">
        <v>4401</v>
      </c>
      <c r="D865">
        <v>1042</v>
      </c>
      <c r="E865">
        <v>11</v>
      </c>
      <c r="F865" t="s">
        <v>1444</v>
      </c>
      <c r="G865" t="s">
        <v>4911</v>
      </c>
      <c r="J865" t="s">
        <v>8668</v>
      </c>
      <c r="L865">
        <v>0</v>
      </c>
      <c r="R865" s="16" t="s">
        <v>8064</v>
      </c>
      <c r="S865" s="16" t="s">
        <v>8064</v>
      </c>
      <c r="T865" t="s">
        <v>7735</v>
      </c>
      <c r="U865">
        <v>0</v>
      </c>
    </row>
    <row r="866" spans="1:21">
      <c r="A866">
        <v>827</v>
      </c>
      <c r="B866" t="s">
        <v>7706</v>
      </c>
      <c r="C866" t="s">
        <v>4409</v>
      </c>
      <c r="D866">
        <v>1057</v>
      </c>
      <c r="E866">
        <v>11</v>
      </c>
      <c r="F866" t="s">
        <v>1444</v>
      </c>
      <c r="G866" t="s">
        <v>4911</v>
      </c>
      <c r="J866" t="s">
        <v>8668</v>
      </c>
      <c r="L866">
        <v>0</v>
      </c>
      <c r="R866" s="16" t="s">
        <v>8064</v>
      </c>
      <c r="S866" s="16" t="s">
        <v>8064</v>
      </c>
      <c r="T866" t="s">
        <v>7735</v>
      </c>
      <c r="U866">
        <v>0</v>
      </c>
    </row>
    <row r="867" spans="1:21">
      <c r="A867">
        <v>868</v>
      </c>
      <c r="B867" t="s">
        <v>7401</v>
      </c>
      <c r="C867" t="s">
        <v>4822</v>
      </c>
      <c r="D867">
        <v>1263</v>
      </c>
      <c r="E867">
        <v>13</v>
      </c>
      <c r="F867" t="s">
        <v>1444</v>
      </c>
      <c r="G867" t="s">
        <v>4812</v>
      </c>
      <c r="I867" t="s">
        <v>1862</v>
      </c>
      <c r="J867" t="s">
        <v>8668</v>
      </c>
      <c r="L867">
        <v>0</v>
      </c>
      <c r="R867" s="16" t="s">
        <v>8064</v>
      </c>
      <c r="S867" s="16" t="s">
        <v>8064</v>
      </c>
      <c r="T867" t="s">
        <v>7401</v>
      </c>
      <c r="U867">
        <v>0</v>
      </c>
    </row>
    <row r="868" spans="1:21">
      <c r="A868">
        <v>864</v>
      </c>
      <c r="B868" t="s">
        <v>7395</v>
      </c>
      <c r="C868" t="s">
        <v>4748</v>
      </c>
      <c r="D868">
        <v>1232</v>
      </c>
      <c r="E868">
        <v>13</v>
      </c>
      <c r="F868" t="s">
        <v>4536</v>
      </c>
      <c r="G868" t="s">
        <v>4812</v>
      </c>
      <c r="I868" t="s">
        <v>1860</v>
      </c>
      <c r="J868" t="s">
        <v>8668</v>
      </c>
      <c r="L868">
        <v>1</v>
      </c>
      <c r="M868" t="s">
        <v>4536</v>
      </c>
      <c r="N868" t="s">
        <v>6309</v>
      </c>
      <c r="O868" t="s">
        <v>104</v>
      </c>
      <c r="P868">
        <v>48055</v>
      </c>
      <c r="Q868">
        <v>439493</v>
      </c>
      <c r="R868" s="16" t="s">
        <v>8476</v>
      </c>
      <c r="S868" s="16" t="s">
        <v>8181</v>
      </c>
      <c r="T868" t="s">
        <v>7838</v>
      </c>
      <c r="U868">
        <v>0</v>
      </c>
    </row>
    <row r="869" spans="1:21">
      <c r="A869">
        <v>869</v>
      </c>
      <c r="B869" t="s">
        <v>7387</v>
      </c>
      <c r="C869" t="s">
        <v>4823</v>
      </c>
      <c r="D869">
        <v>1265</v>
      </c>
      <c r="E869">
        <v>13</v>
      </c>
      <c r="F869" t="s">
        <v>4569</v>
      </c>
      <c r="G869" t="s">
        <v>4812</v>
      </c>
      <c r="I869" t="s">
        <v>1862</v>
      </c>
      <c r="J869" t="s">
        <v>8668</v>
      </c>
      <c r="L869">
        <v>1</v>
      </c>
      <c r="M869" t="s">
        <v>4569</v>
      </c>
      <c r="N869" t="s">
        <v>6374</v>
      </c>
      <c r="O869" t="s">
        <v>104</v>
      </c>
      <c r="P869">
        <v>30860</v>
      </c>
      <c r="Q869">
        <v>457770</v>
      </c>
      <c r="R869" s="16" t="s">
        <v>8478</v>
      </c>
      <c r="S869" s="16" t="s">
        <v>8183</v>
      </c>
      <c r="T869" t="s">
        <v>7387</v>
      </c>
      <c r="U869">
        <v>0</v>
      </c>
    </row>
    <row r="870" spans="1:21">
      <c r="A870">
        <v>872</v>
      </c>
      <c r="B870" t="s">
        <v>7388</v>
      </c>
      <c r="C870" t="s">
        <v>4824</v>
      </c>
      <c r="D870">
        <v>1277</v>
      </c>
      <c r="E870">
        <v>13</v>
      </c>
      <c r="F870" t="s">
        <v>4569</v>
      </c>
      <c r="G870" t="s">
        <v>4812</v>
      </c>
      <c r="I870" t="s">
        <v>1863</v>
      </c>
      <c r="J870" t="s">
        <v>8668</v>
      </c>
      <c r="L870">
        <v>1</v>
      </c>
      <c r="M870" t="s">
        <v>4569</v>
      </c>
      <c r="N870" t="s">
        <v>6374</v>
      </c>
      <c r="O870" t="s">
        <v>104</v>
      </c>
      <c r="P870">
        <v>30860</v>
      </c>
      <c r="Q870">
        <v>457770</v>
      </c>
      <c r="R870" s="16" t="s">
        <v>8478</v>
      </c>
      <c r="S870" s="16" t="s">
        <v>8183</v>
      </c>
      <c r="T870" t="s">
        <v>7388</v>
      </c>
      <c r="U870">
        <v>0</v>
      </c>
    </row>
    <row r="871" spans="1:21">
      <c r="A871">
        <v>858</v>
      </c>
      <c r="B871" t="s">
        <v>7389</v>
      </c>
      <c r="C871" t="s">
        <v>4513</v>
      </c>
      <c r="D871">
        <v>1185</v>
      </c>
      <c r="E871">
        <v>12</v>
      </c>
      <c r="F871" t="s">
        <v>4446</v>
      </c>
      <c r="G871" t="s">
        <v>4812</v>
      </c>
      <c r="I871" t="s">
        <v>1857</v>
      </c>
      <c r="J871" t="s">
        <v>8668</v>
      </c>
      <c r="L871">
        <v>1</v>
      </c>
      <c r="M871" t="s">
        <v>6368</v>
      </c>
      <c r="N871" t="s">
        <v>6369</v>
      </c>
      <c r="O871" t="s">
        <v>104</v>
      </c>
      <c r="P871">
        <v>50860</v>
      </c>
      <c r="Q871">
        <v>472440</v>
      </c>
      <c r="R871" s="16" t="s">
        <v>8386</v>
      </c>
      <c r="S871" s="16" t="s">
        <v>8090</v>
      </c>
      <c r="T871" t="s">
        <v>7389</v>
      </c>
      <c r="U871">
        <v>0</v>
      </c>
    </row>
    <row r="872" spans="1:21">
      <c r="A872">
        <v>849</v>
      </c>
      <c r="B872" t="s">
        <v>7390</v>
      </c>
      <c r="C872" t="s">
        <v>4814</v>
      </c>
      <c r="D872">
        <v>1109</v>
      </c>
      <c r="E872">
        <v>12</v>
      </c>
      <c r="F872" t="s">
        <v>4446</v>
      </c>
      <c r="G872" t="s">
        <v>4812</v>
      </c>
      <c r="I872" t="s">
        <v>1849</v>
      </c>
      <c r="J872" t="s">
        <v>8668</v>
      </c>
      <c r="L872">
        <v>1</v>
      </c>
      <c r="M872" t="s">
        <v>6368</v>
      </c>
      <c r="N872" t="s">
        <v>6369</v>
      </c>
      <c r="O872" t="s">
        <v>104</v>
      </c>
      <c r="P872">
        <v>50860</v>
      </c>
      <c r="Q872">
        <v>472440</v>
      </c>
      <c r="R872" s="16" t="s">
        <v>8386</v>
      </c>
      <c r="S872" s="16" t="s">
        <v>8090</v>
      </c>
      <c r="T872" t="s">
        <v>7390</v>
      </c>
      <c r="U872">
        <v>0</v>
      </c>
    </row>
    <row r="873" spans="1:21">
      <c r="A873">
        <v>853</v>
      </c>
      <c r="B873" t="s">
        <v>7399</v>
      </c>
      <c r="C873" t="s">
        <v>4818</v>
      </c>
      <c r="D873">
        <v>1125</v>
      </c>
      <c r="E873">
        <v>12</v>
      </c>
      <c r="F873" t="s">
        <v>4457</v>
      </c>
      <c r="G873" t="s">
        <v>4812</v>
      </c>
      <c r="I873" t="s">
        <v>1851</v>
      </c>
      <c r="J873" t="s">
        <v>8668</v>
      </c>
      <c r="L873">
        <v>1</v>
      </c>
      <c r="M873" t="s">
        <v>4457</v>
      </c>
      <c r="N873" t="s">
        <v>6305</v>
      </c>
      <c r="O873" t="s">
        <v>104</v>
      </c>
      <c r="P873">
        <v>27770</v>
      </c>
      <c r="Q873">
        <v>502910</v>
      </c>
      <c r="R873" s="16" t="s">
        <v>8480</v>
      </c>
      <c r="S873" s="16" t="s">
        <v>8185</v>
      </c>
      <c r="T873" t="s">
        <v>7399</v>
      </c>
      <c r="U873">
        <v>0</v>
      </c>
    </row>
    <row r="874" spans="1:21">
      <c r="A874">
        <v>850</v>
      </c>
      <c r="B874" t="s">
        <v>7391</v>
      </c>
      <c r="C874" t="s">
        <v>4816</v>
      </c>
      <c r="D874">
        <v>1111</v>
      </c>
      <c r="E874">
        <v>12</v>
      </c>
      <c r="F874" t="s">
        <v>4446</v>
      </c>
      <c r="G874" t="s">
        <v>4812</v>
      </c>
      <c r="I874" t="s">
        <v>1850</v>
      </c>
      <c r="J874" t="s">
        <v>8668</v>
      </c>
      <c r="L874">
        <v>1</v>
      </c>
      <c r="M874" t="s">
        <v>6368</v>
      </c>
      <c r="N874" t="s">
        <v>6369</v>
      </c>
      <c r="O874" t="s">
        <v>104</v>
      </c>
      <c r="P874">
        <v>50860</v>
      </c>
      <c r="Q874">
        <v>472440</v>
      </c>
      <c r="R874" s="16" t="s">
        <v>8386</v>
      </c>
      <c r="S874" s="16" t="s">
        <v>8090</v>
      </c>
      <c r="T874" t="s">
        <v>7391</v>
      </c>
      <c r="U874">
        <v>0</v>
      </c>
    </row>
    <row r="875" spans="1:21">
      <c r="A875">
        <v>851</v>
      </c>
      <c r="B875" t="s">
        <v>7392</v>
      </c>
      <c r="C875" t="s">
        <v>4816</v>
      </c>
      <c r="D875">
        <v>1111</v>
      </c>
      <c r="E875">
        <v>12</v>
      </c>
      <c r="F875" t="s">
        <v>4446</v>
      </c>
      <c r="G875" t="s">
        <v>4812</v>
      </c>
      <c r="I875" t="s">
        <v>1850</v>
      </c>
      <c r="J875" t="s">
        <v>8668</v>
      </c>
      <c r="L875">
        <v>1</v>
      </c>
      <c r="M875" t="s">
        <v>6368</v>
      </c>
      <c r="N875" t="s">
        <v>6369</v>
      </c>
      <c r="O875" t="s">
        <v>104</v>
      </c>
      <c r="P875">
        <v>50860</v>
      </c>
      <c r="Q875">
        <v>472440</v>
      </c>
      <c r="R875" s="16" t="s">
        <v>8386</v>
      </c>
      <c r="S875" s="16" t="s">
        <v>8090</v>
      </c>
      <c r="T875" t="s">
        <v>7392</v>
      </c>
      <c r="U875">
        <v>0</v>
      </c>
    </row>
    <row r="876" spans="1:21">
      <c r="A876">
        <v>866</v>
      </c>
      <c r="B876" t="s">
        <v>7403</v>
      </c>
      <c r="C876" t="s">
        <v>4798</v>
      </c>
      <c r="D876">
        <v>1252</v>
      </c>
      <c r="E876">
        <v>13</v>
      </c>
      <c r="F876" t="s">
        <v>1444</v>
      </c>
      <c r="G876" t="s">
        <v>4812</v>
      </c>
      <c r="I876" t="s">
        <v>1861</v>
      </c>
      <c r="J876" t="s">
        <v>8668</v>
      </c>
      <c r="L876">
        <v>0</v>
      </c>
      <c r="R876" s="16" t="s">
        <v>8064</v>
      </c>
      <c r="S876" s="16" t="s">
        <v>8064</v>
      </c>
      <c r="T876" t="s">
        <v>7840</v>
      </c>
      <c r="U876">
        <v>0</v>
      </c>
    </row>
    <row r="877" spans="1:21">
      <c r="A877">
        <v>867</v>
      </c>
      <c r="B877" t="s">
        <v>7393</v>
      </c>
      <c r="C877" t="s">
        <v>4559</v>
      </c>
      <c r="D877">
        <v>1256</v>
      </c>
      <c r="E877">
        <v>13</v>
      </c>
      <c r="F877" t="s">
        <v>4446</v>
      </c>
      <c r="G877" t="s">
        <v>4812</v>
      </c>
      <c r="I877" t="s">
        <v>1861</v>
      </c>
      <c r="J877" t="s">
        <v>8668</v>
      </c>
      <c r="L877">
        <v>1</v>
      </c>
      <c r="M877" t="s">
        <v>6368</v>
      </c>
      <c r="N877" t="s">
        <v>6369</v>
      </c>
      <c r="O877" t="s">
        <v>104</v>
      </c>
      <c r="P877">
        <v>50860</v>
      </c>
      <c r="Q877">
        <v>472440</v>
      </c>
      <c r="R877" s="16" t="s">
        <v>8386</v>
      </c>
      <c r="S877" s="16" t="s">
        <v>8090</v>
      </c>
      <c r="T877" t="s">
        <v>7393</v>
      </c>
      <c r="U877">
        <v>0</v>
      </c>
    </row>
    <row r="878" spans="1:21">
      <c r="A878">
        <v>873</v>
      </c>
      <c r="B878" t="s">
        <v>7404</v>
      </c>
      <c r="C878" t="s">
        <v>4965</v>
      </c>
      <c r="D878">
        <v>1289</v>
      </c>
      <c r="E878">
        <v>13</v>
      </c>
      <c r="F878" t="s">
        <v>1444</v>
      </c>
      <c r="G878" t="s">
        <v>4812</v>
      </c>
      <c r="J878" t="s">
        <v>8668</v>
      </c>
      <c r="L878">
        <v>0</v>
      </c>
      <c r="R878" s="16" t="s">
        <v>8064</v>
      </c>
      <c r="S878" s="16" t="s">
        <v>8064</v>
      </c>
      <c r="T878" t="s">
        <v>7404</v>
      </c>
      <c r="U878">
        <v>0</v>
      </c>
    </row>
    <row r="879" spans="1:21">
      <c r="A879">
        <v>861</v>
      </c>
      <c r="B879" t="s">
        <v>7405</v>
      </c>
      <c r="C879" t="s">
        <v>4966</v>
      </c>
      <c r="D879">
        <v>1194</v>
      </c>
      <c r="E879">
        <v>12</v>
      </c>
      <c r="F879" t="s">
        <v>1444</v>
      </c>
      <c r="G879" t="s">
        <v>4812</v>
      </c>
      <c r="J879" t="s">
        <v>8668</v>
      </c>
      <c r="L879">
        <v>0</v>
      </c>
      <c r="R879" s="16" t="s">
        <v>8064</v>
      </c>
      <c r="S879" s="16" t="s">
        <v>8064</v>
      </c>
      <c r="T879" t="s">
        <v>7405</v>
      </c>
      <c r="U879">
        <v>0</v>
      </c>
    </row>
    <row r="880" spans="1:21">
      <c r="A880">
        <v>863</v>
      </c>
      <c r="B880" t="s">
        <v>7394</v>
      </c>
      <c r="C880" t="s">
        <v>2028</v>
      </c>
      <c r="D880">
        <v>1229</v>
      </c>
      <c r="E880">
        <v>13</v>
      </c>
      <c r="F880" t="s">
        <v>4446</v>
      </c>
      <c r="G880" t="s">
        <v>4812</v>
      </c>
      <c r="I880" t="s">
        <v>1859</v>
      </c>
      <c r="J880" t="s">
        <v>8668</v>
      </c>
      <c r="L880">
        <v>1</v>
      </c>
      <c r="M880" t="s">
        <v>6368</v>
      </c>
      <c r="N880" t="s">
        <v>6369</v>
      </c>
      <c r="O880" t="s">
        <v>104</v>
      </c>
      <c r="P880">
        <v>50860</v>
      </c>
      <c r="Q880">
        <v>472440</v>
      </c>
      <c r="R880" s="16" t="s">
        <v>8386</v>
      </c>
      <c r="S880" s="16" t="s">
        <v>8090</v>
      </c>
      <c r="T880" t="s">
        <v>7394</v>
      </c>
      <c r="U880">
        <v>0</v>
      </c>
    </row>
    <row r="881" spans="1:21">
      <c r="A881">
        <v>855</v>
      </c>
      <c r="B881" t="s">
        <v>7406</v>
      </c>
      <c r="C881" t="s">
        <v>4482</v>
      </c>
      <c r="D881">
        <v>1163</v>
      </c>
      <c r="E881">
        <v>12</v>
      </c>
      <c r="F881" t="s">
        <v>1444</v>
      </c>
      <c r="G881" t="s">
        <v>4812</v>
      </c>
      <c r="I881" t="s">
        <v>1852</v>
      </c>
      <c r="J881" t="s">
        <v>8668</v>
      </c>
      <c r="L881">
        <v>0</v>
      </c>
      <c r="R881" s="16" t="s">
        <v>8064</v>
      </c>
      <c r="S881" s="16" t="s">
        <v>8064</v>
      </c>
      <c r="T881" t="s">
        <v>7406</v>
      </c>
      <c r="U881">
        <v>0</v>
      </c>
    </row>
    <row r="882" spans="1:21">
      <c r="A882">
        <v>882</v>
      </c>
      <c r="B882" t="s">
        <v>7407</v>
      </c>
      <c r="C882" t="s">
        <v>4811</v>
      </c>
      <c r="D882">
        <v>1297</v>
      </c>
      <c r="E882">
        <v>13</v>
      </c>
      <c r="F882" t="s">
        <v>1444</v>
      </c>
      <c r="G882" t="s">
        <v>4812</v>
      </c>
      <c r="I882" t="s">
        <v>1870</v>
      </c>
      <c r="J882" t="s">
        <v>8668</v>
      </c>
      <c r="L882">
        <v>0</v>
      </c>
      <c r="R882" s="16" t="s">
        <v>8064</v>
      </c>
      <c r="S882" s="16" t="s">
        <v>8064</v>
      </c>
      <c r="T882" t="s">
        <v>7407</v>
      </c>
      <c r="U882">
        <v>0</v>
      </c>
    </row>
    <row r="883" spans="1:21">
      <c r="A883">
        <v>884</v>
      </c>
      <c r="B883" t="s">
        <v>7385</v>
      </c>
      <c r="C883" t="s">
        <v>4642</v>
      </c>
      <c r="D883">
        <v>1298</v>
      </c>
      <c r="E883">
        <v>13</v>
      </c>
      <c r="F883" t="s">
        <v>4643</v>
      </c>
      <c r="G883" t="s">
        <v>4812</v>
      </c>
      <c r="I883" t="s">
        <v>1872</v>
      </c>
      <c r="J883" t="s">
        <v>8668</v>
      </c>
      <c r="L883">
        <v>1</v>
      </c>
      <c r="M883" t="s">
        <v>6681</v>
      </c>
      <c r="N883" t="s">
        <v>6416</v>
      </c>
      <c r="O883" t="s">
        <v>11</v>
      </c>
      <c r="P883" t="s">
        <v>6682</v>
      </c>
      <c r="Q883" t="s">
        <v>6683</v>
      </c>
      <c r="R883" s="16" t="s">
        <v>6682</v>
      </c>
      <c r="S883" s="16" t="s">
        <v>6683</v>
      </c>
      <c r="T883" t="s">
        <v>7385</v>
      </c>
      <c r="U883">
        <v>0</v>
      </c>
    </row>
    <row r="884" spans="1:21">
      <c r="A884">
        <v>878</v>
      </c>
      <c r="B884" t="s">
        <v>7408</v>
      </c>
      <c r="C884" t="s">
        <v>790</v>
      </c>
      <c r="D884">
        <v>1295</v>
      </c>
      <c r="E884">
        <v>13</v>
      </c>
      <c r="F884" t="s">
        <v>1444</v>
      </c>
      <c r="G884" t="s">
        <v>4812</v>
      </c>
      <c r="I884" t="s">
        <v>1866</v>
      </c>
      <c r="J884" t="s">
        <v>8668</v>
      </c>
      <c r="L884">
        <v>0</v>
      </c>
      <c r="R884" s="16" t="s">
        <v>8064</v>
      </c>
      <c r="S884" s="16" t="s">
        <v>8064</v>
      </c>
      <c r="T884" t="s">
        <v>7408</v>
      </c>
      <c r="U884">
        <v>0</v>
      </c>
    </row>
    <row r="885" spans="1:21">
      <c r="A885">
        <v>865</v>
      </c>
      <c r="B885" t="s">
        <v>7409</v>
      </c>
      <c r="C885" t="s">
        <v>1816</v>
      </c>
      <c r="D885">
        <v>1249</v>
      </c>
      <c r="E885">
        <v>13</v>
      </c>
      <c r="F885" t="s">
        <v>1444</v>
      </c>
      <c r="G885" t="s">
        <v>4812</v>
      </c>
      <c r="I885" t="s">
        <v>1860</v>
      </c>
      <c r="J885" t="s">
        <v>8668</v>
      </c>
      <c r="L885">
        <v>0</v>
      </c>
      <c r="R885" s="16" t="s">
        <v>8064</v>
      </c>
      <c r="S885" s="16" t="s">
        <v>8064</v>
      </c>
      <c r="T885" t="s">
        <v>7409</v>
      </c>
      <c r="U885">
        <v>0</v>
      </c>
    </row>
    <row r="886" spans="1:21">
      <c r="A886">
        <v>862</v>
      </c>
      <c r="B886" t="s">
        <v>7707</v>
      </c>
      <c r="C886" t="s">
        <v>4819</v>
      </c>
      <c r="D886">
        <v>1227</v>
      </c>
      <c r="E886">
        <v>13</v>
      </c>
      <c r="F886" t="s">
        <v>1444</v>
      </c>
      <c r="G886" t="s">
        <v>4812</v>
      </c>
      <c r="I886" t="s">
        <v>1859</v>
      </c>
      <c r="J886" t="s">
        <v>8668</v>
      </c>
      <c r="L886">
        <v>0</v>
      </c>
      <c r="R886" s="16" t="s">
        <v>8064</v>
      </c>
      <c r="S886" s="16" t="s">
        <v>8064</v>
      </c>
      <c r="T886" t="s">
        <v>7736</v>
      </c>
      <c r="U886">
        <v>0</v>
      </c>
    </row>
    <row r="887" spans="1:21">
      <c r="A887">
        <v>881</v>
      </c>
      <c r="B887" t="s">
        <v>7708</v>
      </c>
      <c r="C887" t="s">
        <v>4718</v>
      </c>
      <c r="D887">
        <v>1296</v>
      </c>
      <c r="E887">
        <v>13</v>
      </c>
      <c r="F887" t="s">
        <v>1444</v>
      </c>
      <c r="G887" t="s">
        <v>4812</v>
      </c>
      <c r="I887" t="s">
        <v>1869</v>
      </c>
      <c r="J887" t="s">
        <v>8668</v>
      </c>
      <c r="L887">
        <v>0</v>
      </c>
      <c r="R887" s="16" t="s">
        <v>8064</v>
      </c>
      <c r="S887" s="16" t="s">
        <v>8064</v>
      </c>
      <c r="T887" t="s">
        <v>7708</v>
      </c>
      <c r="U887">
        <v>0</v>
      </c>
    </row>
    <row r="888" spans="1:21">
      <c r="A888">
        <v>871</v>
      </c>
      <c r="B888" t="s">
        <v>7709</v>
      </c>
      <c r="C888" t="s">
        <v>760</v>
      </c>
      <c r="D888">
        <v>1273</v>
      </c>
      <c r="E888">
        <v>13</v>
      </c>
      <c r="F888" t="s">
        <v>1444</v>
      </c>
      <c r="G888" t="s">
        <v>4812</v>
      </c>
      <c r="I888" t="s">
        <v>1864</v>
      </c>
      <c r="J888" t="s">
        <v>8668</v>
      </c>
      <c r="L888">
        <v>0</v>
      </c>
      <c r="R888" s="16" t="s">
        <v>8064</v>
      </c>
      <c r="S888" s="16" t="s">
        <v>8064</v>
      </c>
      <c r="T888" t="s">
        <v>7709</v>
      </c>
      <c r="U888">
        <v>0</v>
      </c>
    </row>
    <row r="889" spans="1:21">
      <c r="A889">
        <v>857</v>
      </c>
      <c r="B889" t="s">
        <v>7400</v>
      </c>
      <c r="C889" t="s">
        <v>4494</v>
      </c>
      <c r="D889">
        <v>1177</v>
      </c>
      <c r="E889">
        <v>12</v>
      </c>
      <c r="F889" t="s">
        <v>4495</v>
      </c>
      <c r="G889" t="s">
        <v>4812</v>
      </c>
      <c r="I889" t="s">
        <v>1854</v>
      </c>
      <c r="J889" t="s">
        <v>8668</v>
      </c>
      <c r="L889">
        <v>1</v>
      </c>
      <c r="M889" t="s">
        <v>6300</v>
      </c>
      <c r="N889" t="s">
        <v>6301</v>
      </c>
      <c r="O889" t="s">
        <v>104</v>
      </c>
      <c r="P889">
        <v>26333</v>
      </c>
      <c r="Q889">
        <v>424833</v>
      </c>
      <c r="R889" s="16" t="s">
        <v>8481</v>
      </c>
      <c r="S889" s="16" t="s">
        <v>8186</v>
      </c>
      <c r="T889" t="s">
        <v>7400</v>
      </c>
      <c r="U889">
        <v>0</v>
      </c>
    </row>
    <row r="890" spans="1:21">
      <c r="A890">
        <v>968</v>
      </c>
      <c r="B890" t="s">
        <v>7479</v>
      </c>
      <c r="C890" t="s">
        <v>4847</v>
      </c>
      <c r="D890">
        <v>1140</v>
      </c>
      <c r="E890">
        <v>12</v>
      </c>
      <c r="F890" t="s">
        <v>4466</v>
      </c>
      <c r="G890" t="s">
        <v>9321</v>
      </c>
      <c r="I890" t="s">
        <v>1975</v>
      </c>
      <c r="J890" t="s">
        <v>9080</v>
      </c>
      <c r="L890">
        <v>1</v>
      </c>
      <c r="M890" t="s">
        <v>6703</v>
      </c>
      <c r="N890" t="s">
        <v>6704</v>
      </c>
      <c r="O890" t="s">
        <v>104</v>
      </c>
      <c r="P890" t="s">
        <v>6705</v>
      </c>
      <c r="Q890" t="s">
        <v>6706</v>
      </c>
      <c r="R890" s="16" t="s">
        <v>8491</v>
      </c>
      <c r="S890" s="16" t="s">
        <v>8197</v>
      </c>
      <c r="T890" t="s">
        <v>7479</v>
      </c>
      <c r="U890">
        <v>1</v>
      </c>
    </row>
    <row r="891" spans="1:21">
      <c r="A891">
        <v>969</v>
      </c>
      <c r="B891" t="s">
        <v>7503</v>
      </c>
      <c r="C891" t="s">
        <v>4839</v>
      </c>
      <c r="D891">
        <v>1274</v>
      </c>
      <c r="E891">
        <v>13</v>
      </c>
      <c r="F891" t="s">
        <v>4594</v>
      </c>
      <c r="G891" t="s">
        <v>9322</v>
      </c>
      <c r="I891" t="s">
        <v>1989</v>
      </c>
      <c r="J891" t="s">
        <v>9073</v>
      </c>
      <c r="L891">
        <v>1</v>
      </c>
      <c r="M891" t="s">
        <v>5187</v>
      </c>
      <c r="N891" t="s">
        <v>6369</v>
      </c>
      <c r="O891" t="s">
        <v>104</v>
      </c>
      <c r="P891">
        <v>43890</v>
      </c>
      <c r="Q891">
        <v>476360</v>
      </c>
      <c r="R891" s="16" t="s">
        <v>8496</v>
      </c>
      <c r="S891" s="16" t="s">
        <v>8202</v>
      </c>
      <c r="T891" t="s">
        <v>7503</v>
      </c>
      <c r="U891">
        <v>1</v>
      </c>
    </row>
    <row r="892" spans="1:21">
      <c r="A892">
        <v>974</v>
      </c>
      <c r="B892" t="s">
        <v>1951</v>
      </c>
      <c r="C892" t="s">
        <v>4583</v>
      </c>
      <c r="D892">
        <v>1275</v>
      </c>
      <c r="E892">
        <v>13</v>
      </c>
      <c r="F892" t="s">
        <v>4580</v>
      </c>
      <c r="G892" t="s">
        <v>9323</v>
      </c>
      <c r="I892" t="s">
        <v>2011</v>
      </c>
      <c r="J892" t="s">
        <v>9070</v>
      </c>
      <c r="L892">
        <v>1</v>
      </c>
      <c r="M892" t="s">
        <v>4580</v>
      </c>
      <c r="N892" t="s">
        <v>6315</v>
      </c>
      <c r="O892" t="s">
        <v>104</v>
      </c>
      <c r="P892" t="s">
        <v>6316</v>
      </c>
      <c r="Q892">
        <v>492770</v>
      </c>
      <c r="R892" s="16" t="s">
        <v>8606</v>
      </c>
      <c r="S892" s="16" t="s">
        <v>8312</v>
      </c>
      <c r="T892" t="s">
        <v>1951</v>
      </c>
      <c r="U892">
        <v>1</v>
      </c>
    </row>
    <row r="893" spans="1:21">
      <c r="A893">
        <v>978</v>
      </c>
      <c r="B893" t="s">
        <v>7483</v>
      </c>
      <c r="C893" t="s">
        <v>4430</v>
      </c>
      <c r="D893">
        <v>1087</v>
      </c>
      <c r="E893">
        <v>11</v>
      </c>
      <c r="F893" t="s">
        <v>4431</v>
      </c>
      <c r="G893" t="s">
        <v>9325</v>
      </c>
      <c r="I893" t="s">
        <v>1995</v>
      </c>
      <c r="J893" t="s">
        <v>8701</v>
      </c>
      <c r="L893">
        <v>1</v>
      </c>
      <c r="M893" t="s">
        <v>6465</v>
      </c>
      <c r="N893" t="s">
        <v>6359</v>
      </c>
      <c r="O893" t="s">
        <v>104</v>
      </c>
      <c r="P893" t="s">
        <v>6466</v>
      </c>
      <c r="Q893">
        <v>483640</v>
      </c>
      <c r="R893" s="16" t="s">
        <v>8493</v>
      </c>
      <c r="S893" s="16" t="s">
        <v>8199</v>
      </c>
      <c r="T893" t="s">
        <v>7483</v>
      </c>
      <c r="U893">
        <v>1</v>
      </c>
    </row>
    <row r="894" spans="1:21">
      <c r="A894">
        <v>975</v>
      </c>
      <c r="B894" t="s">
        <v>7494</v>
      </c>
      <c r="C894" t="s">
        <v>4848</v>
      </c>
      <c r="D894">
        <v>1201</v>
      </c>
      <c r="E894">
        <v>13</v>
      </c>
      <c r="F894" t="s">
        <v>4400</v>
      </c>
      <c r="G894" t="s">
        <v>9324</v>
      </c>
      <c r="I894" t="s">
        <v>1981</v>
      </c>
      <c r="J894" t="s">
        <v>9083</v>
      </c>
      <c r="L894">
        <v>1</v>
      </c>
      <c r="M894" t="s">
        <v>6600</v>
      </c>
      <c r="N894" t="s">
        <v>6601</v>
      </c>
      <c r="O894" t="s">
        <v>104</v>
      </c>
      <c r="P894" t="s">
        <v>6602</v>
      </c>
      <c r="Q894" t="s">
        <v>6603</v>
      </c>
      <c r="R894" s="16" t="s">
        <v>6602</v>
      </c>
      <c r="S894" s="16" t="s">
        <v>6603</v>
      </c>
      <c r="T894" t="s">
        <v>7859</v>
      </c>
      <c r="U894">
        <v>1</v>
      </c>
    </row>
    <row r="895" spans="1:21">
      <c r="A895">
        <v>994</v>
      </c>
      <c r="B895" t="s">
        <v>7502</v>
      </c>
      <c r="C895" t="s">
        <v>1873</v>
      </c>
      <c r="D895">
        <v>1275</v>
      </c>
      <c r="E895">
        <v>13</v>
      </c>
      <c r="F895" t="s">
        <v>4589</v>
      </c>
      <c r="G895" t="s">
        <v>9326</v>
      </c>
      <c r="I895" t="s">
        <v>1988</v>
      </c>
      <c r="J895" t="s">
        <v>9071</v>
      </c>
      <c r="L895">
        <v>1</v>
      </c>
      <c r="M895" t="s">
        <v>4589</v>
      </c>
      <c r="N895" t="s">
        <v>6550</v>
      </c>
      <c r="O895" t="s">
        <v>104</v>
      </c>
      <c r="P895" t="s">
        <v>6551</v>
      </c>
      <c r="Q895" t="s">
        <v>6552</v>
      </c>
      <c r="R895" s="16" t="s">
        <v>8495</v>
      </c>
      <c r="S895" s="16" t="s">
        <v>8201</v>
      </c>
      <c r="T895" t="s">
        <v>7502</v>
      </c>
      <c r="U895">
        <v>1</v>
      </c>
    </row>
    <row r="896" spans="1:21">
      <c r="A896">
        <v>931</v>
      </c>
      <c r="B896" t="s">
        <v>7510</v>
      </c>
      <c r="C896" t="s">
        <v>760</v>
      </c>
      <c r="D896">
        <v>1273</v>
      </c>
      <c r="E896">
        <v>13</v>
      </c>
      <c r="F896" t="s">
        <v>4417</v>
      </c>
      <c r="G896" t="s">
        <v>9312</v>
      </c>
      <c r="I896" t="s">
        <v>1988</v>
      </c>
      <c r="J896" t="s">
        <v>9072</v>
      </c>
      <c r="L896">
        <v>1</v>
      </c>
      <c r="M896" t="s">
        <v>4417</v>
      </c>
      <c r="N896" t="s">
        <v>6296</v>
      </c>
      <c r="O896" t="s">
        <v>104</v>
      </c>
      <c r="P896" t="s">
        <v>6297</v>
      </c>
      <c r="Q896">
        <v>474784</v>
      </c>
      <c r="R896" s="16" t="s">
        <v>6297</v>
      </c>
      <c r="S896" s="16" t="s">
        <v>8193</v>
      </c>
      <c r="T896" t="s">
        <v>7510</v>
      </c>
      <c r="U896">
        <v>1</v>
      </c>
    </row>
    <row r="897" spans="1:21">
      <c r="A897">
        <v>996</v>
      </c>
      <c r="B897" t="s">
        <v>7471</v>
      </c>
      <c r="C897" t="s">
        <v>4767</v>
      </c>
      <c r="D897">
        <v>974</v>
      </c>
      <c r="E897">
        <v>10</v>
      </c>
      <c r="F897" t="s">
        <v>4365</v>
      </c>
      <c r="G897" t="s">
        <v>9327</v>
      </c>
      <c r="I897" t="s">
        <v>1964</v>
      </c>
      <c r="J897" t="s">
        <v>9075</v>
      </c>
      <c r="L897">
        <v>1</v>
      </c>
      <c r="M897" t="s">
        <v>6758</v>
      </c>
      <c r="N897" t="s">
        <v>6759</v>
      </c>
      <c r="O897" t="s">
        <v>104</v>
      </c>
      <c r="P897" t="s">
        <v>6760</v>
      </c>
      <c r="Q897" t="s">
        <v>6761</v>
      </c>
      <c r="R897" s="16" t="s">
        <v>8483</v>
      </c>
      <c r="S897" s="16" t="s">
        <v>8188</v>
      </c>
      <c r="T897" t="s">
        <v>7853</v>
      </c>
      <c r="U897">
        <v>1</v>
      </c>
    </row>
    <row r="898" spans="1:21">
      <c r="A898">
        <v>932</v>
      </c>
      <c r="B898" t="s">
        <v>7507</v>
      </c>
      <c r="C898" t="s">
        <v>4339</v>
      </c>
      <c r="D898">
        <v>1074</v>
      </c>
      <c r="E898">
        <v>11</v>
      </c>
      <c r="F898" t="s">
        <v>4422</v>
      </c>
      <c r="G898" t="s">
        <v>9313</v>
      </c>
      <c r="I898" t="s">
        <v>1983</v>
      </c>
      <c r="J898" t="s">
        <v>9079</v>
      </c>
      <c r="L898">
        <v>1</v>
      </c>
      <c r="M898" t="s">
        <v>4422</v>
      </c>
      <c r="N898" t="s">
        <v>6296</v>
      </c>
      <c r="O898" t="s">
        <v>104</v>
      </c>
      <c r="P898" t="s">
        <v>6297</v>
      </c>
      <c r="Q898">
        <v>474784</v>
      </c>
      <c r="R898" s="16" t="s">
        <v>6297</v>
      </c>
      <c r="S898" s="16" t="s">
        <v>8193</v>
      </c>
      <c r="T898" t="s">
        <v>7507</v>
      </c>
      <c r="U898">
        <v>1</v>
      </c>
    </row>
    <row r="899" spans="1:21">
      <c r="A899">
        <v>902</v>
      </c>
      <c r="B899" t="s">
        <v>7423</v>
      </c>
      <c r="C899" t="s">
        <v>4424</v>
      </c>
      <c r="D899">
        <v>1074</v>
      </c>
      <c r="E899">
        <v>11</v>
      </c>
      <c r="F899" t="s">
        <v>4425</v>
      </c>
      <c r="G899" t="s">
        <v>9308</v>
      </c>
      <c r="I899" t="s">
        <v>4912</v>
      </c>
      <c r="J899" t="s">
        <v>9062</v>
      </c>
      <c r="L899">
        <v>1</v>
      </c>
      <c r="M899" t="s">
        <v>4425</v>
      </c>
      <c r="N899" t="s">
        <v>6315</v>
      </c>
      <c r="O899" t="s">
        <v>104</v>
      </c>
      <c r="P899">
        <v>10990</v>
      </c>
      <c r="Q899">
        <v>494430</v>
      </c>
      <c r="R899" s="16" t="s">
        <v>8453</v>
      </c>
      <c r="S899" s="16" t="s">
        <v>8157</v>
      </c>
      <c r="T899" t="s">
        <v>7423</v>
      </c>
      <c r="U899">
        <v>1</v>
      </c>
    </row>
    <row r="900" spans="1:21">
      <c r="A900">
        <v>997</v>
      </c>
      <c r="B900" t="s">
        <v>7477</v>
      </c>
      <c r="C900" t="s">
        <v>4427</v>
      </c>
      <c r="D900">
        <v>1085</v>
      </c>
      <c r="E900">
        <v>11</v>
      </c>
      <c r="F900" t="s">
        <v>4428</v>
      </c>
      <c r="G900" t="s">
        <v>9328</v>
      </c>
      <c r="I900" t="s">
        <v>1993</v>
      </c>
      <c r="J900" t="s">
        <v>9085</v>
      </c>
      <c r="L900">
        <v>1</v>
      </c>
      <c r="M900" t="s">
        <v>4425</v>
      </c>
      <c r="N900" t="s">
        <v>6315</v>
      </c>
      <c r="O900" t="s">
        <v>104</v>
      </c>
      <c r="P900">
        <v>10990</v>
      </c>
      <c r="Q900">
        <v>494430</v>
      </c>
      <c r="R900" s="16" t="s">
        <v>8453</v>
      </c>
      <c r="S900" s="16" t="s">
        <v>8157</v>
      </c>
      <c r="T900" t="s">
        <v>7477</v>
      </c>
      <c r="U900">
        <v>1</v>
      </c>
    </row>
    <row r="901" spans="1:21">
      <c r="A901">
        <v>998</v>
      </c>
      <c r="B901" t="s">
        <v>7635</v>
      </c>
      <c r="C901" t="s">
        <v>4484</v>
      </c>
      <c r="D901">
        <v>1162</v>
      </c>
      <c r="E901">
        <v>12</v>
      </c>
      <c r="F901" t="s">
        <v>1444</v>
      </c>
      <c r="G901" t="s">
        <v>9329</v>
      </c>
      <c r="I901" t="s">
        <v>1976</v>
      </c>
      <c r="J901" t="s">
        <v>8840</v>
      </c>
      <c r="L901">
        <v>0</v>
      </c>
      <c r="R901" s="16" t="s">
        <v>8064</v>
      </c>
      <c r="S901" s="16" t="s">
        <v>8064</v>
      </c>
      <c r="T901" t="s">
        <v>7635</v>
      </c>
      <c r="U901">
        <v>1</v>
      </c>
    </row>
    <row r="902" spans="1:21">
      <c r="A902">
        <v>999</v>
      </c>
      <c r="B902" t="s">
        <v>7482</v>
      </c>
      <c r="C902" t="s">
        <v>4350</v>
      </c>
      <c r="D902">
        <v>1223</v>
      </c>
      <c r="E902">
        <v>13</v>
      </c>
      <c r="F902" t="s">
        <v>4526</v>
      </c>
      <c r="G902" t="s">
        <v>9330</v>
      </c>
      <c r="I902" t="s">
        <v>2001</v>
      </c>
      <c r="J902" t="s">
        <v>9124</v>
      </c>
      <c r="L902">
        <v>1</v>
      </c>
      <c r="M902" t="s">
        <v>6661</v>
      </c>
      <c r="N902" t="s">
        <v>6662</v>
      </c>
      <c r="O902" t="s">
        <v>11</v>
      </c>
      <c r="P902" t="s">
        <v>6663</v>
      </c>
      <c r="Q902" t="s">
        <v>6664</v>
      </c>
      <c r="R902" s="16" t="s">
        <v>8492</v>
      </c>
      <c r="S902" s="16" t="s">
        <v>8198</v>
      </c>
      <c r="T902" t="s">
        <v>7482</v>
      </c>
      <c r="U902">
        <v>1</v>
      </c>
    </row>
    <row r="903" spans="1:21">
      <c r="A903">
        <v>1003</v>
      </c>
      <c r="B903" t="s">
        <v>7493</v>
      </c>
      <c r="C903" t="s">
        <v>4432</v>
      </c>
      <c r="D903">
        <v>1090</v>
      </c>
      <c r="E903">
        <v>11</v>
      </c>
      <c r="F903" t="s">
        <v>4433</v>
      </c>
      <c r="G903" t="s">
        <v>9332</v>
      </c>
      <c r="I903" t="s">
        <v>1995</v>
      </c>
      <c r="J903" t="s">
        <v>9086</v>
      </c>
      <c r="L903">
        <v>1</v>
      </c>
      <c r="M903" t="s">
        <v>4433</v>
      </c>
      <c r="N903" t="s">
        <v>6616</v>
      </c>
      <c r="O903" t="s">
        <v>104</v>
      </c>
      <c r="P903" t="s">
        <v>6617</v>
      </c>
      <c r="Q903" t="s">
        <v>6618</v>
      </c>
      <c r="R903" s="16" t="s">
        <v>8494</v>
      </c>
      <c r="S903" s="16" t="s">
        <v>8200</v>
      </c>
      <c r="T903" t="s">
        <v>7493</v>
      </c>
      <c r="U903">
        <v>1</v>
      </c>
    </row>
    <row r="904" spans="1:21">
      <c r="A904">
        <v>1000</v>
      </c>
      <c r="B904" t="s">
        <v>7636</v>
      </c>
      <c r="C904" t="s">
        <v>4837</v>
      </c>
      <c r="D904">
        <v>1264</v>
      </c>
      <c r="E904">
        <v>13</v>
      </c>
      <c r="F904" t="s">
        <v>1444</v>
      </c>
      <c r="G904" t="s">
        <v>9331</v>
      </c>
      <c r="I904" t="s">
        <v>2009</v>
      </c>
      <c r="J904" t="s">
        <v>8841</v>
      </c>
      <c r="L904">
        <v>0</v>
      </c>
      <c r="R904" s="16" t="s">
        <v>8064</v>
      </c>
      <c r="S904" s="16" t="s">
        <v>8064</v>
      </c>
      <c r="T904" t="s">
        <v>7636</v>
      </c>
      <c r="U904">
        <v>1</v>
      </c>
    </row>
    <row r="905" spans="1:21">
      <c r="A905">
        <v>933</v>
      </c>
      <c r="B905" t="s">
        <v>7516</v>
      </c>
      <c r="C905" t="s">
        <v>4738</v>
      </c>
      <c r="D905">
        <v>1280</v>
      </c>
      <c r="E905">
        <v>13</v>
      </c>
      <c r="F905" t="s">
        <v>1444</v>
      </c>
      <c r="G905" t="s">
        <v>9314</v>
      </c>
      <c r="I905" t="s">
        <v>1989</v>
      </c>
      <c r="J905" t="s">
        <v>8837</v>
      </c>
      <c r="L905">
        <v>0</v>
      </c>
      <c r="R905" s="16" t="s">
        <v>8064</v>
      </c>
      <c r="S905" s="16" t="s">
        <v>8064</v>
      </c>
      <c r="T905" t="s">
        <v>7860</v>
      </c>
      <c r="U905">
        <v>1</v>
      </c>
    </row>
    <row r="906" spans="1:21">
      <c r="A906">
        <v>934</v>
      </c>
      <c r="B906" t="s">
        <v>7517</v>
      </c>
      <c r="C906" t="s">
        <v>4715</v>
      </c>
      <c r="D906">
        <v>1282</v>
      </c>
      <c r="E906">
        <v>13</v>
      </c>
      <c r="F906" t="s">
        <v>1444</v>
      </c>
      <c r="G906" t="s">
        <v>9314</v>
      </c>
      <c r="I906" t="s">
        <v>1989</v>
      </c>
      <c r="J906" t="s">
        <v>8837</v>
      </c>
      <c r="L906">
        <v>0</v>
      </c>
      <c r="R906" s="16" t="s">
        <v>8064</v>
      </c>
      <c r="S906" s="16" t="s">
        <v>8064</v>
      </c>
      <c r="T906" t="s">
        <v>7860</v>
      </c>
      <c r="U906">
        <v>1</v>
      </c>
    </row>
    <row r="907" spans="1:21">
      <c r="A907">
        <v>1001</v>
      </c>
      <c r="B907" t="s">
        <v>7481</v>
      </c>
      <c r="C907" t="s">
        <v>4840</v>
      </c>
      <c r="D907">
        <v>1288</v>
      </c>
      <c r="E907">
        <v>13</v>
      </c>
      <c r="F907" t="s">
        <v>4502</v>
      </c>
      <c r="G907" t="s">
        <v>9333</v>
      </c>
      <c r="I907" t="s">
        <v>2015</v>
      </c>
      <c r="J907" t="s">
        <v>9074</v>
      </c>
      <c r="L907">
        <v>1</v>
      </c>
      <c r="M907" t="s">
        <v>4502</v>
      </c>
      <c r="N907" t="s">
        <v>6456</v>
      </c>
      <c r="O907" t="s">
        <v>104</v>
      </c>
      <c r="P907">
        <v>23522</v>
      </c>
      <c r="Q907">
        <v>488566</v>
      </c>
      <c r="R907" s="16" t="s">
        <v>8364</v>
      </c>
      <c r="S907" s="16" t="s">
        <v>8069</v>
      </c>
      <c r="T907" t="s">
        <v>7481</v>
      </c>
      <c r="U907">
        <v>1</v>
      </c>
    </row>
    <row r="908" spans="1:21">
      <c r="A908">
        <v>1002</v>
      </c>
      <c r="B908" t="s">
        <v>7637</v>
      </c>
      <c r="C908" t="s">
        <v>4838</v>
      </c>
      <c r="D908">
        <v>1255</v>
      </c>
      <c r="E908">
        <v>13</v>
      </c>
      <c r="F908" t="s">
        <v>1444</v>
      </c>
      <c r="G908" t="s">
        <v>9334</v>
      </c>
      <c r="I908" t="s">
        <v>2009</v>
      </c>
      <c r="J908" t="s">
        <v>8842</v>
      </c>
      <c r="L908">
        <v>0</v>
      </c>
      <c r="R908" s="16" t="s">
        <v>8064</v>
      </c>
      <c r="S908" s="16" t="s">
        <v>8064</v>
      </c>
      <c r="T908" t="s">
        <v>7637</v>
      </c>
      <c r="U908">
        <v>1</v>
      </c>
    </row>
    <row r="909" spans="1:21">
      <c r="A909">
        <v>921</v>
      </c>
      <c r="B909" t="s">
        <v>4924</v>
      </c>
      <c r="C909" t="s">
        <v>4925</v>
      </c>
      <c r="D909">
        <v>1120</v>
      </c>
      <c r="E909">
        <v>12</v>
      </c>
      <c r="F909" t="s">
        <v>4402</v>
      </c>
      <c r="G909" t="s">
        <v>9309</v>
      </c>
      <c r="I909" t="s">
        <v>4926</v>
      </c>
      <c r="J909" t="s">
        <v>8741</v>
      </c>
      <c r="L909">
        <v>1</v>
      </c>
      <c r="M909" t="s">
        <v>4402</v>
      </c>
      <c r="N909" t="s">
        <v>6908</v>
      </c>
      <c r="O909" t="s">
        <v>104</v>
      </c>
      <c r="P909" t="s">
        <v>6909</v>
      </c>
      <c r="Q909" t="s">
        <v>6910</v>
      </c>
      <c r="R909" s="16" t="s">
        <v>8489</v>
      </c>
      <c r="S909" s="16" t="s">
        <v>8195</v>
      </c>
      <c r="T909" t="s">
        <v>4924</v>
      </c>
      <c r="U909">
        <v>1</v>
      </c>
    </row>
    <row r="910" spans="1:21">
      <c r="A910">
        <v>918</v>
      </c>
      <c r="B910" t="s">
        <v>4946</v>
      </c>
      <c r="C910" t="s">
        <v>4459</v>
      </c>
      <c r="D910">
        <v>1130</v>
      </c>
      <c r="E910">
        <v>12</v>
      </c>
      <c r="F910" t="s">
        <v>4402</v>
      </c>
      <c r="G910" t="s">
        <v>9310</v>
      </c>
      <c r="I910" t="s">
        <v>4947</v>
      </c>
      <c r="J910" t="s">
        <v>8739</v>
      </c>
      <c r="L910">
        <v>1</v>
      </c>
      <c r="M910" t="s">
        <v>4402</v>
      </c>
      <c r="N910" t="s">
        <v>6908</v>
      </c>
      <c r="O910" t="s">
        <v>104</v>
      </c>
      <c r="P910" t="s">
        <v>6909</v>
      </c>
      <c r="Q910" t="s">
        <v>6910</v>
      </c>
      <c r="R910" s="16" t="s">
        <v>8489</v>
      </c>
      <c r="S910" s="16" t="s">
        <v>8195</v>
      </c>
      <c r="T910" t="s">
        <v>4946</v>
      </c>
      <c r="U910">
        <v>1</v>
      </c>
    </row>
    <row r="911" spans="1:21">
      <c r="A911">
        <v>1008</v>
      </c>
      <c r="B911" t="s">
        <v>7455</v>
      </c>
      <c r="C911" t="s">
        <v>4405</v>
      </c>
      <c r="D911">
        <v>1063</v>
      </c>
      <c r="E911">
        <v>11</v>
      </c>
      <c r="F911" t="s">
        <v>4402</v>
      </c>
      <c r="G911" t="s">
        <v>9335</v>
      </c>
      <c r="I911" t="s">
        <v>1972</v>
      </c>
      <c r="J911" t="s">
        <v>8740</v>
      </c>
      <c r="L911">
        <v>1</v>
      </c>
      <c r="M911" t="s">
        <v>4402</v>
      </c>
      <c r="N911" t="s">
        <v>6908</v>
      </c>
      <c r="O911" t="s">
        <v>104</v>
      </c>
      <c r="P911" t="s">
        <v>6909</v>
      </c>
      <c r="Q911" t="s">
        <v>6910</v>
      </c>
      <c r="R911" s="16" t="s">
        <v>8489</v>
      </c>
      <c r="S911" s="16" t="s">
        <v>8195</v>
      </c>
      <c r="T911" t="s">
        <v>7455</v>
      </c>
      <c r="U911">
        <v>1</v>
      </c>
    </row>
    <row r="912" spans="1:21">
      <c r="A912">
        <v>892</v>
      </c>
      <c r="B912" t="s">
        <v>7438</v>
      </c>
      <c r="C912" t="s">
        <v>4949</v>
      </c>
      <c r="D912">
        <v>1216</v>
      </c>
      <c r="E912">
        <v>13</v>
      </c>
      <c r="F912" t="s">
        <v>1444</v>
      </c>
      <c r="G912" t="s">
        <v>9336</v>
      </c>
      <c r="J912" t="s">
        <v>8833</v>
      </c>
      <c r="L912">
        <v>0</v>
      </c>
      <c r="R912" s="16" t="s">
        <v>8064</v>
      </c>
      <c r="S912" s="16" t="s">
        <v>8064</v>
      </c>
      <c r="T912" t="s">
        <v>7847</v>
      </c>
      <c r="U912">
        <v>1</v>
      </c>
    </row>
    <row r="913" spans="1:21">
      <c r="A913">
        <v>894</v>
      </c>
      <c r="B913" t="s">
        <v>7427</v>
      </c>
      <c r="C913" t="s">
        <v>4489</v>
      </c>
      <c r="D913">
        <v>1170</v>
      </c>
      <c r="E913">
        <v>12</v>
      </c>
      <c r="F913" t="s">
        <v>4366</v>
      </c>
      <c r="G913" t="s">
        <v>9337</v>
      </c>
      <c r="J913" t="s">
        <v>9066</v>
      </c>
      <c r="L913">
        <v>1</v>
      </c>
      <c r="M913" t="s">
        <v>6646</v>
      </c>
      <c r="N913" t="s">
        <v>6647</v>
      </c>
      <c r="O913" t="s">
        <v>104</v>
      </c>
      <c r="P913" t="s">
        <v>6648</v>
      </c>
      <c r="Q913" t="s">
        <v>6649</v>
      </c>
      <c r="R913" s="16" t="s">
        <v>8485</v>
      </c>
      <c r="S913" s="16" t="s">
        <v>8189</v>
      </c>
      <c r="T913" t="s">
        <v>7844</v>
      </c>
      <c r="U913">
        <v>1</v>
      </c>
    </row>
    <row r="914" spans="1:21">
      <c r="A914">
        <v>942</v>
      </c>
      <c r="B914" t="s">
        <v>7512</v>
      </c>
      <c r="C914" t="s">
        <v>4426</v>
      </c>
      <c r="D914">
        <v>1076</v>
      </c>
      <c r="E914">
        <v>11</v>
      </c>
      <c r="F914" t="s">
        <v>4417</v>
      </c>
      <c r="G914" t="s">
        <v>9315</v>
      </c>
      <c r="I914" t="s">
        <v>1990</v>
      </c>
      <c r="J914" t="s">
        <v>9084</v>
      </c>
      <c r="L914">
        <v>1</v>
      </c>
      <c r="M914" t="s">
        <v>4417</v>
      </c>
      <c r="N914" t="s">
        <v>6296</v>
      </c>
      <c r="O914" t="s">
        <v>104</v>
      </c>
      <c r="P914" t="s">
        <v>6297</v>
      </c>
      <c r="Q914">
        <v>474784</v>
      </c>
      <c r="R914" s="16" t="s">
        <v>6297</v>
      </c>
      <c r="S914" s="16" t="s">
        <v>8193</v>
      </c>
      <c r="T914" t="s">
        <v>7512</v>
      </c>
      <c r="U914">
        <v>1</v>
      </c>
    </row>
    <row r="915" spans="1:21">
      <c r="A915">
        <v>895</v>
      </c>
      <c r="B915" t="s">
        <v>7441</v>
      </c>
      <c r="C915" t="s">
        <v>4950</v>
      </c>
      <c r="D915">
        <v>997</v>
      </c>
      <c r="E915">
        <v>10</v>
      </c>
      <c r="F915" t="s">
        <v>1444</v>
      </c>
      <c r="G915" t="s">
        <v>9338</v>
      </c>
      <c r="J915" t="s">
        <v>8834</v>
      </c>
      <c r="L915">
        <v>0</v>
      </c>
      <c r="R915" s="16" t="s">
        <v>8064</v>
      </c>
      <c r="S915" s="16" t="s">
        <v>8064</v>
      </c>
      <c r="T915" t="s">
        <v>7848</v>
      </c>
      <c r="U915">
        <v>1</v>
      </c>
    </row>
    <row r="916" spans="1:21">
      <c r="A916">
        <v>900</v>
      </c>
      <c r="B916" t="s">
        <v>7425</v>
      </c>
      <c r="C916" t="s">
        <v>4529</v>
      </c>
      <c r="D916">
        <v>1226</v>
      </c>
      <c r="E916">
        <v>13</v>
      </c>
      <c r="F916" t="s">
        <v>4530</v>
      </c>
      <c r="G916" t="s">
        <v>9339</v>
      </c>
      <c r="J916" t="s">
        <v>9065</v>
      </c>
      <c r="L916">
        <v>1</v>
      </c>
      <c r="M916" t="s">
        <v>4502</v>
      </c>
      <c r="N916" t="s">
        <v>6456</v>
      </c>
      <c r="O916" t="s">
        <v>104</v>
      </c>
      <c r="P916">
        <v>23522</v>
      </c>
      <c r="Q916">
        <v>488566</v>
      </c>
      <c r="R916" s="16" t="s">
        <v>8364</v>
      </c>
      <c r="S916" s="16" t="s">
        <v>8069</v>
      </c>
      <c r="T916" t="s">
        <v>7425</v>
      </c>
      <c r="U916">
        <v>1</v>
      </c>
    </row>
    <row r="917" spans="1:21">
      <c r="A917">
        <v>912</v>
      </c>
      <c r="B917" t="s">
        <v>7451</v>
      </c>
      <c r="C917" t="s">
        <v>5025</v>
      </c>
      <c r="D917">
        <v>1249</v>
      </c>
      <c r="E917">
        <v>13</v>
      </c>
      <c r="F917" t="s">
        <v>1444</v>
      </c>
      <c r="G917" t="s">
        <v>9340</v>
      </c>
      <c r="J917" t="s">
        <v>8836</v>
      </c>
      <c r="L917">
        <v>0</v>
      </c>
      <c r="R917" s="16" t="s">
        <v>8064</v>
      </c>
      <c r="S917" s="16" t="s">
        <v>8064</v>
      </c>
      <c r="T917" t="s">
        <v>7451</v>
      </c>
      <c r="U917">
        <v>1</v>
      </c>
    </row>
    <row r="918" spans="1:21">
      <c r="A918">
        <v>917</v>
      </c>
      <c r="B918" t="s">
        <v>7424</v>
      </c>
      <c r="C918" t="s">
        <v>4439</v>
      </c>
      <c r="D918">
        <v>1106</v>
      </c>
      <c r="E918">
        <v>12</v>
      </c>
      <c r="F918" t="s">
        <v>4440</v>
      </c>
      <c r="G918" t="s">
        <v>9341</v>
      </c>
      <c r="J918" t="s">
        <v>9064</v>
      </c>
      <c r="L918">
        <v>1</v>
      </c>
      <c r="M918" t="s">
        <v>4440</v>
      </c>
      <c r="N918" t="s">
        <v>6318</v>
      </c>
      <c r="O918" t="s">
        <v>104</v>
      </c>
      <c r="P918" t="s">
        <v>6710</v>
      </c>
      <c r="Q918" t="s">
        <v>6589</v>
      </c>
      <c r="R918" s="16" t="s">
        <v>8484</v>
      </c>
      <c r="S918" s="16" t="s">
        <v>8163</v>
      </c>
      <c r="T918" t="s">
        <v>7424</v>
      </c>
      <c r="U918">
        <v>1</v>
      </c>
    </row>
    <row r="919" spans="1:21">
      <c r="A919">
        <v>909</v>
      </c>
      <c r="B919" t="s">
        <v>7418</v>
      </c>
      <c r="C919" t="s">
        <v>5024</v>
      </c>
      <c r="D919">
        <v>1182</v>
      </c>
      <c r="E919">
        <v>12</v>
      </c>
      <c r="F919" t="s">
        <v>4506</v>
      </c>
      <c r="G919" t="s">
        <v>9343</v>
      </c>
      <c r="J919" t="s">
        <v>9063</v>
      </c>
      <c r="L919">
        <v>1</v>
      </c>
      <c r="M919" t="s">
        <v>4367</v>
      </c>
      <c r="N919" t="s">
        <v>6359</v>
      </c>
      <c r="O919" t="s">
        <v>104</v>
      </c>
      <c r="P919" t="s">
        <v>6491</v>
      </c>
      <c r="Q919">
        <v>473940</v>
      </c>
      <c r="R919" s="16" t="s">
        <v>8482</v>
      </c>
      <c r="S919" s="16" t="s">
        <v>8187</v>
      </c>
      <c r="T919" t="s">
        <v>7842</v>
      </c>
      <c r="U919">
        <v>1</v>
      </c>
    </row>
    <row r="920" spans="1:21">
      <c r="A920">
        <v>903</v>
      </c>
      <c r="B920" t="s">
        <v>7419</v>
      </c>
      <c r="C920" t="s">
        <v>5023</v>
      </c>
      <c r="D920">
        <v>995</v>
      </c>
      <c r="E920">
        <v>10</v>
      </c>
      <c r="F920" t="s">
        <v>4367</v>
      </c>
      <c r="G920" t="s">
        <v>9342</v>
      </c>
      <c r="J920" t="s">
        <v>8738</v>
      </c>
      <c r="L920">
        <v>1</v>
      </c>
      <c r="M920" t="s">
        <v>4367</v>
      </c>
      <c r="N920" t="s">
        <v>6359</v>
      </c>
      <c r="O920" t="s">
        <v>104</v>
      </c>
      <c r="P920" t="s">
        <v>6491</v>
      </c>
      <c r="Q920">
        <v>473940</v>
      </c>
      <c r="R920" s="16" t="s">
        <v>8482</v>
      </c>
      <c r="S920" s="16" t="s">
        <v>8187</v>
      </c>
      <c r="T920" t="s">
        <v>7419</v>
      </c>
      <c r="U920">
        <v>1</v>
      </c>
    </row>
    <row r="921" spans="1:21">
      <c r="A921">
        <v>896</v>
      </c>
      <c r="B921" t="s">
        <v>7428</v>
      </c>
      <c r="C921" t="s">
        <v>4842</v>
      </c>
      <c r="D921">
        <v>1000</v>
      </c>
      <c r="E921">
        <v>11</v>
      </c>
      <c r="F921" t="s">
        <v>4366</v>
      </c>
      <c r="G921" t="s">
        <v>9305</v>
      </c>
      <c r="J921" t="s">
        <v>9067</v>
      </c>
      <c r="L921">
        <v>1</v>
      </c>
      <c r="M921" t="s">
        <v>6646</v>
      </c>
      <c r="N921" t="s">
        <v>6647</v>
      </c>
      <c r="O921" t="s">
        <v>104</v>
      </c>
      <c r="P921" t="s">
        <v>6648</v>
      </c>
      <c r="Q921" t="s">
        <v>6649</v>
      </c>
      <c r="R921" s="16" t="s">
        <v>8485</v>
      </c>
      <c r="S921" s="16" t="s">
        <v>8189</v>
      </c>
      <c r="T921" t="s">
        <v>7428</v>
      </c>
      <c r="U921">
        <v>1</v>
      </c>
    </row>
    <row r="922" spans="1:21">
      <c r="A922">
        <v>898</v>
      </c>
      <c r="B922" t="s">
        <v>9306</v>
      </c>
      <c r="C922" t="s">
        <v>4842</v>
      </c>
      <c r="D922">
        <v>1000</v>
      </c>
      <c r="E922">
        <v>11</v>
      </c>
      <c r="F922" t="s">
        <v>4366</v>
      </c>
      <c r="G922" t="s">
        <v>9307</v>
      </c>
      <c r="J922" t="s">
        <v>9068</v>
      </c>
      <c r="L922">
        <v>1</v>
      </c>
      <c r="M922" t="s">
        <v>6646</v>
      </c>
      <c r="N922" t="s">
        <v>6647</v>
      </c>
      <c r="O922" t="s">
        <v>104</v>
      </c>
      <c r="P922" t="s">
        <v>6648</v>
      </c>
      <c r="Q922" t="s">
        <v>6649</v>
      </c>
      <c r="R922" s="16" t="s">
        <v>8485</v>
      </c>
      <c r="S922" s="16" t="s">
        <v>8189</v>
      </c>
      <c r="T922" t="s">
        <v>7845</v>
      </c>
      <c r="U922">
        <v>1</v>
      </c>
    </row>
    <row r="923" spans="1:21">
      <c r="A923">
        <v>967</v>
      </c>
      <c r="B923" t="s">
        <v>7490</v>
      </c>
      <c r="C923" t="s">
        <v>4842</v>
      </c>
      <c r="D923">
        <v>1000</v>
      </c>
      <c r="E923">
        <v>11</v>
      </c>
      <c r="F923" t="s">
        <v>4366</v>
      </c>
      <c r="G923" t="s">
        <v>9307</v>
      </c>
      <c r="I923" t="s">
        <v>1967</v>
      </c>
      <c r="J923" t="s">
        <v>9077</v>
      </c>
      <c r="L923">
        <v>1</v>
      </c>
      <c r="M923" t="s">
        <v>6646</v>
      </c>
      <c r="N923" t="s">
        <v>6647</v>
      </c>
      <c r="O923" t="s">
        <v>104</v>
      </c>
      <c r="P923" t="s">
        <v>6648</v>
      </c>
      <c r="Q923" t="s">
        <v>6649</v>
      </c>
      <c r="R923" s="16" t="s">
        <v>8485</v>
      </c>
      <c r="S923" s="16" t="s">
        <v>8189</v>
      </c>
      <c r="T923" t="s">
        <v>7490</v>
      </c>
      <c r="U923">
        <v>1</v>
      </c>
    </row>
    <row r="924" spans="1:21">
      <c r="A924">
        <v>928</v>
      </c>
      <c r="B924" t="s">
        <v>2150</v>
      </c>
      <c r="C924" t="s">
        <v>4342</v>
      </c>
      <c r="D924">
        <v>1128</v>
      </c>
      <c r="E924">
        <v>12</v>
      </c>
      <c r="F924" t="s">
        <v>4447</v>
      </c>
      <c r="G924" t="s">
        <v>9311</v>
      </c>
      <c r="I924" t="s">
        <v>1987</v>
      </c>
      <c r="J924" t="s">
        <v>9087</v>
      </c>
      <c r="L924">
        <v>1</v>
      </c>
      <c r="M924" t="s">
        <v>4447</v>
      </c>
      <c r="N924" t="s">
        <v>6509</v>
      </c>
      <c r="O924" t="s">
        <v>104</v>
      </c>
      <c r="P924" t="s">
        <v>6766</v>
      </c>
      <c r="Q924" t="s">
        <v>6767</v>
      </c>
      <c r="R924" s="16" t="s">
        <v>8363</v>
      </c>
      <c r="S924" s="16" t="s">
        <v>8067</v>
      </c>
      <c r="T924" t="s">
        <v>8050</v>
      </c>
      <c r="U924">
        <v>1</v>
      </c>
    </row>
    <row r="925" spans="1:21">
      <c r="A925">
        <v>893</v>
      </c>
      <c r="B925" t="s">
        <v>7426</v>
      </c>
      <c r="C925" t="s">
        <v>4842</v>
      </c>
      <c r="D925">
        <v>1000</v>
      </c>
      <c r="E925">
        <v>11</v>
      </c>
      <c r="F925" t="s">
        <v>4366</v>
      </c>
      <c r="G925" t="s">
        <v>9304</v>
      </c>
      <c r="J925" t="s">
        <v>9123</v>
      </c>
      <c r="L925">
        <v>1</v>
      </c>
      <c r="M925" t="s">
        <v>6646</v>
      </c>
      <c r="N925" t="s">
        <v>6647</v>
      </c>
      <c r="O925" t="s">
        <v>104</v>
      </c>
      <c r="P925" t="s">
        <v>6648</v>
      </c>
      <c r="Q925" t="s">
        <v>6649</v>
      </c>
      <c r="R925" s="16" t="s">
        <v>8485</v>
      </c>
      <c r="S925" s="16" t="s">
        <v>8189</v>
      </c>
      <c r="T925" t="s">
        <v>7843</v>
      </c>
      <c r="U925">
        <v>1</v>
      </c>
    </row>
    <row r="926" spans="1:21">
      <c r="A926">
        <v>944</v>
      </c>
      <c r="B926" t="s">
        <v>7624</v>
      </c>
      <c r="C926" t="s">
        <v>4823</v>
      </c>
      <c r="D926">
        <v>1265</v>
      </c>
      <c r="E926">
        <v>13</v>
      </c>
      <c r="F926" t="s">
        <v>1444</v>
      </c>
      <c r="G926" t="s">
        <v>9317</v>
      </c>
      <c r="I926" t="s">
        <v>2010</v>
      </c>
      <c r="J926" t="s">
        <v>8838</v>
      </c>
      <c r="L926">
        <v>0</v>
      </c>
      <c r="R926" s="16" t="s">
        <v>8064</v>
      </c>
      <c r="S926" s="16" t="s">
        <v>8064</v>
      </c>
      <c r="T926" t="s">
        <v>7624</v>
      </c>
      <c r="U926">
        <v>1</v>
      </c>
    </row>
    <row r="927" spans="1:21">
      <c r="A927">
        <v>949</v>
      </c>
      <c r="B927" t="s">
        <v>7485</v>
      </c>
      <c r="C927" t="s">
        <v>4343</v>
      </c>
      <c r="D927">
        <v>1156</v>
      </c>
      <c r="E927">
        <v>12</v>
      </c>
      <c r="F927" t="s">
        <v>4366</v>
      </c>
      <c r="G927" t="s">
        <v>9317</v>
      </c>
      <c r="I927" t="s">
        <v>1977</v>
      </c>
      <c r="J927" t="s">
        <v>9081</v>
      </c>
      <c r="L927">
        <v>1</v>
      </c>
      <c r="M927" t="s">
        <v>6646</v>
      </c>
      <c r="N927" t="s">
        <v>6647</v>
      </c>
      <c r="O927" t="s">
        <v>104</v>
      </c>
      <c r="P927" t="s">
        <v>6648</v>
      </c>
      <c r="Q927" t="s">
        <v>6649</v>
      </c>
      <c r="R927" s="16" t="s">
        <v>8485</v>
      </c>
      <c r="S927" s="16" t="s">
        <v>8189</v>
      </c>
      <c r="T927" t="s">
        <v>7855</v>
      </c>
      <c r="U927">
        <v>1</v>
      </c>
    </row>
    <row r="928" spans="1:21">
      <c r="A928">
        <v>947</v>
      </c>
      <c r="B928" t="s">
        <v>7484</v>
      </c>
      <c r="C928" t="s">
        <v>4493</v>
      </c>
      <c r="D928">
        <v>1171</v>
      </c>
      <c r="E928">
        <v>12</v>
      </c>
      <c r="F928" t="s">
        <v>4366</v>
      </c>
      <c r="G928" t="s">
        <v>9316</v>
      </c>
      <c r="I928" t="s">
        <v>1977</v>
      </c>
      <c r="J928" t="s">
        <v>9081</v>
      </c>
      <c r="L928">
        <v>1</v>
      </c>
      <c r="M928" t="s">
        <v>6646</v>
      </c>
      <c r="N928" t="s">
        <v>6647</v>
      </c>
      <c r="O928" t="s">
        <v>104</v>
      </c>
      <c r="P928" t="s">
        <v>6648</v>
      </c>
      <c r="Q928" t="s">
        <v>6649</v>
      </c>
      <c r="R928" s="16" t="s">
        <v>8485</v>
      </c>
      <c r="S928" s="16" t="s">
        <v>8189</v>
      </c>
      <c r="T928" t="s">
        <v>7855</v>
      </c>
      <c r="U928">
        <v>1</v>
      </c>
    </row>
    <row r="929" spans="1:21">
      <c r="A929">
        <v>951</v>
      </c>
      <c r="B929" t="s">
        <v>7486</v>
      </c>
      <c r="C929" t="s">
        <v>4488</v>
      </c>
      <c r="D929">
        <v>1156</v>
      </c>
      <c r="E929">
        <v>12</v>
      </c>
      <c r="F929" t="s">
        <v>4366</v>
      </c>
      <c r="G929" t="s">
        <v>9318</v>
      </c>
      <c r="I929" t="s">
        <v>1977</v>
      </c>
      <c r="J929" t="s">
        <v>9082</v>
      </c>
      <c r="L929">
        <v>1</v>
      </c>
      <c r="M929" t="s">
        <v>6646</v>
      </c>
      <c r="N929" t="s">
        <v>6647</v>
      </c>
      <c r="O929" t="s">
        <v>104</v>
      </c>
      <c r="P929" t="s">
        <v>6648</v>
      </c>
      <c r="Q929" t="s">
        <v>6649</v>
      </c>
      <c r="R929" s="16" t="s">
        <v>8485</v>
      </c>
      <c r="S929" s="16" t="s">
        <v>8189</v>
      </c>
      <c r="T929" t="s">
        <v>7856</v>
      </c>
      <c r="U929">
        <v>1</v>
      </c>
    </row>
    <row r="930" spans="1:21">
      <c r="A930">
        <v>958</v>
      </c>
      <c r="B930" t="s">
        <v>7488</v>
      </c>
      <c r="C930" t="s">
        <v>4843</v>
      </c>
      <c r="D930">
        <v>1117</v>
      </c>
      <c r="E930">
        <v>12</v>
      </c>
      <c r="F930" t="s">
        <v>4366</v>
      </c>
      <c r="G930" t="s">
        <v>9318</v>
      </c>
      <c r="I930" t="s">
        <v>1967</v>
      </c>
      <c r="J930" t="s">
        <v>9076</v>
      </c>
      <c r="L930">
        <v>1</v>
      </c>
      <c r="M930" t="s">
        <v>6646</v>
      </c>
      <c r="N930" t="s">
        <v>6647</v>
      </c>
      <c r="O930" t="s">
        <v>104</v>
      </c>
      <c r="P930" t="s">
        <v>6648</v>
      </c>
      <c r="Q930" t="s">
        <v>6649</v>
      </c>
      <c r="R930" s="16" t="s">
        <v>8485</v>
      </c>
      <c r="S930" s="16" t="s">
        <v>8189</v>
      </c>
      <c r="T930" t="s">
        <v>7857</v>
      </c>
      <c r="U930">
        <v>1</v>
      </c>
    </row>
    <row r="931" spans="1:21">
      <c r="A931">
        <v>954</v>
      </c>
      <c r="B931" t="s">
        <v>7487</v>
      </c>
      <c r="C931" t="s">
        <v>4842</v>
      </c>
      <c r="D931">
        <v>1000</v>
      </c>
      <c r="E931">
        <v>11</v>
      </c>
      <c r="F931" t="s">
        <v>4366</v>
      </c>
      <c r="G931" t="s">
        <v>9319</v>
      </c>
      <c r="I931" t="s">
        <v>1967</v>
      </c>
      <c r="J931" t="s">
        <v>9076</v>
      </c>
      <c r="L931">
        <v>1</v>
      </c>
      <c r="M931" t="s">
        <v>6646</v>
      </c>
      <c r="N931" t="s">
        <v>6647</v>
      </c>
      <c r="O931" t="s">
        <v>104</v>
      </c>
      <c r="P931" t="s">
        <v>6648</v>
      </c>
      <c r="Q931" t="s">
        <v>6649</v>
      </c>
      <c r="R931" s="16" t="s">
        <v>8485</v>
      </c>
      <c r="S931" s="16" t="s">
        <v>8189</v>
      </c>
      <c r="T931" t="s">
        <v>7857</v>
      </c>
      <c r="U931">
        <v>1</v>
      </c>
    </row>
    <row r="932" spans="1:21">
      <c r="A932">
        <v>963</v>
      </c>
      <c r="B932" t="s">
        <v>7731</v>
      </c>
      <c r="C932" t="s">
        <v>4345</v>
      </c>
      <c r="D932">
        <v>1211</v>
      </c>
      <c r="E932">
        <v>13</v>
      </c>
      <c r="F932" t="s">
        <v>4366</v>
      </c>
      <c r="G932" t="s">
        <v>9319</v>
      </c>
      <c r="I932" t="s">
        <v>1999</v>
      </c>
      <c r="J932" t="s">
        <v>9069</v>
      </c>
      <c r="L932">
        <v>1</v>
      </c>
      <c r="M932" t="s">
        <v>6646</v>
      </c>
      <c r="N932" t="s">
        <v>6647</v>
      </c>
      <c r="O932" t="s">
        <v>104</v>
      </c>
      <c r="P932" t="s">
        <v>6648</v>
      </c>
      <c r="Q932" t="s">
        <v>6649</v>
      </c>
      <c r="R932" s="16" t="s">
        <v>8485</v>
      </c>
      <c r="S932" s="16" t="s">
        <v>8189</v>
      </c>
      <c r="T932" t="s">
        <v>7985</v>
      </c>
      <c r="U932">
        <v>1</v>
      </c>
    </row>
    <row r="933" spans="1:21">
      <c r="A933">
        <v>964</v>
      </c>
      <c r="B933" t="s">
        <v>7489</v>
      </c>
      <c r="C933" t="s">
        <v>4842</v>
      </c>
      <c r="D933">
        <v>1000</v>
      </c>
      <c r="E933">
        <v>11</v>
      </c>
      <c r="F933" t="s">
        <v>4366</v>
      </c>
      <c r="G933" t="s">
        <v>9320</v>
      </c>
      <c r="I933" t="s">
        <v>1968</v>
      </c>
      <c r="J933" t="s">
        <v>9078</v>
      </c>
      <c r="L933">
        <v>1</v>
      </c>
      <c r="M933" t="s">
        <v>6646</v>
      </c>
      <c r="N933" t="s">
        <v>6647</v>
      </c>
      <c r="O933" t="s">
        <v>104</v>
      </c>
      <c r="P933" t="s">
        <v>6648</v>
      </c>
      <c r="Q933" t="s">
        <v>6649</v>
      </c>
      <c r="R933" s="16" t="s">
        <v>8485</v>
      </c>
      <c r="S933" s="16" t="s">
        <v>8189</v>
      </c>
      <c r="T933" t="s">
        <v>7858</v>
      </c>
      <c r="U933">
        <v>1</v>
      </c>
    </row>
    <row r="934" spans="1:21">
      <c r="A934">
        <v>966</v>
      </c>
      <c r="B934" t="s">
        <v>7625</v>
      </c>
      <c r="C934" t="s">
        <v>4842</v>
      </c>
      <c r="D934">
        <v>1000</v>
      </c>
      <c r="E934">
        <v>11</v>
      </c>
      <c r="F934" t="s">
        <v>1444</v>
      </c>
      <c r="G934" t="s">
        <v>9320</v>
      </c>
      <c r="I934" t="s">
        <v>1968</v>
      </c>
      <c r="J934" t="s">
        <v>8839</v>
      </c>
      <c r="L934">
        <v>0</v>
      </c>
      <c r="R934" s="16" t="s">
        <v>8064</v>
      </c>
      <c r="S934" s="16" t="s">
        <v>8064</v>
      </c>
      <c r="T934" t="s">
        <v>7625</v>
      </c>
      <c r="U934">
        <v>1</v>
      </c>
    </row>
    <row r="935" spans="1:21">
      <c r="A935">
        <v>907</v>
      </c>
      <c r="B935" t="s">
        <v>7420</v>
      </c>
      <c r="C935" t="s">
        <v>4948</v>
      </c>
      <c r="D935">
        <v>1162</v>
      </c>
      <c r="E935">
        <v>12</v>
      </c>
      <c r="F935" t="s">
        <v>4477</v>
      </c>
      <c r="G935" t="s">
        <v>4868</v>
      </c>
      <c r="J935" t="s">
        <v>8668</v>
      </c>
      <c r="K935" t="s">
        <v>8673</v>
      </c>
      <c r="L935">
        <v>1</v>
      </c>
      <c r="M935" t="s">
        <v>4447</v>
      </c>
      <c r="N935" t="s">
        <v>6509</v>
      </c>
      <c r="O935" t="s">
        <v>104</v>
      </c>
      <c r="P935" t="s">
        <v>6766</v>
      </c>
      <c r="Q935" t="s">
        <v>6767</v>
      </c>
      <c r="R935" s="16" t="s">
        <v>8363</v>
      </c>
      <c r="S935" s="16" t="s">
        <v>8067</v>
      </c>
      <c r="T935" t="s">
        <v>7420</v>
      </c>
      <c r="U935">
        <v>0</v>
      </c>
    </row>
    <row r="936" spans="1:21">
      <c r="A936">
        <v>922</v>
      </c>
      <c r="B936" t="s">
        <v>7436</v>
      </c>
      <c r="C936" t="s">
        <v>4353</v>
      </c>
      <c r="D936">
        <v>1250</v>
      </c>
      <c r="E936">
        <v>13</v>
      </c>
      <c r="F936" t="s">
        <v>1444</v>
      </c>
      <c r="G936" t="s">
        <v>4868</v>
      </c>
      <c r="I936" t="s">
        <v>2008</v>
      </c>
      <c r="J936" t="s">
        <v>8668</v>
      </c>
      <c r="L936">
        <v>0</v>
      </c>
      <c r="R936" s="16" t="s">
        <v>8064</v>
      </c>
      <c r="S936" s="16" t="s">
        <v>8064</v>
      </c>
      <c r="T936" t="s">
        <v>7436</v>
      </c>
      <c r="U936">
        <v>0</v>
      </c>
    </row>
    <row r="937" spans="1:21">
      <c r="A937">
        <v>908</v>
      </c>
      <c r="B937" t="s">
        <v>7437</v>
      </c>
      <c r="C937" t="s">
        <v>4352</v>
      </c>
      <c r="D937">
        <v>1163</v>
      </c>
      <c r="E937">
        <v>12</v>
      </c>
      <c r="F937" t="s">
        <v>1444</v>
      </c>
      <c r="G937" t="s">
        <v>4868</v>
      </c>
      <c r="J937" t="s">
        <v>8668</v>
      </c>
      <c r="L937">
        <v>0</v>
      </c>
      <c r="R937" s="16" t="s">
        <v>8064</v>
      </c>
      <c r="S937" s="16" t="s">
        <v>8064</v>
      </c>
      <c r="T937" t="s">
        <v>7437</v>
      </c>
      <c r="U937">
        <v>0</v>
      </c>
    </row>
    <row r="938" spans="1:21">
      <c r="A938">
        <v>926</v>
      </c>
      <c r="B938" t="s">
        <v>7439</v>
      </c>
      <c r="C938" t="s">
        <v>4568</v>
      </c>
      <c r="D938">
        <v>1280</v>
      </c>
      <c r="E938">
        <v>13</v>
      </c>
      <c r="F938" t="s">
        <v>1444</v>
      </c>
      <c r="G938" t="s">
        <v>4868</v>
      </c>
      <c r="J938" t="s">
        <v>8668</v>
      </c>
      <c r="L938">
        <v>0</v>
      </c>
      <c r="R938" s="16" t="s">
        <v>8064</v>
      </c>
      <c r="S938" s="16" t="s">
        <v>8064</v>
      </c>
      <c r="T938" t="s">
        <v>7439</v>
      </c>
      <c r="U938">
        <v>0</v>
      </c>
    </row>
    <row r="939" spans="1:21">
      <c r="A939">
        <v>906</v>
      </c>
      <c r="B939" t="s">
        <v>7435</v>
      </c>
      <c r="C939" t="s">
        <v>4465</v>
      </c>
      <c r="D939">
        <v>1145</v>
      </c>
      <c r="E939">
        <v>12</v>
      </c>
      <c r="F939" t="s">
        <v>4417</v>
      </c>
      <c r="G939" t="s">
        <v>4868</v>
      </c>
      <c r="I939" t="s">
        <v>1975</v>
      </c>
      <c r="J939" t="s">
        <v>8668</v>
      </c>
      <c r="L939">
        <v>1</v>
      </c>
      <c r="M939" t="s">
        <v>4417</v>
      </c>
      <c r="N939" t="s">
        <v>6296</v>
      </c>
      <c r="O939" t="s">
        <v>104</v>
      </c>
      <c r="P939" t="s">
        <v>6297</v>
      </c>
      <c r="Q939">
        <v>474784</v>
      </c>
      <c r="R939" s="16" t="s">
        <v>6297</v>
      </c>
      <c r="S939" s="16" t="s">
        <v>8193</v>
      </c>
      <c r="T939" t="s">
        <v>7435</v>
      </c>
      <c r="U939">
        <v>0</v>
      </c>
    </row>
    <row r="940" spans="1:21">
      <c r="A940">
        <v>901</v>
      </c>
      <c r="B940" t="s">
        <v>7434</v>
      </c>
      <c r="C940" t="s">
        <v>4444</v>
      </c>
      <c r="D940">
        <v>1110</v>
      </c>
      <c r="E940">
        <v>12</v>
      </c>
      <c r="F940" t="s">
        <v>4422</v>
      </c>
      <c r="G940" t="s">
        <v>4868</v>
      </c>
      <c r="J940" t="s">
        <v>8668</v>
      </c>
      <c r="L940">
        <v>1</v>
      </c>
      <c r="M940" t="s">
        <v>4422</v>
      </c>
      <c r="N940" t="s">
        <v>6296</v>
      </c>
      <c r="O940" t="s">
        <v>104</v>
      </c>
      <c r="P940" t="s">
        <v>6297</v>
      </c>
      <c r="Q940">
        <v>474784</v>
      </c>
      <c r="R940" s="16" t="s">
        <v>6297</v>
      </c>
      <c r="S940" s="16" t="s">
        <v>8193</v>
      </c>
      <c r="T940" t="s">
        <v>7846</v>
      </c>
      <c r="U940">
        <v>0</v>
      </c>
    </row>
    <row r="941" spans="1:21">
      <c r="A941">
        <v>904</v>
      </c>
      <c r="B941" t="s">
        <v>7440</v>
      </c>
      <c r="C941" t="s">
        <v>4459</v>
      </c>
      <c r="D941">
        <v>1130</v>
      </c>
      <c r="E941">
        <v>12</v>
      </c>
      <c r="F941" t="s">
        <v>1444</v>
      </c>
      <c r="G941" t="s">
        <v>4868</v>
      </c>
      <c r="J941" t="s">
        <v>8668</v>
      </c>
      <c r="L941">
        <v>0</v>
      </c>
      <c r="R941" s="16" t="s">
        <v>8064</v>
      </c>
      <c r="S941" s="16" t="s">
        <v>8064</v>
      </c>
      <c r="T941" t="s">
        <v>7440</v>
      </c>
      <c r="U941">
        <v>0</v>
      </c>
    </row>
    <row r="942" spans="1:21">
      <c r="A942">
        <v>925</v>
      </c>
      <c r="B942" t="s">
        <v>1952</v>
      </c>
      <c r="C942" t="s">
        <v>4953</v>
      </c>
      <c r="D942">
        <v>1270</v>
      </c>
      <c r="E942">
        <v>13</v>
      </c>
      <c r="F942" t="s">
        <v>4580</v>
      </c>
      <c r="G942" t="s">
        <v>4868</v>
      </c>
      <c r="J942" t="s">
        <v>8668</v>
      </c>
      <c r="L942">
        <v>1</v>
      </c>
      <c r="M942" t="s">
        <v>4580</v>
      </c>
      <c r="N942" t="s">
        <v>6315</v>
      </c>
      <c r="O942" t="s">
        <v>104</v>
      </c>
      <c r="P942" t="s">
        <v>6316</v>
      </c>
      <c r="Q942">
        <v>492770</v>
      </c>
      <c r="R942" s="16" t="s">
        <v>8606</v>
      </c>
      <c r="S942" s="16" t="s">
        <v>8312</v>
      </c>
      <c r="T942" t="s">
        <v>1952</v>
      </c>
      <c r="U942">
        <v>0</v>
      </c>
    </row>
    <row r="943" spans="1:21">
      <c r="A943">
        <v>919</v>
      </c>
      <c r="B943" t="s">
        <v>7443</v>
      </c>
      <c r="C943" t="s">
        <v>4542</v>
      </c>
      <c r="D943">
        <v>1240</v>
      </c>
      <c r="E943">
        <v>13</v>
      </c>
      <c r="F943" t="s">
        <v>1444</v>
      </c>
      <c r="G943" t="s">
        <v>4868</v>
      </c>
      <c r="J943" t="s">
        <v>8668</v>
      </c>
      <c r="L943">
        <v>0</v>
      </c>
      <c r="R943" s="16" t="s">
        <v>8064</v>
      </c>
      <c r="S943" s="16" t="s">
        <v>8064</v>
      </c>
      <c r="T943" t="s">
        <v>7443</v>
      </c>
      <c r="U943">
        <v>0</v>
      </c>
    </row>
    <row r="944" spans="1:21">
      <c r="A944">
        <v>911</v>
      </c>
      <c r="B944" t="s">
        <v>7433</v>
      </c>
      <c r="C944" t="s">
        <v>4497</v>
      </c>
      <c r="D944">
        <v>1174</v>
      </c>
      <c r="E944">
        <v>12</v>
      </c>
      <c r="F944" t="s">
        <v>4498</v>
      </c>
      <c r="G944" t="s">
        <v>4868</v>
      </c>
      <c r="I944" t="s">
        <v>4907</v>
      </c>
      <c r="J944" t="s">
        <v>8668</v>
      </c>
      <c r="L944">
        <v>1</v>
      </c>
      <c r="M944" t="s">
        <v>4498</v>
      </c>
      <c r="N944" t="s">
        <v>6395</v>
      </c>
      <c r="O944" t="s">
        <v>104</v>
      </c>
      <c r="P944">
        <v>11510</v>
      </c>
      <c r="Q944">
        <v>490230</v>
      </c>
      <c r="R944" s="16" t="s">
        <v>8487</v>
      </c>
      <c r="S944" s="16" t="s">
        <v>8192</v>
      </c>
      <c r="T944" t="s">
        <v>7433</v>
      </c>
      <c r="U944">
        <v>0</v>
      </c>
    </row>
    <row r="945" spans="1:21">
      <c r="A945">
        <v>924</v>
      </c>
      <c r="B945" t="s">
        <v>7444</v>
      </c>
      <c r="C945" t="s">
        <v>4972</v>
      </c>
      <c r="D945">
        <v>1263</v>
      </c>
      <c r="E945">
        <v>13</v>
      </c>
      <c r="F945" t="s">
        <v>1444</v>
      </c>
      <c r="G945" t="s">
        <v>4868</v>
      </c>
      <c r="J945" t="s">
        <v>8668</v>
      </c>
      <c r="L945">
        <v>0</v>
      </c>
      <c r="R945" s="16" t="s">
        <v>8064</v>
      </c>
      <c r="S945" s="16" t="s">
        <v>8064</v>
      </c>
      <c r="T945" t="s">
        <v>7849</v>
      </c>
      <c r="U945">
        <v>0</v>
      </c>
    </row>
    <row r="946" spans="1:21">
      <c r="A946">
        <v>920</v>
      </c>
      <c r="B946" t="s">
        <v>7421</v>
      </c>
      <c r="C946" t="s">
        <v>4974</v>
      </c>
      <c r="D946">
        <v>1241</v>
      </c>
      <c r="E946">
        <v>13</v>
      </c>
      <c r="F946" t="s">
        <v>4359</v>
      </c>
      <c r="G946" t="s">
        <v>4868</v>
      </c>
      <c r="J946" t="s">
        <v>8668</v>
      </c>
      <c r="L946">
        <v>1</v>
      </c>
      <c r="M946" t="s">
        <v>6758</v>
      </c>
      <c r="N946" t="s">
        <v>6759</v>
      </c>
      <c r="O946" t="s">
        <v>104</v>
      </c>
      <c r="P946" t="s">
        <v>6760</v>
      </c>
      <c r="Q946" t="s">
        <v>6761</v>
      </c>
      <c r="R946" s="16" t="s">
        <v>8483</v>
      </c>
      <c r="S946" s="16" t="s">
        <v>8188</v>
      </c>
      <c r="T946" t="s">
        <v>7421</v>
      </c>
      <c r="U946">
        <v>0</v>
      </c>
    </row>
    <row r="947" spans="1:21">
      <c r="A947">
        <v>891</v>
      </c>
      <c r="B947" t="s">
        <v>7446</v>
      </c>
      <c r="C947" t="s">
        <v>4356</v>
      </c>
      <c r="D947">
        <v>936</v>
      </c>
      <c r="E947">
        <v>10</v>
      </c>
      <c r="F947" t="s">
        <v>1444</v>
      </c>
      <c r="G947" t="s">
        <v>4868</v>
      </c>
      <c r="J947" t="s">
        <v>8668</v>
      </c>
      <c r="L947">
        <v>0</v>
      </c>
      <c r="R947" s="16" t="s">
        <v>8064</v>
      </c>
      <c r="S947" s="16" t="s">
        <v>8064</v>
      </c>
      <c r="T947" t="s">
        <v>7850</v>
      </c>
      <c r="U947">
        <v>0</v>
      </c>
    </row>
    <row r="948" spans="1:21">
      <c r="A948">
        <v>913</v>
      </c>
      <c r="B948" t="s">
        <v>7445</v>
      </c>
      <c r="C948" t="s">
        <v>4975</v>
      </c>
      <c r="D948">
        <v>1187</v>
      </c>
      <c r="E948">
        <v>12</v>
      </c>
      <c r="F948" t="s">
        <v>1444</v>
      </c>
      <c r="G948" t="s">
        <v>4868</v>
      </c>
      <c r="J948" t="s">
        <v>8668</v>
      </c>
      <c r="L948">
        <v>0</v>
      </c>
      <c r="R948" s="16" t="s">
        <v>8064</v>
      </c>
      <c r="S948" s="16" t="s">
        <v>8064</v>
      </c>
      <c r="T948" t="s">
        <v>7445</v>
      </c>
      <c r="U948">
        <v>0</v>
      </c>
    </row>
    <row r="949" spans="1:21">
      <c r="A949">
        <v>890</v>
      </c>
      <c r="B949" t="s">
        <v>7447</v>
      </c>
      <c r="C949" t="s">
        <v>4355</v>
      </c>
      <c r="D949">
        <v>931</v>
      </c>
      <c r="E949">
        <v>10</v>
      </c>
      <c r="F949" t="s">
        <v>1444</v>
      </c>
      <c r="G949" t="s">
        <v>4868</v>
      </c>
      <c r="J949" t="s">
        <v>8668</v>
      </c>
      <c r="L949">
        <v>0</v>
      </c>
      <c r="R949" s="16" t="s">
        <v>8064</v>
      </c>
      <c r="S949" s="16" t="s">
        <v>8064</v>
      </c>
      <c r="T949" t="s">
        <v>7447</v>
      </c>
      <c r="U949">
        <v>0</v>
      </c>
    </row>
    <row r="950" spans="1:21">
      <c r="A950">
        <v>889</v>
      </c>
      <c r="B950" t="s">
        <v>7432</v>
      </c>
      <c r="C950" t="s">
        <v>4676</v>
      </c>
      <c r="D950">
        <v>907</v>
      </c>
      <c r="E950">
        <v>10</v>
      </c>
      <c r="F950" t="s">
        <v>4677</v>
      </c>
      <c r="G950" t="s">
        <v>4868</v>
      </c>
      <c r="I950" t="s">
        <v>4887</v>
      </c>
      <c r="J950" t="s">
        <v>8668</v>
      </c>
      <c r="L950">
        <v>1</v>
      </c>
      <c r="M950" t="s">
        <v>4677</v>
      </c>
      <c r="N950" t="s">
        <v>6308</v>
      </c>
      <c r="O950" t="s">
        <v>104</v>
      </c>
      <c r="P950">
        <v>41660</v>
      </c>
      <c r="Q950">
        <v>475480</v>
      </c>
      <c r="R950" s="16" t="s">
        <v>8448</v>
      </c>
      <c r="S950" s="16" t="s">
        <v>8191</v>
      </c>
      <c r="T950" t="s">
        <v>7432</v>
      </c>
      <c r="U950">
        <v>0</v>
      </c>
    </row>
    <row r="951" spans="1:21">
      <c r="A951">
        <v>910</v>
      </c>
      <c r="B951" t="s">
        <v>7431</v>
      </c>
      <c r="C951" t="s">
        <v>4849</v>
      </c>
      <c r="D951">
        <v>1173</v>
      </c>
      <c r="E951">
        <v>12</v>
      </c>
      <c r="F951" t="s">
        <v>4361</v>
      </c>
      <c r="G951" t="s">
        <v>4868</v>
      </c>
      <c r="J951" t="s">
        <v>8668</v>
      </c>
      <c r="L951">
        <v>1</v>
      </c>
      <c r="M951" t="s">
        <v>6424</v>
      </c>
      <c r="N951" t="s">
        <v>6401</v>
      </c>
      <c r="O951" t="s">
        <v>104</v>
      </c>
      <c r="P951" t="s">
        <v>6425</v>
      </c>
      <c r="Q951">
        <v>494260</v>
      </c>
      <c r="R951" s="16" t="s">
        <v>8486</v>
      </c>
      <c r="S951" s="16" t="s">
        <v>8190</v>
      </c>
      <c r="T951" t="s">
        <v>7431</v>
      </c>
      <c r="U951">
        <v>0</v>
      </c>
    </row>
    <row r="952" spans="1:21">
      <c r="A952">
        <v>923</v>
      </c>
      <c r="B952" t="s">
        <v>7422</v>
      </c>
      <c r="C952" t="s">
        <v>5021</v>
      </c>
      <c r="D952">
        <v>1253</v>
      </c>
      <c r="E952">
        <v>13</v>
      </c>
      <c r="F952" t="s">
        <v>4553</v>
      </c>
      <c r="G952" t="s">
        <v>4868</v>
      </c>
      <c r="J952" t="s">
        <v>8668</v>
      </c>
      <c r="L952">
        <v>1</v>
      </c>
      <c r="M952" t="s">
        <v>4425</v>
      </c>
      <c r="N952" t="s">
        <v>6315</v>
      </c>
      <c r="O952" t="s">
        <v>104</v>
      </c>
      <c r="P952">
        <v>10990</v>
      </c>
      <c r="Q952">
        <v>494430</v>
      </c>
      <c r="R952" s="16" t="s">
        <v>8453</v>
      </c>
      <c r="S952" s="16" t="s">
        <v>8157</v>
      </c>
      <c r="T952" t="s">
        <v>7422</v>
      </c>
      <c r="U952">
        <v>0</v>
      </c>
    </row>
    <row r="953" spans="1:21">
      <c r="A953">
        <v>897</v>
      </c>
      <c r="B953" t="s">
        <v>7430</v>
      </c>
      <c r="C953" t="s">
        <v>4336</v>
      </c>
      <c r="D953">
        <v>1021</v>
      </c>
      <c r="E953">
        <v>11</v>
      </c>
      <c r="F953" t="s">
        <v>4389</v>
      </c>
      <c r="G953" t="s">
        <v>4868</v>
      </c>
      <c r="J953" t="s">
        <v>8668</v>
      </c>
      <c r="L953">
        <v>1</v>
      </c>
      <c r="M953" t="s">
        <v>6424</v>
      </c>
      <c r="N953" t="s">
        <v>6401</v>
      </c>
      <c r="O953" t="s">
        <v>104</v>
      </c>
      <c r="P953" t="s">
        <v>6425</v>
      </c>
      <c r="Q953">
        <v>494260</v>
      </c>
      <c r="R953" s="16" t="s">
        <v>8486</v>
      </c>
      <c r="S953" s="16" t="s">
        <v>8190</v>
      </c>
      <c r="T953" t="s">
        <v>7430</v>
      </c>
      <c r="U953">
        <v>0</v>
      </c>
    </row>
    <row r="954" spans="1:21">
      <c r="A954">
        <v>905</v>
      </c>
      <c r="B954" t="s">
        <v>4905</v>
      </c>
      <c r="C954">
        <v>1144</v>
      </c>
      <c r="D954">
        <v>1144</v>
      </c>
      <c r="E954">
        <v>12</v>
      </c>
      <c r="F954" t="s">
        <v>4469</v>
      </c>
      <c r="G954" t="s">
        <v>4868</v>
      </c>
      <c r="I954" t="s">
        <v>4906</v>
      </c>
      <c r="J954" t="s">
        <v>8668</v>
      </c>
      <c r="L954">
        <v>1</v>
      </c>
      <c r="M954" t="s">
        <v>4469</v>
      </c>
      <c r="N954" t="s">
        <v>6565</v>
      </c>
      <c r="O954" t="s">
        <v>104</v>
      </c>
      <c r="P954" t="s">
        <v>6781</v>
      </c>
      <c r="Q954" t="s">
        <v>6782</v>
      </c>
      <c r="R954" s="16" t="s">
        <v>8605</v>
      </c>
      <c r="S954" s="16" t="s">
        <v>8311</v>
      </c>
      <c r="T954" t="s">
        <v>4905</v>
      </c>
      <c r="U954">
        <v>0</v>
      </c>
    </row>
    <row r="955" spans="1:21">
      <c r="A955">
        <v>914</v>
      </c>
      <c r="B955" t="s">
        <v>7448</v>
      </c>
      <c r="C955" t="s">
        <v>4519</v>
      </c>
      <c r="D955">
        <v>1211</v>
      </c>
      <c r="E955">
        <v>13</v>
      </c>
      <c r="F955" t="s">
        <v>1444</v>
      </c>
      <c r="G955" t="s">
        <v>4868</v>
      </c>
      <c r="J955" t="s">
        <v>8668</v>
      </c>
      <c r="L955">
        <v>0</v>
      </c>
      <c r="R955" s="16" t="s">
        <v>8064</v>
      </c>
      <c r="S955" s="16" t="s">
        <v>8064</v>
      </c>
      <c r="T955" t="s">
        <v>7448</v>
      </c>
      <c r="U955">
        <v>0</v>
      </c>
    </row>
    <row r="956" spans="1:21">
      <c r="A956">
        <v>915</v>
      </c>
      <c r="B956" t="s">
        <v>7449</v>
      </c>
      <c r="C956" t="s">
        <v>4519</v>
      </c>
      <c r="D956">
        <v>1211</v>
      </c>
      <c r="E956">
        <v>13</v>
      </c>
      <c r="F956" t="s">
        <v>1444</v>
      </c>
      <c r="G956" t="s">
        <v>4868</v>
      </c>
      <c r="J956" t="s">
        <v>8668</v>
      </c>
      <c r="L956">
        <v>0</v>
      </c>
      <c r="R956" s="16" t="s">
        <v>8064</v>
      </c>
      <c r="S956" s="16" t="s">
        <v>8064</v>
      </c>
      <c r="T956" t="s">
        <v>7449</v>
      </c>
      <c r="U956">
        <v>0</v>
      </c>
    </row>
    <row r="957" spans="1:21">
      <c r="A957">
        <v>916</v>
      </c>
      <c r="B957" t="s">
        <v>7450</v>
      </c>
      <c r="C957" t="s">
        <v>4519</v>
      </c>
      <c r="D957">
        <v>1211</v>
      </c>
      <c r="E957">
        <v>13</v>
      </c>
      <c r="F957" t="s">
        <v>1444</v>
      </c>
      <c r="G957" t="s">
        <v>4868</v>
      </c>
      <c r="J957" t="s">
        <v>8668</v>
      </c>
      <c r="L957">
        <v>0</v>
      </c>
      <c r="R957" s="16" t="s">
        <v>8064</v>
      </c>
      <c r="S957" s="16" t="s">
        <v>8064</v>
      </c>
      <c r="T957" t="s">
        <v>7450</v>
      </c>
      <c r="U957">
        <v>0</v>
      </c>
    </row>
    <row r="958" spans="1:21">
      <c r="A958">
        <v>959</v>
      </c>
      <c r="B958" t="s">
        <v>7458</v>
      </c>
      <c r="C958" t="s">
        <v>4452</v>
      </c>
      <c r="D958">
        <v>1125</v>
      </c>
      <c r="E958">
        <v>12</v>
      </c>
      <c r="F958" t="s">
        <v>4447</v>
      </c>
      <c r="G958" t="s">
        <v>4827</v>
      </c>
      <c r="I958" t="s">
        <v>1985</v>
      </c>
      <c r="J958" t="s">
        <v>8668</v>
      </c>
      <c r="L958">
        <v>1</v>
      </c>
      <c r="M958" t="s">
        <v>4447</v>
      </c>
      <c r="N958" t="s">
        <v>6509</v>
      </c>
      <c r="O958" t="s">
        <v>104</v>
      </c>
      <c r="P958" t="s">
        <v>6766</v>
      </c>
      <c r="Q958" t="s">
        <v>6767</v>
      </c>
      <c r="R958" s="16" t="s">
        <v>8363</v>
      </c>
      <c r="S958" s="16" t="s">
        <v>8067</v>
      </c>
      <c r="T958" t="s">
        <v>7458</v>
      </c>
      <c r="U958">
        <v>0</v>
      </c>
    </row>
    <row r="959" spans="1:21">
      <c r="A959">
        <v>940</v>
      </c>
      <c r="B959" t="s">
        <v>7509</v>
      </c>
      <c r="C959" t="s">
        <v>4850</v>
      </c>
      <c r="D959">
        <v>1052</v>
      </c>
      <c r="E959">
        <v>11</v>
      </c>
      <c r="F959" t="s">
        <v>4415</v>
      </c>
      <c r="G959" t="s">
        <v>4827</v>
      </c>
      <c r="I959" t="s">
        <v>1974</v>
      </c>
      <c r="J959" t="s">
        <v>8668</v>
      </c>
      <c r="K959" t="s">
        <v>8674</v>
      </c>
      <c r="L959">
        <v>1</v>
      </c>
      <c r="M959" t="s">
        <v>4415</v>
      </c>
      <c r="N959" t="s">
        <v>6296</v>
      </c>
      <c r="O959" t="s">
        <v>104</v>
      </c>
      <c r="P959" t="s">
        <v>6297</v>
      </c>
      <c r="Q959">
        <v>474784</v>
      </c>
      <c r="R959" s="16" t="s">
        <v>6297</v>
      </c>
      <c r="S959" s="16" t="s">
        <v>8193</v>
      </c>
      <c r="T959" t="s">
        <v>7509</v>
      </c>
      <c r="U959">
        <v>0</v>
      </c>
    </row>
    <row r="960" spans="1:21">
      <c r="A960">
        <v>952</v>
      </c>
      <c r="B960" t="s">
        <v>7506</v>
      </c>
      <c r="C960" t="s">
        <v>4340</v>
      </c>
      <c r="D960">
        <v>1088</v>
      </c>
      <c r="E960">
        <v>11</v>
      </c>
      <c r="F960" t="s">
        <v>4422</v>
      </c>
      <c r="G960" t="s">
        <v>4827</v>
      </c>
      <c r="I960" t="s">
        <v>1996</v>
      </c>
      <c r="J960" t="s">
        <v>8668</v>
      </c>
      <c r="L960">
        <v>1</v>
      </c>
      <c r="M960" t="s">
        <v>4422</v>
      </c>
      <c r="N960" t="s">
        <v>6296</v>
      </c>
      <c r="O960" t="s">
        <v>104</v>
      </c>
      <c r="P960" t="s">
        <v>6297</v>
      </c>
      <c r="Q960">
        <v>474784</v>
      </c>
      <c r="R960" s="16" t="s">
        <v>6297</v>
      </c>
      <c r="S960" s="16" t="s">
        <v>8193</v>
      </c>
      <c r="T960" t="s">
        <v>7506</v>
      </c>
      <c r="U960">
        <v>0</v>
      </c>
    </row>
    <row r="961" spans="1:21">
      <c r="A961">
        <v>1006</v>
      </c>
      <c r="B961" t="s">
        <v>7515</v>
      </c>
      <c r="C961" t="s">
        <v>773</v>
      </c>
      <c r="D961">
        <v>1284</v>
      </c>
      <c r="E961">
        <v>13</v>
      </c>
      <c r="F961" t="s">
        <v>1444</v>
      </c>
      <c r="G961" t="s">
        <v>4827</v>
      </c>
      <c r="I961" t="s">
        <v>2013</v>
      </c>
      <c r="J961" t="s">
        <v>8668</v>
      </c>
      <c r="L961">
        <v>0</v>
      </c>
      <c r="R961" s="16" t="s">
        <v>8064</v>
      </c>
      <c r="S961" s="16" t="s">
        <v>8064</v>
      </c>
      <c r="T961" t="s">
        <v>7515</v>
      </c>
      <c r="U961">
        <v>0</v>
      </c>
    </row>
    <row r="962" spans="1:21">
      <c r="A962">
        <v>946</v>
      </c>
      <c r="B962" t="s">
        <v>7508</v>
      </c>
      <c r="C962" t="s">
        <v>4426</v>
      </c>
      <c r="D962">
        <v>1076</v>
      </c>
      <c r="E962">
        <v>11</v>
      </c>
      <c r="F962" t="s">
        <v>4422</v>
      </c>
      <c r="G962" t="s">
        <v>4827</v>
      </c>
      <c r="I962" t="s">
        <v>1990</v>
      </c>
      <c r="J962" t="s">
        <v>8668</v>
      </c>
      <c r="L962">
        <v>1</v>
      </c>
      <c r="M962" t="s">
        <v>4422</v>
      </c>
      <c r="N962" t="s">
        <v>6296</v>
      </c>
      <c r="O962" t="s">
        <v>104</v>
      </c>
      <c r="P962" t="s">
        <v>6297</v>
      </c>
      <c r="Q962">
        <v>474784</v>
      </c>
      <c r="R962" s="16" t="s">
        <v>6297</v>
      </c>
      <c r="S962" s="16" t="s">
        <v>8193</v>
      </c>
      <c r="T962" t="s">
        <v>7508</v>
      </c>
      <c r="U962">
        <v>0</v>
      </c>
    </row>
    <row r="963" spans="1:21">
      <c r="A963">
        <v>941</v>
      </c>
      <c r="B963" t="s">
        <v>7511</v>
      </c>
      <c r="C963" t="s">
        <v>4846</v>
      </c>
      <c r="D963">
        <v>1060</v>
      </c>
      <c r="E963">
        <v>11</v>
      </c>
      <c r="F963" t="s">
        <v>4417</v>
      </c>
      <c r="G963" t="s">
        <v>4827</v>
      </c>
      <c r="I963" t="s">
        <v>1983</v>
      </c>
      <c r="J963" t="s">
        <v>8668</v>
      </c>
      <c r="L963">
        <v>1</v>
      </c>
      <c r="M963" t="s">
        <v>4417</v>
      </c>
      <c r="N963" t="s">
        <v>6296</v>
      </c>
      <c r="O963" t="s">
        <v>104</v>
      </c>
      <c r="P963" t="s">
        <v>6297</v>
      </c>
      <c r="Q963">
        <v>474784</v>
      </c>
      <c r="R963" s="16" t="s">
        <v>6297</v>
      </c>
      <c r="S963" s="16" t="s">
        <v>8193</v>
      </c>
      <c r="T963" t="s">
        <v>7511</v>
      </c>
      <c r="U963">
        <v>0</v>
      </c>
    </row>
    <row r="964" spans="1:21">
      <c r="A964">
        <v>979</v>
      </c>
      <c r="B964" t="s">
        <v>7518</v>
      </c>
      <c r="C964" t="s">
        <v>4833</v>
      </c>
      <c r="D964">
        <v>1225</v>
      </c>
      <c r="E964">
        <v>13</v>
      </c>
      <c r="F964" t="s">
        <v>1444</v>
      </c>
      <c r="G964" t="s">
        <v>4827</v>
      </c>
      <c r="I964" t="s">
        <v>2001</v>
      </c>
      <c r="J964" t="s">
        <v>8668</v>
      </c>
      <c r="L964">
        <v>0</v>
      </c>
      <c r="R964" s="16" t="s">
        <v>8064</v>
      </c>
      <c r="S964" s="16" t="s">
        <v>8064</v>
      </c>
      <c r="T964" t="s">
        <v>7518</v>
      </c>
      <c r="U964">
        <v>0</v>
      </c>
    </row>
    <row r="965" spans="1:21">
      <c r="A965">
        <v>1004</v>
      </c>
      <c r="B965" t="s">
        <v>7732</v>
      </c>
      <c r="C965" t="s">
        <v>4730</v>
      </c>
      <c r="D965">
        <v>1283</v>
      </c>
      <c r="E965">
        <v>13</v>
      </c>
      <c r="F965" t="s">
        <v>4502</v>
      </c>
      <c r="G965" t="s">
        <v>4827</v>
      </c>
      <c r="I965" t="s">
        <v>2012</v>
      </c>
      <c r="J965" t="s">
        <v>8668</v>
      </c>
      <c r="L965">
        <v>1</v>
      </c>
      <c r="M965" t="s">
        <v>4502</v>
      </c>
      <c r="N965" t="s">
        <v>6456</v>
      </c>
      <c r="O965" t="s">
        <v>104</v>
      </c>
      <c r="P965">
        <v>23522</v>
      </c>
      <c r="Q965">
        <v>488566</v>
      </c>
      <c r="R965" s="16" t="s">
        <v>8364</v>
      </c>
      <c r="S965" s="16" t="s">
        <v>8069</v>
      </c>
      <c r="T965" t="s">
        <v>7984</v>
      </c>
      <c r="U965">
        <v>0</v>
      </c>
    </row>
    <row r="966" spans="1:21">
      <c r="A966">
        <v>943</v>
      </c>
      <c r="B966" t="s">
        <v>7513</v>
      </c>
      <c r="C966" t="s">
        <v>4851</v>
      </c>
      <c r="D966">
        <v>1070</v>
      </c>
      <c r="E966">
        <v>11</v>
      </c>
      <c r="F966" t="s">
        <v>4417</v>
      </c>
      <c r="G966" t="s">
        <v>4827</v>
      </c>
      <c r="I966" t="s">
        <v>1991</v>
      </c>
      <c r="J966" t="s">
        <v>8668</v>
      </c>
      <c r="L966">
        <v>1</v>
      </c>
      <c r="M966" t="s">
        <v>4417</v>
      </c>
      <c r="N966" t="s">
        <v>6296</v>
      </c>
      <c r="O966" t="s">
        <v>104</v>
      </c>
      <c r="P966" t="s">
        <v>6297</v>
      </c>
      <c r="Q966">
        <v>474784</v>
      </c>
      <c r="R966" s="16" t="s">
        <v>6297</v>
      </c>
      <c r="S966" s="16" t="s">
        <v>8193</v>
      </c>
      <c r="T966" t="s">
        <v>7513</v>
      </c>
      <c r="U966">
        <v>0</v>
      </c>
    </row>
    <row r="967" spans="1:21">
      <c r="A967">
        <v>965</v>
      </c>
      <c r="B967" t="s">
        <v>7626</v>
      </c>
      <c r="C967" t="s">
        <v>4954</v>
      </c>
      <c r="D967">
        <v>1144</v>
      </c>
      <c r="E967">
        <v>12</v>
      </c>
      <c r="F967" t="s">
        <v>1444</v>
      </c>
      <c r="G967" t="s">
        <v>4827</v>
      </c>
      <c r="J967" t="s">
        <v>8668</v>
      </c>
      <c r="L967">
        <v>0</v>
      </c>
      <c r="R967" s="16" t="s">
        <v>8064</v>
      </c>
      <c r="S967" s="16" t="s">
        <v>8064</v>
      </c>
      <c r="T967" t="s">
        <v>7626</v>
      </c>
      <c r="U967">
        <v>0</v>
      </c>
    </row>
    <row r="968" spans="1:21">
      <c r="A968">
        <v>971</v>
      </c>
      <c r="B968" t="s">
        <v>7453</v>
      </c>
      <c r="C968" t="s">
        <v>4849</v>
      </c>
      <c r="D968">
        <v>1173</v>
      </c>
      <c r="E968">
        <v>12</v>
      </c>
      <c r="F968" t="s">
        <v>4504</v>
      </c>
      <c r="G968" t="s">
        <v>4827</v>
      </c>
      <c r="I968" t="s">
        <v>1978</v>
      </c>
      <c r="J968" t="s">
        <v>8668</v>
      </c>
      <c r="L968">
        <v>1</v>
      </c>
      <c r="M968" t="s">
        <v>4504</v>
      </c>
      <c r="N968" t="s">
        <v>6355</v>
      </c>
      <c r="O968" t="s">
        <v>12</v>
      </c>
      <c r="P968" t="s">
        <v>6931</v>
      </c>
      <c r="Q968" t="s">
        <v>6932</v>
      </c>
      <c r="R968" s="16" t="s">
        <v>8488</v>
      </c>
      <c r="S968" s="16" t="s">
        <v>8194</v>
      </c>
      <c r="T968" t="s">
        <v>7453</v>
      </c>
      <c r="U968">
        <v>0</v>
      </c>
    </row>
    <row r="969" spans="1:21">
      <c r="A969">
        <v>955</v>
      </c>
      <c r="B969" t="s">
        <v>7627</v>
      </c>
      <c r="C969" t="s">
        <v>4351</v>
      </c>
      <c r="D969">
        <v>1093</v>
      </c>
      <c r="E969">
        <v>11</v>
      </c>
      <c r="F969" t="s">
        <v>1444</v>
      </c>
      <c r="G969" t="s">
        <v>4827</v>
      </c>
      <c r="I969" t="s">
        <v>1998</v>
      </c>
      <c r="J969" t="s">
        <v>8668</v>
      </c>
      <c r="L969">
        <v>0</v>
      </c>
      <c r="R969" s="16" t="s">
        <v>8064</v>
      </c>
      <c r="S969" s="16" t="s">
        <v>8064</v>
      </c>
      <c r="T969" t="s">
        <v>7627</v>
      </c>
      <c r="U969">
        <v>0</v>
      </c>
    </row>
    <row r="970" spans="1:21">
      <c r="A970">
        <v>956</v>
      </c>
      <c r="B970" t="s">
        <v>7628</v>
      </c>
      <c r="C970" t="s">
        <v>4853</v>
      </c>
      <c r="D970">
        <v>1093</v>
      </c>
      <c r="E970">
        <v>11</v>
      </c>
      <c r="F970" t="s">
        <v>1444</v>
      </c>
      <c r="G970" t="s">
        <v>4827</v>
      </c>
      <c r="I970" t="s">
        <v>1998</v>
      </c>
      <c r="J970" t="s">
        <v>8668</v>
      </c>
      <c r="L970">
        <v>0</v>
      </c>
      <c r="R970" s="16" t="s">
        <v>8064</v>
      </c>
      <c r="S970" s="16" t="s">
        <v>8064</v>
      </c>
      <c r="T970" t="s">
        <v>7628</v>
      </c>
      <c r="U970">
        <v>0</v>
      </c>
    </row>
    <row r="971" spans="1:21">
      <c r="A971">
        <v>930</v>
      </c>
      <c r="B971" t="s">
        <v>7452</v>
      </c>
      <c r="C971" t="s">
        <v>4826</v>
      </c>
      <c r="D971">
        <v>997</v>
      </c>
      <c r="E971">
        <v>10</v>
      </c>
      <c r="F971" t="s">
        <v>4371</v>
      </c>
      <c r="G971" t="s">
        <v>4827</v>
      </c>
      <c r="I971" t="s">
        <v>1965</v>
      </c>
      <c r="J971" t="s">
        <v>8668</v>
      </c>
      <c r="L971">
        <v>1</v>
      </c>
      <c r="M971" t="s">
        <v>4371</v>
      </c>
      <c r="N971" t="s">
        <v>6367</v>
      </c>
      <c r="O971" t="s">
        <v>12</v>
      </c>
      <c r="P971" t="s">
        <v>6958</v>
      </c>
      <c r="Q971" t="s">
        <v>6959</v>
      </c>
      <c r="R971" s="16" t="s">
        <v>8421</v>
      </c>
      <c r="S971" s="16" t="s">
        <v>8125</v>
      </c>
      <c r="T971" t="s">
        <v>7452</v>
      </c>
      <c r="U971">
        <v>0</v>
      </c>
    </row>
    <row r="972" spans="1:21">
      <c r="A972">
        <v>980</v>
      </c>
      <c r="B972" t="s">
        <v>7463</v>
      </c>
      <c r="C972" t="s">
        <v>4832</v>
      </c>
      <c r="D972">
        <v>1228</v>
      </c>
      <c r="E972">
        <v>13</v>
      </c>
      <c r="F972" t="s">
        <v>4365</v>
      </c>
      <c r="G972" t="s">
        <v>4827</v>
      </c>
      <c r="I972" t="s">
        <v>2000</v>
      </c>
      <c r="J972" t="s">
        <v>8668</v>
      </c>
      <c r="L972">
        <v>1</v>
      </c>
      <c r="M972" t="s">
        <v>6758</v>
      </c>
      <c r="N972" t="s">
        <v>6759</v>
      </c>
      <c r="O972" t="s">
        <v>104</v>
      </c>
      <c r="P972" t="s">
        <v>6760</v>
      </c>
      <c r="Q972" t="s">
        <v>6761</v>
      </c>
      <c r="R972" s="16" t="s">
        <v>8483</v>
      </c>
      <c r="S972" s="16" t="s">
        <v>8188</v>
      </c>
      <c r="T972" t="s">
        <v>7463</v>
      </c>
      <c r="U972">
        <v>0</v>
      </c>
    </row>
    <row r="973" spans="1:21">
      <c r="A973">
        <v>1011</v>
      </c>
      <c r="B973" t="s">
        <v>7629</v>
      </c>
      <c r="C973" t="s">
        <v>4613</v>
      </c>
      <c r="D973">
        <v>1291</v>
      </c>
      <c r="E973">
        <v>13</v>
      </c>
      <c r="F973" t="s">
        <v>1444</v>
      </c>
      <c r="G973" t="s">
        <v>4827</v>
      </c>
      <c r="I973" t="s">
        <v>2014</v>
      </c>
      <c r="J973" t="s">
        <v>8668</v>
      </c>
      <c r="L973">
        <v>0</v>
      </c>
      <c r="R973" s="16" t="s">
        <v>8064</v>
      </c>
      <c r="S973" s="16" t="s">
        <v>8064</v>
      </c>
      <c r="T973" t="s">
        <v>7629</v>
      </c>
      <c r="U973">
        <v>0</v>
      </c>
    </row>
    <row r="974" spans="1:21">
      <c r="A974">
        <v>929</v>
      </c>
      <c r="B974" t="s">
        <v>7464</v>
      </c>
      <c r="C974" t="s">
        <v>4375</v>
      </c>
      <c r="D974">
        <v>996</v>
      </c>
      <c r="E974">
        <v>10</v>
      </c>
      <c r="F974" t="s">
        <v>4365</v>
      </c>
      <c r="G974" t="s">
        <v>4827</v>
      </c>
      <c r="I974" t="s">
        <v>1966</v>
      </c>
      <c r="J974" t="s">
        <v>8668</v>
      </c>
      <c r="L974">
        <v>1</v>
      </c>
      <c r="M974" t="s">
        <v>6758</v>
      </c>
      <c r="N974" t="s">
        <v>6759</v>
      </c>
      <c r="O974" t="s">
        <v>104</v>
      </c>
      <c r="P974" t="s">
        <v>6760</v>
      </c>
      <c r="Q974" t="s">
        <v>6761</v>
      </c>
      <c r="R974" s="16" t="s">
        <v>8483</v>
      </c>
      <c r="S974" s="16" t="s">
        <v>8188</v>
      </c>
      <c r="T974" t="s">
        <v>7464</v>
      </c>
      <c r="U974">
        <v>0</v>
      </c>
    </row>
    <row r="975" spans="1:21">
      <c r="A975">
        <v>948</v>
      </c>
      <c r="B975" t="s">
        <v>7465</v>
      </c>
      <c r="C975" t="s">
        <v>4429</v>
      </c>
      <c r="D975">
        <v>1083</v>
      </c>
      <c r="E975">
        <v>11</v>
      </c>
      <c r="F975" t="s">
        <v>4365</v>
      </c>
      <c r="G975" t="s">
        <v>4827</v>
      </c>
      <c r="I975" t="s">
        <v>1994</v>
      </c>
      <c r="J975" t="s">
        <v>8668</v>
      </c>
      <c r="L975">
        <v>1</v>
      </c>
      <c r="M975" t="s">
        <v>6758</v>
      </c>
      <c r="N975" t="s">
        <v>6759</v>
      </c>
      <c r="O975" t="s">
        <v>104</v>
      </c>
      <c r="P975" t="s">
        <v>6760</v>
      </c>
      <c r="Q975" t="s">
        <v>6761</v>
      </c>
      <c r="R975" s="16" t="s">
        <v>8483</v>
      </c>
      <c r="S975" s="16" t="s">
        <v>8188</v>
      </c>
      <c r="T975" t="s">
        <v>7465</v>
      </c>
      <c r="U975">
        <v>0</v>
      </c>
    </row>
    <row r="976" spans="1:21">
      <c r="A976">
        <v>983</v>
      </c>
      <c r="B976" t="s">
        <v>7466</v>
      </c>
      <c r="C976" t="s">
        <v>4831</v>
      </c>
      <c r="D976">
        <v>1239</v>
      </c>
      <c r="E976">
        <v>13</v>
      </c>
      <c r="F976" t="s">
        <v>4365</v>
      </c>
      <c r="G976" t="s">
        <v>4827</v>
      </c>
      <c r="I976" t="s">
        <v>2004</v>
      </c>
      <c r="J976" t="s">
        <v>8668</v>
      </c>
      <c r="L976">
        <v>1</v>
      </c>
      <c r="M976" t="s">
        <v>6758</v>
      </c>
      <c r="N976" t="s">
        <v>6759</v>
      </c>
      <c r="O976" t="s">
        <v>104</v>
      </c>
      <c r="P976" t="s">
        <v>6760</v>
      </c>
      <c r="Q976" t="s">
        <v>6761</v>
      </c>
      <c r="R976" s="16" t="s">
        <v>8483</v>
      </c>
      <c r="S976" s="16" t="s">
        <v>8188</v>
      </c>
      <c r="T976" t="s">
        <v>7466</v>
      </c>
      <c r="U976">
        <v>0</v>
      </c>
    </row>
    <row r="977" spans="1:21">
      <c r="A977">
        <v>985</v>
      </c>
      <c r="B977" t="s">
        <v>7467</v>
      </c>
      <c r="C977" t="s">
        <v>4831</v>
      </c>
      <c r="D977">
        <v>1239</v>
      </c>
      <c r="E977">
        <v>13</v>
      </c>
      <c r="F977" t="s">
        <v>4365</v>
      </c>
      <c r="G977" t="s">
        <v>4827</v>
      </c>
      <c r="I977" t="s">
        <v>2005</v>
      </c>
      <c r="J977" t="s">
        <v>8668</v>
      </c>
      <c r="L977">
        <v>1</v>
      </c>
      <c r="M977" t="s">
        <v>6758</v>
      </c>
      <c r="N977" t="s">
        <v>6759</v>
      </c>
      <c r="O977" t="s">
        <v>104</v>
      </c>
      <c r="P977" t="s">
        <v>6760</v>
      </c>
      <c r="Q977" t="s">
        <v>6761</v>
      </c>
      <c r="R977" s="16" t="s">
        <v>8483</v>
      </c>
      <c r="S977" s="16" t="s">
        <v>8188</v>
      </c>
      <c r="T977" t="s">
        <v>7467</v>
      </c>
      <c r="U977">
        <v>0</v>
      </c>
    </row>
    <row r="978" spans="1:21">
      <c r="A978">
        <v>987</v>
      </c>
      <c r="B978" t="s">
        <v>7468</v>
      </c>
      <c r="C978" t="s">
        <v>4831</v>
      </c>
      <c r="D978">
        <v>1239</v>
      </c>
      <c r="E978">
        <v>13</v>
      </c>
      <c r="F978" t="s">
        <v>4365</v>
      </c>
      <c r="G978" t="s">
        <v>4827</v>
      </c>
      <c r="I978" t="s">
        <v>2006</v>
      </c>
      <c r="J978" t="s">
        <v>8668</v>
      </c>
      <c r="L978">
        <v>1</v>
      </c>
      <c r="M978" t="s">
        <v>6758</v>
      </c>
      <c r="N978" t="s">
        <v>6759</v>
      </c>
      <c r="O978" t="s">
        <v>104</v>
      </c>
      <c r="P978" t="s">
        <v>6760</v>
      </c>
      <c r="Q978" t="s">
        <v>6761</v>
      </c>
      <c r="R978" s="16" t="s">
        <v>8483</v>
      </c>
      <c r="S978" s="16" t="s">
        <v>8188</v>
      </c>
      <c r="T978" t="s">
        <v>7468</v>
      </c>
      <c r="U978">
        <v>0</v>
      </c>
    </row>
    <row r="979" spans="1:21">
      <c r="A979">
        <v>988</v>
      </c>
      <c r="B979" t="s">
        <v>7469</v>
      </c>
      <c r="C979" t="s">
        <v>4831</v>
      </c>
      <c r="D979">
        <v>1239</v>
      </c>
      <c r="E979">
        <v>13</v>
      </c>
      <c r="F979" t="s">
        <v>4365</v>
      </c>
      <c r="G979" t="s">
        <v>4827</v>
      </c>
      <c r="I979" t="s">
        <v>2006</v>
      </c>
      <c r="J979" t="s">
        <v>8668</v>
      </c>
      <c r="L979">
        <v>1</v>
      </c>
      <c r="M979" t="s">
        <v>6758</v>
      </c>
      <c r="N979" t="s">
        <v>6759</v>
      </c>
      <c r="O979" t="s">
        <v>104</v>
      </c>
      <c r="P979" t="s">
        <v>6760</v>
      </c>
      <c r="Q979" t="s">
        <v>6761</v>
      </c>
      <c r="R979" s="16" t="s">
        <v>8483</v>
      </c>
      <c r="S979" s="16" t="s">
        <v>8188</v>
      </c>
      <c r="T979" t="s">
        <v>7469</v>
      </c>
      <c r="U979">
        <v>0</v>
      </c>
    </row>
    <row r="980" spans="1:21">
      <c r="A980">
        <v>989</v>
      </c>
      <c r="B980" t="s">
        <v>7470</v>
      </c>
      <c r="C980" t="s">
        <v>4831</v>
      </c>
      <c r="D980">
        <v>1239</v>
      </c>
      <c r="E980">
        <v>13</v>
      </c>
      <c r="F980" t="s">
        <v>4365</v>
      </c>
      <c r="G980" t="s">
        <v>4827</v>
      </c>
      <c r="I980" t="s">
        <v>2007</v>
      </c>
      <c r="J980" t="s">
        <v>8668</v>
      </c>
      <c r="L980">
        <v>1</v>
      </c>
      <c r="M980" t="s">
        <v>6758</v>
      </c>
      <c r="N980" t="s">
        <v>6759</v>
      </c>
      <c r="O980" t="s">
        <v>104</v>
      </c>
      <c r="P980" t="s">
        <v>6760</v>
      </c>
      <c r="Q980" t="s">
        <v>6761</v>
      </c>
      <c r="R980" s="16" t="s">
        <v>8483</v>
      </c>
      <c r="S980" s="16" t="s">
        <v>8188</v>
      </c>
      <c r="T980" t="s">
        <v>7470</v>
      </c>
      <c r="U980">
        <v>0</v>
      </c>
    </row>
    <row r="981" spans="1:21">
      <c r="A981">
        <v>984</v>
      </c>
      <c r="B981" t="s">
        <v>7472</v>
      </c>
      <c r="C981" t="s">
        <v>4749</v>
      </c>
      <c r="D981">
        <v>1239</v>
      </c>
      <c r="E981">
        <v>13</v>
      </c>
      <c r="F981" t="s">
        <v>4365</v>
      </c>
      <c r="G981" t="s">
        <v>4827</v>
      </c>
      <c r="I981" t="s">
        <v>2004</v>
      </c>
      <c r="J981" t="s">
        <v>8668</v>
      </c>
      <c r="L981">
        <v>1</v>
      </c>
      <c r="M981" t="s">
        <v>6758</v>
      </c>
      <c r="N981" t="s">
        <v>6759</v>
      </c>
      <c r="O981" t="s">
        <v>104</v>
      </c>
      <c r="P981" t="s">
        <v>6760</v>
      </c>
      <c r="Q981" t="s">
        <v>6761</v>
      </c>
      <c r="R981" s="16" t="s">
        <v>8483</v>
      </c>
      <c r="S981" s="16" t="s">
        <v>8188</v>
      </c>
      <c r="T981" t="s">
        <v>7472</v>
      </c>
      <c r="U981">
        <v>0</v>
      </c>
    </row>
    <row r="982" spans="1:21">
      <c r="A982">
        <v>986</v>
      </c>
      <c r="B982" t="s">
        <v>7473</v>
      </c>
      <c r="C982" t="s">
        <v>4749</v>
      </c>
      <c r="D982">
        <v>1239</v>
      </c>
      <c r="E982">
        <v>13</v>
      </c>
      <c r="F982" t="s">
        <v>4365</v>
      </c>
      <c r="G982" t="s">
        <v>4827</v>
      </c>
      <c r="I982" t="s">
        <v>2005</v>
      </c>
      <c r="J982" t="s">
        <v>8668</v>
      </c>
      <c r="L982">
        <v>1</v>
      </c>
      <c r="M982" t="s">
        <v>6758</v>
      </c>
      <c r="N982" t="s">
        <v>6759</v>
      </c>
      <c r="O982" t="s">
        <v>104</v>
      </c>
      <c r="P982" t="s">
        <v>6760</v>
      </c>
      <c r="Q982" t="s">
        <v>6761</v>
      </c>
      <c r="R982" s="16" t="s">
        <v>8483</v>
      </c>
      <c r="S982" s="16" t="s">
        <v>8188</v>
      </c>
      <c r="T982" t="s">
        <v>7473</v>
      </c>
      <c r="U982">
        <v>0</v>
      </c>
    </row>
    <row r="983" spans="1:21">
      <c r="A983">
        <v>1007</v>
      </c>
      <c r="B983" t="s">
        <v>7630</v>
      </c>
      <c r="C983" t="s">
        <v>773</v>
      </c>
      <c r="D983">
        <v>1284</v>
      </c>
      <c r="E983">
        <v>13</v>
      </c>
      <c r="F983" t="s">
        <v>1444</v>
      </c>
      <c r="G983" t="s">
        <v>4827</v>
      </c>
      <c r="I983" t="s">
        <v>2014</v>
      </c>
      <c r="J983" t="s">
        <v>8668</v>
      </c>
      <c r="L983">
        <v>0</v>
      </c>
      <c r="R983" s="16" t="s">
        <v>8064</v>
      </c>
      <c r="S983" s="16" t="s">
        <v>8064</v>
      </c>
      <c r="T983" t="s">
        <v>7630</v>
      </c>
      <c r="U983">
        <v>0</v>
      </c>
    </row>
    <row r="984" spans="1:21">
      <c r="A984">
        <v>990</v>
      </c>
      <c r="B984" t="s">
        <v>7474</v>
      </c>
      <c r="C984" t="s">
        <v>4831</v>
      </c>
      <c r="D984">
        <v>1239</v>
      </c>
      <c r="E984">
        <v>13</v>
      </c>
      <c r="F984" t="s">
        <v>4365</v>
      </c>
      <c r="G984" t="s">
        <v>4827</v>
      </c>
      <c r="I984" t="s">
        <v>2007</v>
      </c>
      <c r="J984" t="s">
        <v>8668</v>
      </c>
      <c r="L984">
        <v>1</v>
      </c>
      <c r="M984" t="s">
        <v>6758</v>
      </c>
      <c r="N984" t="s">
        <v>6759</v>
      </c>
      <c r="O984" t="s">
        <v>104</v>
      </c>
      <c r="P984" t="s">
        <v>6760</v>
      </c>
      <c r="Q984" t="s">
        <v>6761</v>
      </c>
      <c r="R984" s="16" t="s">
        <v>8483</v>
      </c>
      <c r="S984" s="16" t="s">
        <v>8188</v>
      </c>
      <c r="T984" t="s">
        <v>7474</v>
      </c>
      <c r="U984">
        <v>0</v>
      </c>
    </row>
    <row r="985" spans="1:21">
      <c r="A985">
        <v>995</v>
      </c>
      <c r="B985" t="s">
        <v>7456</v>
      </c>
      <c r="C985" t="s">
        <v>4723</v>
      </c>
      <c r="D985">
        <v>1256</v>
      </c>
      <c r="E985">
        <v>13</v>
      </c>
      <c r="F985" t="s">
        <v>4449</v>
      </c>
      <c r="G985" t="s">
        <v>4827</v>
      </c>
      <c r="I985" t="s">
        <v>2010</v>
      </c>
      <c r="J985" t="s">
        <v>8668</v>
      </c>
      <c r="L985">
        <v>1</v>
      </c>
      <c r="M985" t="s">
        <v>4532</v>
      </c>
      <c r="N985" t="s">
        <v>6308</v>
      </c>
      <c r="O985" t="s">
        <v>104</v>
      </c>
      <c r="P985">
        <v>32830</v>
      </c>
      <c r="Q985">
        <v>481980</v>
      </c>
      <c r="R985" s="16" t="s">
        <v>8366</v>
      </c>
      <c r="S985" s="16" t="s">
        <v>8071</v>
      </c>
      <c r="T985" t="s">
        <v>7456</v>
      </c>
      <c r="U985">
        <v>0</v>
      </c>
    </row>
    <row r="986" spans="1:21">
      <c r="A986">
        <v>992</v>
      </c>
      <c r="B986" t="s">
        <v>7475</v>
      </c>
      <c r="C986" t="s">
        <v>4543</v>
      </c>
      <c r="D986">
        <v>1241</v>
      </c>
      <c r="E986">
        <v>13</v>
      </c>
      <c r="F986" t="s">
        <v>4365</v>
      </c>
      <c r="G986" t="s">
        <v>4827</v>
      </c>
      <c r="I986" t="s">
        <v>2003</v>
      </c>
      <c r="J986" t="s">
        <v>8668</v>
      </c>
      <c r="L986">
        <v>1</v>
      </c>
      <c r="M986" t="s">
        <v>6758</v>
      </c>
      <c r="N986" t="s">
        <v>6759</v>
      </c>
      <c r="O986" t="s">
        <v>104</v>
      </c>
      <c r="P986" t="s">
        <v>6760</v>
      </c>
      <c r="Q986" t="s">
        <v>6761</v>
      </c>
      <c r="R986" s="16" t="s">
        <v>8483</v>
      </c>
      <c r="S986" s="16" t="s">
        <v>8188</v>
      </c>
      <c r="T986" t="s">
        <v>7475</v>
      </c>
      <c r="U986">
        <v>0</v>
      </c>
    </row>
    <row r="987" spans="1:21">
      <c r="A987">
        <v>935</v>
      </c>
      <c r="B987" t="s">
        <v>7476</v>
      </c>
      <c r="C987" t="s">
        <v>4845</v>
      </c>
      <c r="D987">
        <v>1003</v>
      </c>
      <c r="E987">
        <v>11</v>
      </c>
      <c r="F987" t="s">
        <v>4365</v>
      </c>
      <c r="G987" t="s">
        <v>4827</v>
      </c>
      <c r="I987" t="s">
        <v>1969</v>
      </c>
      <c r="J987" t="s">
        <v>8668</v>
      </c>
      <c r="L987">
        <v>1</v>
      </c>
      <c r="M987" t="s">
        <v>6758</v>
      </c>
      <c r="N987" t="s">
        <v>6759</v>
      </c>
      <c r="O987" t="s">
        <v>104</v>
      </c>
      <c r="P987" t="s">
        <v>6760</v>
      </c>
      <c r="Q987" t="s">
        <v>6761</v>
      </c>
      <c r="R987" s="16" t="s">
        <v>8483</v>
      </c>
      <c r="S987" s="16" t="s">
        <v>8188</v>
      </c>
      <c r="T987" t="s">
        <v>7854</v>
      </c>
      <c r="U987">
        <v>0</v>
      </c>
    </row>
    <row r="988" spans="1:21">
      <c r="A988">
        <v>939</v>
      </c>
      <c r="B988" t="s">
        <v>7495</v>
      </c>
      <c r="C988" t="s">
        <v>4406</v>
      </c>
      <c r="D988">
        <v>1052</v>
      </c>
      <c r="E988">
        <v>11</v>
      </c>
      <c r="F988" t="s">
        <v>4407</v>
      </c>
      <c r="G988" t="s">
        <v>4827</v>
      </c>
      <c r="I988" t="s">
        <v>1973</v>
      </c>
      <c r="J988" t="s">
        <v>8668</v>
      </c>
      <c r="L988">
        <v>1</v>
      </c>
      <c r="M988" t="s">
        <v>4407</v>
      </c>
      <c r="N988" t="s">
        <v>6585</v>
      </c>
      <c r="O988" t="s">
        <v>104</v>
      </c>
      <c r="P988" t="s">
        <v>6586</v>
      </c>
      <c r="Q988" t="s">
        <v>6587</v>
      </c>
      <c r="R988" s="16" t="s">
        <v>8451</v>
      </c>
      <c r="S988" s="16" t="s">
        <v>8155</v>
      </c>
      <c r="T988" t="s">
        <v>7495</v>
      </c>
      <c r="U988">
        <v>0</v>
      </c>
    </row>
    <row r="989" spans="1:21">
      <c r="A989">
        <v>961</v>
      </c>
      <c r="B989" t="s">
        <v>7459</v>
      </c>
      <c r="C989" t="s">
        <v>4342</v>
      </c>
      <c r="D989">
        <v>1128</v>
      </c>
      <c r="E989">
        <v>12</v>
      </c>
      <c r="F989" t="s">
        <v>4447</v>
      </c>
      <c r="G989" t="s">
        <v>4827</v>
      </c>
      <c r="I989" t="s">
        <v>1984</v>
      </c>
      <c r="J989" t="s">
        <v>8668</v>
      </c>
      <c r="L989">
        <v>1</v>
      </c>
      <c r="M989" t="s">
        <v>4447</v>
      </c>
      <c r="N989" t="s">
        <v>6509</v>
      </c>
      <c r="O989" t="s">
        <v>104</v>
      </c>
      <c r="P989" t="s">
        <v>6766</v>
      </c>
      <c r="Q989" t="s">
        <v>6767</v>
      </c>
      <c r="R989" s="16" t="s">
        <v>8363</v>
      </c>
      <c r="S989" s="16" t="s">
        <v>8067</v>
      </c>
      <c r="T989" t="s">
        <v>7851</v>
      </c>
      <c r="U989">
        <v>0</v>
      </c>
    </row>
    <row r="990" spans="1:21">
      <c r="A990">
        <v>957</v>
      </c>
      <c r="B990" t="s">
        <v>7460</v>
      </c>
      <c r="C990" t="s">
        <v>4854</v>
      </c>
      <c r="D990">
        <v>1109</v>
      </c>
      <c r="E990">
        <v>12</v>
      </c>
      <c r="F990" t="s">
        <v>4447</v>
      </c>
      <c r="G990" t="s">
        <v>4827</v>
      </c>
      <c r="I990" t="s">
        <v>1984</v>
      </c>
      <c r="J990" t="s">
        <v>8668</v>
      </c>
      <c r="L990">
        <v>1</v>
      </c>
      <c r="M990" t="s">
        <v>4447</v>
      </c>
      <c r="N990" t="s">
        <v>6509</v>
      </c>
      <c r="O990" t="s">
        <v>104</v>
      </c>
      <c r="P990" t="s">
        <v>6766</v>
      </c>
      <c r="Q990" t="s">
        <v>6767</v>
      </c>
      <c r="R990" s="16" t="s">
        <v>8363</v>
      </c>
      <c r="S990" s="16" t="s">
        <v>8067</v>
      </c>
      <c r="T990" t="s">
        <v>7851</v>
      </c>
      <c r="U990">
        <v>0</v>
      </c>
    </row>
    <row r="991" spans="1:21">
      <c r="A991">
        <v>960</v>
      </c>
      <c r="B991" t="s">
        <v>7461</v>
      </c>
      <c r="C991" t="s">
        <v>4452</v>
      </c>
      <c r="D991">
        <v>1125</v>
      </c>
      <c r="E991">
        <v>12</v>
      </c>
      <c r="F991" t="s">
        <v>4447</v>
      </c>
      <c r="G991" t="s">
        <v>4827</v>
      </c>
      <c r="I991" t="s">
        <v>1986</v>
      </c>
      <c r="J991" t="s">
        <v>8668</v>
      </c>
      <c r="L991">
        <v>1</v>
      </c>
      <c r="M991" t="s">
        <v>4447</v>
      </c>
      <c r="N991" t="s">
        <v>6509</v>
      </c>
      <c r="O991" t="s">
        <v>104</v>
      </c>
      <c r="P991" t="s">
        <v>6766</v>
      </c>
      <c r="Q991" t="s">
        <v>6767</v>
      </c>
      <c r="R991" s="16" t="s">
        <v>8363</v>
      </c>
      <c r="S991" s="16" t="s">
        <v>8067</v>
      </c>
      <c r="T991" t="s">
        <v>7461</v>
      </c>
      <c r="U991">
        <v>0</v>
      </c>
    </row>
    <row r="992" spans="1:21">
      <c r="A992">
        <v>927</v>
      </c>
      <c r="B992" t="s">
        <v>7496</v>
      </c>
      <c r="C992" t="s">
        <v>4360</v>
      </c>
      <c r="D992">
        <v>957</v>
      </c>
      <c r="E992">
        <v>10</v>
      </c>
      <c r="F992" t="s">
        <v>4361</v>
      </c>
      <c r="G992" t="s">
        <v>4827</v>
      </c>
      <c r="I992" t="s">
        <v>1964</v>
      </c>
      <c r="J992" t="s">
        <v>8668</v>
      </c>
      <c r="L992">
        <v>1</v>
      </c>
      <c r="M992" t="s">
        <v>6424</v>
      </c>
      <c r="N992" t="s">
        <v>6401</v>
      </c>
      <c r="O992" t="s">
        <v>104</v>
      </c>
      <c r="P992" t="s">
        <v>6425</v>
      </c>
      <c r="Q992">
        <v>494260</v>
      </c>
      <c r="R992" s="16" t="s">
        <v>8486</v>
      </c>
      <c r="S992" s="16" t="s">
        <v>8190</v>
      </c>
      <c r="T992" t="s">
        <v>7496</v>
      </c>
      <c r="U992">
        <v>0</v>
      </c>
    </row>
    <row r="993" spans="1:21">
      <c r="A993">
        <v>950</v>
      </c>
      <c r="B993" t="s">
        <v>7497</v>
      </c>
      <c r="C993" t="s">
        <v>4852</v>
      </c>
      <c r="D993">
        <v>1086</v>
      </c>
      <c r="E993">
        <v>11</v>
      </c>
      <c r="F993" t="s">
        <v>4361</v>
      </c>
      <c r="G993" t="s">
        <v>4827</v>
      </c>
      <c r="I993" t="s">
        <v>1993</v>
      </c>
      <c r="J993" t="s">
        <v>8668</v>
      </c>
      <c r="L993">
        <v>1</v>
      </c>
      <c r="M993" t="s">
        <v>6424</v>
      </c>
      <c r="N993" t="s">
        <v>6401</v>
      </c>
      <c r="O993" t="s">
        <v>104</v>
      </c>
      <c r="P993" t="s">
        <v>6425</v>
      </c>
      <c r="Q993">
        <v>494260</v>
      </c>
      <c r="R993" s="16" t="s">
        <v>8486</v>
      </c>
      <c r="S993" s="16" t="s">
        <v>8190</v>
      </c>
      <c r="T993" t="s">
        <v>7497</v>
      </c>
      <c r="U993">
        <v>0</v>
      </c>
    </row>
    <row r="994" spans="1:21">
      <c r="A994">
        <v>981</v>
      </c>
      <c r="B994" t="s">
        <v>7498</v>
      </c>
      <c r="C994" t="s">
        <v>4834</v>
      </c>
      <c r="D994">
        <v>1238</v>
      </c>
      <c r="E994">
        <v>13</v>
      </c>
      <c r="F994" t="s">
        <v>4361</v>
      </c>
      <c r="G994" t="s">
        <v>4827</v>
      </c>
      <c r="I994" t="s">
        <v>2002</v>
      </c>
      <c r="J994" t="s">
        <v>8668</v>
      </c>
      <c r="L994">
        <v>1</v>
      </c>
      <c r="M994" t="s">
        <v>6424</v>
      </c>
      <c r="N994" t="s">
        <v>6401</v>
      </c>
      <c r="O994" t="s">
        <v>104</v>
      </c>
      <c r="P994" t="s">
        <v>6425</v>
      </c>
      <c r="Q994">
        <v>494260</v>
      </c>
      <c r="R994" s="16" t="s">
        <v>8486</v>
      </c>
      <c r="S994" s="16" t="s">
        <v>8190</v>
      </c>
      <c r="T994" t="s">
        <v>7498</v>
      </c>
      <c r="U994">
        <v>0</v>
      </c>
    </row>
    <row r="995" spans="1:21">
      <c r="A995">
        <v>970</v>
      </c>
      <c r="B995" t="s">
        <v>7499</v>
      </c>
      <c r="C995" t="s">
        <v>4849</v>
      </c>
      <c r="D995">
        <v>1173</v>
      </c>
      <c r="E995">
        <v>12</v>
      </c>
      <c r="F995" t="s">
        <v>4361</v>
      </c>
      <c r="G995" t="s">
        <v>4827</v>
      </c>
      <c r="I995" t="s">
        <v>1979</v>
      </c>
      <c r="J995" t="s">
        <v>8668</v>
      </c>
      <c r="L995">
        <v>1</v>
      </c>
      <c r="M995" t="s">
        <v>6424</v>
      </c>
      <c r="N995" t="s">
        <v>6401</v>
      </c>
      <c r="O995" t="s">
        <v>104</v>
      </c>
      <c r="P995" t="s">
        <v>6425</v>
      </c>
      <c r="Q995">
        <v>494260</v>
      </c>
      <c r="R995" s="16" t="s">
        <v>8486</v>
      </c>
      <c r="S995" s="16" t="s">
        <v>8190</v>
      </c>
      <c r="T995" t="s">
        <v>7499</v>
      </c>
      <c r="U995">
        <v>0</v>
      </c>
    </row>
    <row r="996" spans="1:21">
      <c r="A996">
        <v>937</v>
      </c>
      <c r="B996" t="s">
        <v>7457</v>
      </c>
      <c r="C996" t="s">
        <v>4337</v>
      </c>
      <c r="D996">
        <v>1043</v>
      </c>
      <c r="E996">
        <v>11</v>
      </c>
      <c r="F996" t="s">
        <v>4398</v>
      </c>
      <c r="G996" t="s">
        <v>4827</v>
      </c>
      <c r="I996" t="s">
        <v>1970</v>
      </c>
      <c r="J996" t="s">
        <v>8668</v>
      </c>
      <c r="L996">
        <v>1</v>
      </c>
      <c r="M996" t="s">
        <v>6790</v>
      </c>
      <c r="N996" t="s">
        <v>6322</v>
      </c>
      <c r="O996" t="s">
        <v>104</v>
      </c>
      <c r="P996" t="s">
        <v>6791</v>
      </c>
      <c r="Q996" t="s">
        <v>6792</v>
      </c>
      <c r="R996" s="16" t="s">
        <v>8490</v>
      </c>
      <c r="S996" s="16" t="s">
        <v>8196</v>
      </c>
      <c r="T996" t="s">
        <v>7457</v>
      </c>
      <c r="U996">
        <v>0</v>
      </c>
    </row>
    <row r="997" spans="1:21">
      <c r="A997">
        <v>982</v>
      </c>
      <c r="B997" t="s">
        <v>7478</v>
      </c>
      <c r="C997" t="s">
        <v>4835</v>
      </c>
      <c r="D997">
        <v>1238</v>
      </c>
      <c r="E997">
        <v>13</v>
      </c>
      <c r="F997" t="s">
        <v>4425</v>
      </c>
      <c r="G997" t="s">
        <v>4827</v>
      </c>
      <c r="I997" t="s">
        <v>2002</v>
      </c>
      <c r="J997" t="s">
        <v>8668</v>
      </c>
      <c r="L997">
        <v>1</v>
      </c>
      <c r="M997" t="s">
        <v>4425</v>
      </c>
      <c r="N997" t="s">
        <v>6315</v>
      </c>
      <c r="O997" t="s">
        <v>104</v>
      </c>
      <c r="P997">
        <v>10990</v>
      </c>
      <c r="Q997">
        <v>494430</v>
      </c>
      <c r="R997" s="16" t="s">
        <v>8453</v>
      </c>
      <c r="S997" s="16" t="s">
        <v>8157</v>
      </c>
      <c r="T997" t="s">
        <v>7478</v>
      </c>
      <c r="U997">
        <v>0</v>
      </c>
    </row>
    <row r="998" spans="1:21">
      <c r="A998">
        <v>962</v>
      </c>
      <c r="B998" t="s">
        <v>7462</v>
      </c>
      <c r="C998" t="s">
        <v>4342</v>
      </c>
      <c r="D998">
        <v>1128</v>
      </c>
      <c r="E998">
        <v>12</v>
      </c>
      <c r="F998" t="s">
        <v>4447</v>
      </c>
      <c r="G998" t="s">
        <v>4827</v>
      </c>
      <c r="I998" t="s">
        <v>1987</v>
      </c>
      <c r="J998" t="s">
        <v>8668</v>
      </c>
      <c r="L998">
        <v>1</v>
      </c>
      <c r="M998" t="s">
        <v>4447</v>
      </c>
      <c r="N998" t="s">
        <v>6509</v>
      </c>
      <c r="O998" t="s">
        <v>104</v>
      </c>
      <c r="P998" t="s">
        <v>6766</v>
      </c>
      <c r="Q998" t="s">
        <v>6767</v>
      </c>
      <c r="R998" s="16" t="s">
        <v>8363</v>
      </c>
      <c r="S998" s="16" t="s">
        <v>8067</v>
      </c>
      <c r="T998" t="s">
        <v>7852</v>
      </c>
      <c r="U998">
        <v>0</v>
      </c>
    </row>
    <row r="999" spans="1:21">
      <c r="A999">
        <v>953</v>
      </c>
      <c r="B999" t="s">
        <v>7514</v>
      </c>
      <c r="C999" t="s">
        <v>4341</v>
      </c>
      <c r="D999">
        <v>1090</v>
      </c>
      <c r="E999">
        <v>11</v>
      </c>
      <c r="F999" t="s">
        <v>4434</v>
      </c>
      <c r="G999" t="s">
        <v>4827</v>
      </c>
      <c r="I999" t="s">
        <v>1997</v>
      </c>
      <c r="J999" t="s">
        <v>8668</v>
      </c>
      <c r="L999">
        <v>1</v>
      </c>
      <c r="M999" t="s">
        <v>6285</v>
      </c>
      <c r="N999" t="s">
        <v>6286</v>
      </c>
      <c r="O999" t="s">
        <v>12</v>
      </c>
      <c r="P999">
        <v>-12833</v>
      </c>
      <c r="Q999">
        <v>516700</v>
      </c>
      <c r="R999" s="16" t="s">
        <v>8418</v>
      </c>
      <c r="S999" s="16" t="s">
        <v>8122</v>
      </c>
      <c r="T999" t="s">
        <v>7514</v>
      </c>
      <c r="U999">
        <v>0</v>
      </c>
    </row>
    <row r="1000" spans="1:21">
      <c r="A1000">
        <v>936</v>
      </c>
      <c r="B1000" t="s">
        <v>7500</v>
      </c>
      <c r="C1000" t="s">
        <v>4388</v>
      </c>
      <c r="D1000">
        <v>1021</v>
      </c>
      <c r="E1000">
        <v>11</v>
      </c>
      <c r="F1000" t="s">
        <v>4361</v>
      </c>
      <c r="G1000" t="s">
        <v>4827</v>
      </c>
      <c r="I1000" t="s">
        <v>1969</v>
      </c>
      <c r="J1000" t="s">
        <v>8668</v>
      </c>
      <c r="L1000">
        <v>1</v>
      </c>
      <c r="M1000" t="s">
        <v>6424</v>
      </c>
      <c r="N1000" t="s">
        <v>6401</v>
      </c>
      <c r="O1000" t="s">
        <v>104</v>
      </c>
      <c r="P1000" t="s">
        <v>6425</v>
      </c>
      <c r="Q1000">
        <v>494260</v>
      </c>
      <c r="R1000" s="16" t="s">
        <v>8486</v>
      </c>
      <c r="S1000" s="16" t="s">
        <v>8190</v>
      </c>
      <c r="T1000" t="s">
        <v>7500</v>
      </c>
      <c r="U1000">
        <v>0</v>
      </c>
    </row>
    <row r="1001" spans="1:21">
      <c r="A1001">
        <v>945</v>
      </c>
      <c r="B1001" t="s">
        <v>7504</v>
      </c>
      <c r="C1001" t="s">
        <v>46</v>
      </c>
      <c r="D1001">
        <v>1075</v>
      </c>
      <c r="E1001">
        <v>11</v>
      </c>
      <c r="F1001" t="s">
        <v>4399</v>
      </c>
      <c r="G1001" t="s">
        <v>4827</v>
      </c>
      <c r="I1001" t="s">
        <v>1992</v>
      </c>
      <c r="J1001" t="s">
        <v>8668</v>
      </c>
      <c r="L1001">
        <v>1</v>
      </c>
      <c r="M1001" t="s">
        <v>6400</v>
      </c>
      <c r="N1001" t="s">
        <v>6401</v>
      </c>
      <c r="O1001" t="s">
        <v>104</v>
      </c>
      <c r="P1001" t="s">
        <v>6402</v>
      </c>
      <c r="Q1001">
        <v>497560</v>
      </c>
      <c r="R1001" s="16" t="s">
        <v>8497</v>
      </c>
      <c r="S1001" s="16" t="s">
        <v>8203</v>
      </c>
      <c r="T1001" t="s">
        <v>7504</v>
      </c>
      <c r="U1001">
        <v>0</v>
      </c>
    </row>
    <row r="1002" spans="1:21">
      <c r="A1002">
        <v>938</v>
      </c>
      <c r="B1002" t="s">
        <v>7505</v>
      </c>
      <c r="C1002" t="s">
        <v>4338</v>
      </c>
      <c r="D1002">
        <v>1050</v>
      </c>
      <c r="E1002">
        <v>11</v>
      </c>
      <c r="F1002" t="s">
        <v>4399</v>
      </c>
      <c r="G1002" t="s">
        <v>4827</v>
      </c>
      <c r="I1002" t="s">
        <v>1971</v>
      </c>
      <c r="J1002" t="s">
        <v>8668</v>
      </c>
      <c r="L1002">
        <v>1</v>
      </c>
      <c r="M1002" t="s">
        <v>6400</v>
      </c>
      <c r="N1002" t="s">
        <v>6401</v>
      </c>
      <c r="O1002" t="s">
        <v>104</v>
      </c>
      <c r="P1002" t="s">
        <v>6402</v>
      </c>
      <c r="Q1002">
        <v>497560</v>
      </c>
      <c r="R1002" s="16" t="s">
        <v>8497</v>
      </c>
      <c r="S1002" s="16" t="s">
        <v>8203</v>
      </c>
      <c r="T1002" t="s">
        <v>7505</v>
      </c>
      <c r="U1002">
        <v>0</v>
      </c>
    </row>
    <row r="1003" spans="1:21">
      <c r="A1003">
        <v>991</v>
      </c>
      <c r="B1003" t="s">
        <v>7501</v>
      </c>
      <c r="C1003" t="s">
        <v>4749</v>
      </c>
      <c r="D1003">
        <v>1239</v>
      </c>
      <c r="E1003">
        <v>13</v>
      </c>
      <c r="F1003" t="s">
        <v>4361</v>
      </c>
      <c r="G1003" t="s">
        <v>4827</v>
      </c>
      <c r="I1003" t="s">
        <v>2003</v>
      </c>
      <c r="J1003" t="s">
        <v>8668</v>
      </c>
      <c r="L1003">
        <v>1</v>
      </c>
      <c r="M1003" t="s">
        <v>6424</v>
      </c>
      <c r="N1003" t="s">
        <v>6401</v>
      </c>
      <c r="O1003" t="s">
        <v>104</v>
      </c>
      <c r="P1003" t="s">
        <v>6425</v>
      </c>
      <c r="Q1003">
        <v>494260</v>
      </c>
      <c r="R1003" s="16" t="s">
        <v>8486</v>
      </c>
      <c r="S1003" s="16" t="s">
        <v>8190</v>
      </c>
      <c r="T1003" t="s">
        <v>7501</v>
      </c>
      <c r="U1003">
        <v>0</v>
      </c>
    </row>
    <row r="1004" spans="1:21">
      <c r="A1004">
        <v>1005</v>
      </c>
      <c r="B1004" t="s">
        <v>7480</v>
      </c>
      <c r="C1004" t="s">
        <v>773</v>
      </c>
      <c r="D1004">
        <v>1284</v>
      </c>
      <c r="E1004">
        <v>13</v>
      </c>
      <c r="F1004" t="s">
        <v>4502</v>
      </c>
      <c r="G1004" t="s">
        <v>4827</v>
      </c>
      <c r="I1004" t="s">
        <v>2013</v>
      </c>
      <c r="J1004" t="s">
        <v>8668</v>
      </c>
      <c r="L1004">
        <v>1</v>
      </c>
      <c r="M1004" t="s">
        <v>4502</v>
      </c>
      <c r="N1004" t="s">
        <v>6456</v>
      </c>
      <c r="O1004" t="s">
        <v>104</v>
      </c>
      <c r="P1004">
        <v>23522</v>
      </c>
      <c r="Q1004">
        <v>488566</v>
      </c>
      <c r="R1004" s="16" t="s">
        <v>8364</v>
      </c>
      <c r="S1004" s="16" t="s">
        <v>8069</v>
      </c>
      <c r="T1004" t="s">
        <v>7480</v>
      </c>
      <c r="U1004">
        <v>0</v>
      </c>
    </row>
    <row r="1005" spans="1:21">
      <c r="A1005">
        <v>976</v>
      </c>
      <c r="B1005" t="s">
        <v>7631</v>
      </c>
      <c r="C1005" t="s">
        <v>4519</v>
      </c>
      <c r="D1005">
        <v>1211</v>
      </c>
      <c r="E1005">
        <v>13</v>
      </c>
      <c r="F1005" t="s">
        <v>1444</v>
      </c>
      <c r="G1005" t="s">
        <v>4827</v>
      </c>
      <c r="I1005" t="s">
        <v>1982</v>
      </c>
      <c r="J1005" t="s">
        <v>8668</v>
      </c>
      <c r="L1005">
        <v>0</v>
      </c>
      <c r="R1005" s="16" t="s">
        <v>8064</v>
      </c>
      <c r="S1005" s="16" t="s">
        <v>8064</v>
      </c>
      <c r="T1005" t="s">
        <v>7631</v>
      </c>
      <c r="U1005">
        <v>0</v>
      </c>
    </row>
    <row r="1006" spans="1:21">
      <c r="A1006">
        <v>1010</v>
      </c>
      <c r="B1006" t="s">
        <v>7632</v>
      </c>
      <c r="C1006" t="s">
        <v>4809</v>
      </c>
      <c r="D1006">
        <v>1290</v>
      </c>
      <c r="E1006">
        <v>13</v>
      </c>
      <c r="F1006" t="s">
        <v>1444</v>
      </c>
      <c r="G1006" t="s">
        <v>4827</v>
      </c>
      <c r="I1006" t="s">
        <v>2016</v>
      </c>
      <c r="J1006" t="s">
        <v>8668</v>
      </c>
      <c r="L1006">
        <v>0</v>
      </c>
      <c r="R1006" s="16" t="s">
        <v>8064</v>
      </c>
      <c r="S1006" s="16" t="s">
        <v>8064</v>
      </c>
      <c r="T1006" t="s">
        <v>7861</v>
      </c>
      <c r="U1006">
        <v>0</v>
      </c>
    </row>
    <row r="1007" spans="1:21">
      <c r="A1007">
        <v>977</v>
      </c>
      <c r="B1007" t="s">
        <v>7633</v>
      </c>
      <c r="C1007" t="s">
        <v>4519</v>
      </c>
      <c r="D1007">
        <v>1211</v>
      </c>
      <c r="E1007">
        <v>13</v>
      </c>
      <c r="F1007" t="s">
        <v>1444</v>
      </c>
      <c r="G1007" t="s">
        <v>4827</v>
      </c>
      <c r="J1007" t="s">
        <v>8668</v>
      </c>
      <c r="L1007">
        <v>0</v>
      </c>
      <c r="R1007" s="16" t="s">
        <v>8064</v>
      </c>
      <c r="S1007" s="16" t="s">
        <v>8064</v>
      </c>
      <c r="T1007" t="s">
        <v>7633</v>
      </c>
      <c r="U1007">
        <v>0</v>
      </c>
    </row>
    <row r="1008" spans="1:21">
      <c r="A1008">
        <v>1009</v>
      </c>
      <c r="B1008" t="s">
        <v>7634</v>
      </c>
      <c r="C1008" t="s">
        <v>4354</v>
      </c>
      <c r="D1008">
        <v>1289</v>
      </c>
      <c r="E1008">
        <v>13</v>
      </c>
      <c r="F1008" t="s">
        <v>1444</v>
      </c>
      <c r="G1008" t="s">
        <v>4827</v>
      </c>
      <c r="I1008" t="s">
        <v>2015</v>
      </c>
      <c r="J1008" t="s">
        <v>8668</v>
      </c>
      <c r="L1008">
        <v>0</v>
      </c>
      <c r="R1008" s="16" t="s">
        <v>8064</v>
      </c>
      <c r="S1008" s="16" t="s">
        <v>8064</v>
      </c>
      <c r="T1008" t="s">
        <v>7862</v>
      </c>
      <c r="U1008">
        <v>0</v>
      </c>
    </row>
    <row r="1009" spans="1:24">
      <c r="A1009">
        <v>973</v>
      </c>
      <c r="B1009" t="s">
        <v>7491</v>
      </c>
      <c r="C1009" t="s">
        <v>4828</v>
      </c>
      <c r="D1009">
        <v>1186</v>
      </c>
      <c r="E1009">
        <v>12</v>
      </c>
      <c r="F1009" t="s">
        <v>4433</v>
      </c>
      <c r="G1009" t="s">
        <v>4827</v>
      </c>
      <c r="I1009" t="s">
        <v>1980</v>
      </c>
      <c r="J1009" t="s">
        <v>8668</v>
      </c>
      <c r="L1009">
        <v>1</v>
      </c>
      <c r="M1009" t="s">
        <v>4433</v>
      </c>
      <c r="N1009" t="s">
        <v>6616</v>
      </c>
      <c r="O1009" t="s">
        <v>104</v>
      </c>
      <c r="P1009" t="s">
        <v>6617</v>
      </c>
      <c r="Q1009" t="s">
        <v>6618</v>
      </c>
      <c r="R1009" s="16" t="s">
        <v>8494</v>
      </c>
      <c r="S1009" s="16" t="s">
        <v>8200</v>
      </c>
      <c r="T1009" t="s">
        <v>7491</v>
      </c>
      <c r="U1009">
        <v>0</v>
      </c>
    </row>
    <row r="1010" spans="1:24">
      <c r="A1010">
        <v>972</v>
      </c>
      <c r="B1010" t="s">
        <v>7492</v>
      </c>
      <c r="C1010" t="s">
        <v>4829</v>
      </c>
      <c r="D1010">
        <v>1185</v>
      </c>
      <c r="E1010">
        <v>12</v>
      </c>
      <c r="F1010" t="s">
        <v>4433</v>
      </c>
      <c r="G1010" t="s">
        <v>4827</v>
      </c>
      <c r="I1010" t="s">
        <v>1980</v>
      </c>
      <c r="J1010" t="s">
        <v>8668</v>
      </c>
      <c r="L1010">
        <v>1</v>
      </c>
      <c r="M1010" t="s">
        <v>4433</v>
      </c>
      <c r="N1010" t="s">
        <v>6616</v>
      </c>
      <c r="O1010" t="s">
        <v>104</v>
      </c>
      <c r="P1010" t="s">
        <v>6617</v>
      </c>
      <c r="Q1010" t="s">
        <v>6618</v>
      </c>
      <c r="R1010" s="16" t="s">
        <v>8494</v>
      </c>
      <c r="S1010" s="16" t="s">
        <v>8200</v>
      </c>
      <c r="T1010" t="s">
        <v>7492</v>
      </c>
      <c r="U1010">
        <v>0</v>
      </c>
    </row>
    <row r="1011" spans="1:24">
      <c r="A1011">
        <v>993</v>
      </c>
      <c r="B1011" t="s">
        <v>7454</v>
      </c>
      <c r="C1011" t="s">
        <v>4836</v>
      </c>
      <c r="D1011">
        <v>1255</v>
      </c>
      <c r="E1011">
        <v>13</v>
      </c>
      <c r="F1011" t="s">
        <v>4402</v>
      </c>
      <c r="G1011" t="s">
        <v>4827</v>
      </c>
      <c r="I1011" t="s">
        <v>2008</v>
      </c>
      <c r="J1011" t="s">
        <v>8668</v>
      </c>
      <c r="L1011">
        <v>1</v>
      </c>
      <c r="M1011" t="s">
        <v>4402</v>
      </c>
      <c r="N1011" t="s">
        <v>6908</v>
      </c>
      <c r="O1011" t="s">
        <v>104</v>
      </c>
      <c r="P1011" t="s">
        <v>6909</v>
      </c>
      <c r="Q1011" t="s">
        <v>6910</v>
      </c>
      <c r="R1011" s="16" t="s">
        <v>8489</v>
      </c>
      <c r="S1011" s="16" t="s">
        <v>8195</v>
      </c>
      <c r="T1011" t="s">
        <v>7454</v>
      </c>
      <c r="U1011">
        <v>0</v>
      </c>
    </row>
    <row r="1012" spans="1:24">
      <c r="A1012">
        <v>1012</v>
      </c>
      <c r="B1012" t="s">
        <v>4869</v>
      </c>
      <c r="C1012">
        <v>1149</v>
      </c>
      <c r="D1012">
        <v>1149</v>
      </c>
      <c r="E1012">
        <v>12</v>
      </c>
      <c r="F1012" t="s">
        <v>4475</v>
      </c>
      <c r="G1012" t="s">
        <v>8778</v>
      </c>
      <c r="I1012" t="s">
        <v>8779</v>
      </c>
      <c r="J1012" t="s">
        <v>8668</v>
      </c>
      <c r="L1012">
        <v>1</v>
      </c>
      <c r="M1012" t="s">
        <v>4475</v>
      </c>
      <c r="N1012" t="s">
        <v>6291</v>
      </c>
      <c r="O1012" t="s">
        <v>3995</v>
      </c>
      <c r="P1012" t="s">
        <v>6879</v>
      </c>
      <c r="Q1012" t="s">
        <v>6880</v>
      </c>
      <c r="R1012" s="16" t="s">
        <v>8612</v>
      </c>
      <c r="S1012" s="16" t="s">
        <v>8318</v>
      </c>
      <c r="T1012" t="s">
        <v>4869</v>
      </c>
      <c r="U1012">
        <v>0</v>
      </c>
    </row>
    <row r="1013" spans="1:24">
      <c r="A1013">
        <v>0</v>
      </c>
      <c r="B1013" t="s">
        <v>7031</v>
      </c>
      <c r="C1013" t="s">
        <v>2786</v>
      </c>
      <c r="D1013">
        <v>1112</v>
      </c>
      <c r="E1013">
        <v>12</v>
      </c>
      <c r="F1013" t="s">
        <v>2787</v>
      </c>
      <c r="G1013">
        <v>1</v>
      </c>
      <c r="H1013">
        <v>1</v>
      </c>
      <c r="I1013" t="s">
        <v>2788</v>
      </c>
      <c r="J1013" t="s">
        <v>8668</v>
      </c>
      <c r="L1013">
        <v>1</v>
      </c>
      <c r="M1013" t="s">
        <v>2787</v>
      </c>
      <c r="N1013" t="s">
        <v>6295</v>
      </c>
      <c r="O1013" t="s">
        <v>11</v>
      </c>
      <c r="P1013">
        <v>127670</v>
      </c>
      <c r="Q1013">
        <v>422920</v>
      </c>
      <c r="R1013" s="16" t="s">
        <v>8381</v>
      </c>
      <c r="S1013" s="16" t="s">
        <v>8085</v>
      </c>
      <c r="T1013" t="s">
        <v>7031</v>
      </c>
      <c r="U1013">
        <v>0</v>
      </c>
    </row>
    <row r="1014" spans="1:24">
      <c r="A1014">
        <v>1</v>
      </c>
      <c r="B1014" t="s">
        <v>7032</v>
      </c>
      <c r="C1014">
        <v>1103</v>
      </c>
      <c r="D1014">
        <v>1103</v>
      </c>
      <c r="E1014">
        <v>12</v>
      </c>
      <c r="F1014" t="s">
        <v>2787</v>
      </c>
      <c r="G1014">
        <v>2</v>
      </c>
      <c r="H1014">
        <v>2</v>
      </c>
      <c r="I1014" t="s">
        <v>2790</v>
      </c>
      <c r="J1014" t="s">
        <v>8668</v>
      </c>
      <c r="L1014">
        <v>1</v>
      </c>
      <c r="M1014" t="s">
        <v>2787</v>
      </c>
      <c r="N1014" t="s">
        <v>6295</v>
      </c>
      <c r="O1014" t="s">
        <v>11</v>
      </c>
      <c r="P1014">
        <v>127670</v>
      </c>
      <c r="Q1014">
        <v>422920</v>
      </c>
      <c r="R1014" s="16" t="s">
        <v>8381</v>
      </c>
      <c r="S1014" s="16" t="s">
        <v>8085</v>
      </c>
      <c r="T1014" t="s">
        <v>7032</v>
      </c>
      <c r="U1014">
        <v>0</v>
      </c>
    </row>
    <row r="1015" spans="1:24">
      <c r="A1015">
        <v>1382</v>
      </c>
      <c r="B1015" t="s">
        <v>7042</v>
      </c>
      <c r="C1015" t="s">
        <v>2828</v>
      </c>
      <c r="D1015">
        <v>1273</v>
      </c>
      <c r="E1015">
        <v>13</v>
      </c>
      <c r="F1015" t="s">
        <v>1444</v>
      </c>
      <c r="I1015" t="s">
        <v>2829</v>
      </c>
      <c r="J1015" t="s">
        <v>8668</v>
      </c>
      <c r="L1015">
        <v>0</v>
      </c>
      <c r="R1015" s="16" t="s">
        <v>8064</v>
      </c>
      <c r="S1015" s="16" t="s">
        <v>8064</v>
      </c>
      <c r="T1015" t="s">
        <v>7042</v>
      </c>
      <c r="U1015">
        <v>0</v>
      </c>
    </row>
    <row r="1016" spans="1:24">
      <c r="A1016">
        <v>1378</v>
      </c>
      <c r="B1016" t="s">
        <v>7037</v>
      </c>
      <c r="C1016">
        <v>1132</v>
      </c>
      <c r="D1016">
        <v>1132</v>
      </c>
      <c r="E1016">
        <v>12</v>
      </c>
      <c r="F1016" t="s">
        <v>2787</v>
      </c>
      <c r="I1016" t="s">
        <v>2820</v>
      </c>
      <c r="J1016" t="s">
        <v>8668</v>
      </c>
      <c r="L1016">
        <v>1</v>
      </c>
      <c r="M1016" t="s">
        <v>2787</v>
      </c>
      <c r="N1016" t="s">
        <v>6295</v>
      </c>
      <c r="O1016" t="s">
        <v>11</v>
      </c>
      <c r="P1016">
        <v>127670</v>
      </c>
      <c r="Q1016">
        <v>422920</v>
      </c>
      <c r="R1016" s="16" t="s">
        <v>8381</v>
      </c>
      <c r="S1016" s="16" t="s">
        <v>8085</v>
      </c>
      <c r="T1016" t="s">
        <v>7037</v>
      </c>
      <c r="U1016">
        <v>0</v>
      </c>
    </row>
    <row r="1017" spans="1:24">
      <c r="A1017">
        <v>1383</v>
      </c>
      <c r="B1017" t="s">
        <v>7033</v>
      </c>
      <c r="C1017">
        <v>1290</v>
      </c>
      <c r="D1017">
        <v>1290</v>
      </c>
      <c r="E1017">
        <v>13</v>
      </c>
      <c r="F1017" t="s">
        <v>2831</v>
      </c>
      <c r="I1017" t="s">
        <v>2832</v>
      </c>
      <c r="J1017" t="s">
        <v>8668</v>
      </c>
      <c r="L1017">
        <v>1</v>
      </c>
      <c r="M1017" t="s">
        <v>7023</v>
      </c>
      <c r="N1017" t="s">
        <v>7024</v>
      </c>
      <c r="O1017" t="s">
        <v>6976</v>
      </c>
      <c r="P1017">
        <v>106167</v>
      </c>
      <c r="Q1017">
        <v>442167</v>
      </c>
      <c r="R1017" s="16" t="s">
        <v>8382</v>
      </c>
      <c r="S1017" s="16" t="s">
        <v>8086</v>
      </c>
      <c r="T1017" t="s">
        <v>7033</v>
      </c>
      <c r="U1017">
        <v>0</v>
      </c>
    </row>
    <row r="1018" spans="1:24">
      <c r="A1018">
        <v>1385</v>
      </c>
      <c r="B1018" t="s">
        <v>7041</v>
      </c>
      <c r="C1018" t="s">
        <v>2836</v>
      </c>
      <c r="D1018">
        <v>1298</v>
      </c>
      <c r="E1018">
        <v>13</v>
      </c>
      <c r="F1018" t="s">
        <v>1444</v>
      </c>
      <c r="I1018" t="s">
        <v>2837</v>
      </c>
      <c r="J1018" t="s">
        <v>8668</v>
      </c>
      <c r="L1018">
        <v>0</v>
      </c>
      <c r="R1018" s="16" t="s">
        <v>8064</v>
      </c>
      <c r="S1018" s="16" t="s">
        <v>8064</v>
      </c>
      <c r="T1018" t="s">
        <v>7041</v>
      </c>
      <c r="U1018">
        <v>0</v>
      </c>
    </row>
    <row r="1019" spans="1:24">
      <c r="A1019">
        <v>1379</v>
      </c>
      <c r="B1019" t="s">
        <v>7038</v>
      </c>
      <c r="C1019" t="s">
        <v>2822</v>
      </c>
      <c r="D1019">
        <v>1193</v>
      </c>
      <c r="E1019">
        <v>12</v>
      </c>
      <c r="F1019" t="s">
        <v>1444</v>
      </c>
      <c r="I1019" t="s">
        <v>2823</v>
      </c>
      <c r="J1019" t="s">
        <v>8668</v>
      </c>
      <c r="L1019">
        <v>0</v>
      </c>
      <c r="R1019" s="16" t="s">
        <v>8064</v>
      </c>
      <c r="S1019" s="16" t="s">
        <v>8064</v>
      </c>
      <c r="T1019" t="s">
        <v>7038</v>
      </c>
      <c r="U1019">
        <v>0</v>
      </c>
      <c r="X1019" s="7"/>
    </row>
    <row r="1020" spans="1:24">
      <c r="A1020">
        <v>1375</v>
      </c>
      <c r="B1020" t="s">
        <v>7035</v>
      </c>
      <c r="C1020" t="s">
        <v>2813</v>
      </c>
      <c r="D1020">
        <v>1018</v>
      </c>
      <c r="E1020">
        <v>11</v>
      </c>
      <c r="F1020" t="s">
        <v>2812</v>
      </c>
      <c r="I1020" t="s">
        <v>2818</v>
      </c>
      <c r="J1020" t="s">
        <v>8668</v>
      </c>
      <c r="L1020">
        <v>1</v>
      </c>
      <c r="M1020" t="s">
        <v>2812</v>
      </c>
      <c r="N1020" t="s">
        <v>6324</v>
      </c>
      <c r="O1020" t="s">
        <v>11</v>
      </c>
      <c r="P1020">
        <v>110560</v>
      </c>
      <c r="Q1020">
        <v>445960</v>
      </c>
      <c r="R1020" s="16" t="s">
        <v>8383</v>
      </c>
      <c r="S1020" s="16" t="s">
        <v>8087</v>
      </c>
      <c r="T1020" t="s">
        <v>7035</v>
      </c>
      <c r="U1020">
        <v>0</v>
      </c>
    </row>
    <row r="1021" spans="1:24">
      <c r="A1021">
        <v>1376</v>
      </c>
      <c r="B1021" t="s">
        <v>7034</v>
      </c>
      <c r="C1021" t="s">
        <v>2813</v>
      </c>
      <c r="D1021">
        <v>1018</v>
      </c>
      <c r="E1021">
        <v>11</v>
      </c>
      <c r="F1021" t="s">
        <v>2812</v>
      </c>
      <c r="I1021" t="s">
        <v>2819</v>
      </c>
      <c r="J1021" t="s">
        <v>8668</v>
      </c>
      <c r="L1021">
        <v>1</v>
      </c>
      <c r="M1021" t="s">
        <v>2812</v>
      </c>
      <c r="N1021" t="s">
        <v>6324</v>
      </c>
      <c r="O1021" t="s">
        <v>11</v>
      </c>
      <c r="P1021">
        <v>110560</v>
      </c>
      <c r="Q1021">
        <v>445960</v>
      </c>
      <c r="R1021" s="16" t="s">
        <v>8383</v>
      </c>
      <c r="S1021" s="16" t="s">
        <v>8087</v>
      </c>
      <c r="T1021" t="s">
        <v>7034</v>
      </c>
      <c r="U1021">
        <v>0</v>
      </c>
    </row>
    <row r="1022" spans="1:24">
      <c r="A1022">
        <v>1380</v>
      </c>
      <c r="B1022" t="s">
        <v>7039</v>
      </c>
      <c r="C1022" t="s">
        <v>2825</v>
      </c>
      <c r="D1022">
        <v>1221</v>
      </c>
      <c r="E1022">
        <v>13</v>
      </c>
      <c r="F1022" t="s">
        <v>1444</v>
      </c>
      <c r="I1022" t="s">
        <v>2826</v>
      </c>
      <c r="J1022" t="s">
        <v>8668</v>
      </c>
      <c r="L1022">
        <v>0</v>
      </c>
      <c r="R1022" s="16" t="s">
        <v>8064</v>
      </c>
      <c r="S1022" s="16" t="s">
        <v>8064</v>
      </c>
      <c r="T1022" t="s">
        <v>7039</v>
      </c>
      <c r="U1022">
        <v>0</v>
      </c>
    </row>
    <row r="1023" spans="1:24">
      <c r="A1023">
        <v>1373</v>
      </c>
      <c r="B1023" t="s">
        <v>7036</v>
      </c>
      <c r="C1023" t="s">
        <v>2816</v>
      </c>
      <c r="D1023">
        <v>905</v>
      </c>
      <c r="E1023">
        <v>10</v>
      </c>
      <c r="F1023" t="s">
        <v>2812</v>
      </c>
      <c r="I1023" t="s">
        <v>2817</v>
      </c>
      <c r="J1023" t="s">
        <v>8668</v>
      </c>
      <c r="L1023">
        <v>1</v>
      </c>
      <c r="M1023" t="s">
        <v>2812</v>
      </c>
      <c r="N1023" t="s">
        <v>6324</v>
      </c>
      <c r="O1023" t="s">
        <v>11</v>
      </c>
      <c r="P1023">
        <v>110560</v>
      </c>
      <c r="Q1023">
        <v>445960</v>
      </c>
      <c r="R1023" s="16" t="s">
        <v>8383</v>
      </c>
      <c r="S1023" s="16" t="s">
        <v>8087</v>
      </c>
      <c r="T1023" t="s">
        <v>7036</v>
      </c>
      <c r="U1023">
        <v>0</v>
      </c>
    </row>
    <row r="1024" spans="1:24">
      <c r="A1024">
        <v>1384</v>
      </c>
      <c r="B1024" t="s">
        <v>7040</v>
      </c>
      <c r="C1024">
        <v>1295</v>
      </c>
      <c r="D1024">
        <v>1295</v>
      </c>
      <c r="E1024">
        <v>13</v>
      </c>
      <c r="F1024" t="s">
        <v>1444</v>
      </c>
      <c r="I1024" t="s">
        <v>2834</v>
      </c>
      <c r="J1024" t="s">
        <v>8668</v>
      </c>
      <c r="L1024">
        <v>0</v>
      </c>
      <c r="R1024" s="16" t="s">
        <v>8064</v>
      </c>
      <c r="S1024" s="16" t="s">
        <v>8064</v>
      </c>
      <c r="T1024" t="s">
        <v>7040</v>
      </c>
      <c r="U1024">
        <v>0</v>
      </c>
    </row>
    <row r="1025" spans="1:24">
      <c r="A1025">
        <v>1013</v>
      </c>
      <c r="B1025" s="4" t="s">
        <v>3006</v>
      </c>
      <c r="C1025" s="4">
        <v>1298</v>
      </c>
      <c r="D1025" s="4">
        <v>1298</v>
      </c>
      <c r="E1025" s="4">
        <v>13</v>
      </c>
      <c r="F1025" t="s">
        <v>1444</v>
      </c>
      <c r="G1025" t="s">
        <v>3007</v>
      </c>
      <c r="I1025" t="s">
        <v>3008</v>
      </c>
      <c r="J1025" t="s">
        <v>8668</v>
      </c>
      <c r="L1025">
        <v>0</v>
      </c>
      <c r="R1025" s="16" t="s">
        <v>8064</v>
      </c>
      <c r="S1025" s="16" t="s">
        <v>8064</v>
      </c>
      <c r="T1025" s="4" t="s">
        <v>3006</v>
      </c>
      <c r="U1025">
        <v>0</v>
      </c>
    </row>
    <row r="1026" spans="1:24">
      <c r="A1026">
        <v>1014</v>
      </c>
      <c r="B1026" t="s">
        <v>7710</v>
      </c>
      <c r="C1026">
        <v>1235</v>
      </c>
      <c r="D1026">
        <v>1235</v>
      </c>
      <c r="E1026">
        <v>13</v>
      </c>
      <c r="F1026" t="s">
        <v>1444</v>
      </c>
      <c r="G1026" t="s">
        <v>2860</v>
      </c>
      <c r="I1026" t="s">
        <v>2861</v>
      </c>
      <c r="J1026" t="s">
        <v>8668</v>
      </c>
      <c r="L1026">
        <v>0</v>
      </c>
      <c r="R1026" s="16" t="s">
        <v>8064</v>
      </c>
      <c r="S1026" s="16" t="s">
        <v>8064</v>
      </c>
      <c r="T1026" t="s">
        <v>7710</v>
      </c>
      <c r="U1026">
        <v>0</v>
      </c>
    </row>
    <row r="1027" spans="1:24">
      <c r="A1027">
        <v>1015</v>
      </c>
      <c r="B1027" t="s">
        <v>7711</v>
      </c>
      <c r="C1027">
        <v>1104</v>
      </c>
      <c r="D1027">
        <v>1104</v>
      </c>
      <c r="E1027">
        <v>12</v>
      </c>
      <c r="F1027" t="s">
        <v>1444</v>
      </c>
      <c r="G1027" t="s">
        <v>2863</v>
      </c>
      <c r="I1027" t="s">
        <v>2864</v>
      </c>
      <c r="J1027" t="s">
        <v>8668</v>
      </c>
      <c r="L1027">
        <v>0</v>
      </c>
      <c r="R1027" s="16" t="s">
        <v>8064</v>
      </c>
      <c r="S1027" s="16" t="s">
        <v>8064</v>
      </c>
      <c r="T1027" t="s">
        <v>7711</v>
      </c>
      <c r="U1027">
        <v>0</v>
      </c>
    </row>
    <row r="1028" spans="1:24">
      <c r="A1028">
        <v>1016</v>
      </c>
      <c r="B1028" t="s">
        <v>2865</v>
      </c>
      <c r="C1028">
        <v>1233</v>
      </c>
      <c r="D1028">
        <v>1233</v>
      </c>
      <c r="E1028">
        <v>13</v>
      </c>
      <c r="F1028" t="s">
        <v>1444</v>
      </c>
      <c r="G1028" t="s">
        <v>2866</v>
      </c>
      <c r="I1028" t="s">
        <v>2867</v>
      </c>
      <c r="J1028" t="s">
        <v>8668</v>
      </c>
      <c r="L1028">
        <v>0</v>
      </c>
      <c r="R1028" s="16" t="s">
        <v>8064</v>
      </c>
      <c r="S1028" s="16" t="s">
        <v>8064</v>
      </c>
      <c r="T1028" t="s">
        <v>2865</v>
      </c>
      <c r="U1028">
        <v>0</v>
      </c>
    </row>
    <row r="1029" spans="1:24">
      <c r="A1029">
        <v>1017</v>
      </c>
      <c r="B1029" t="s">
        <v>2868</v>
      </c>
      <c r="C1029">
        <v>1278</v>
      </c>
      <c r="D1029">
        <v>1278</v>
      </c>
      <c r="E1029">
        <v>13</v>
      </c>
      <c r="F1029" t="s">
        <v>2869</v>
      </c>
      <c r="G1029" t="s">
        <v>2870</v>
      </c>
      <c r="I1029" t="s">
        <v>2871</v>
      </c>
      <c r="J1029" t="s">
        <v>8668</v>
      </c>
      <c r="L1029">
        <v>1</v>
      </c>
      <c r="M1029" t="s">
        <v>6690</v>
      </c>
      <c r="N1029" t="s">
        <v>6329</v>
      </c>
      <c r="O1029" t="s">
        <v>11</v>
      </c>
      <c r="P1029" t="s">
        <v>6691</v>
      </c>
      <c r="Q1029" t="s">
        <v>6692</v>
      </c>
      <c r="R1029" s="16" t="s">
        <v>8607</v>
      </c>
      <c r="S1029" s="16" t="s">
        <v>8313</v>
      </c>
      <c r="T1029" t="s">
        <v>2868</v>
      </c>
      <c r="U1029">
        <v>0</v>
      </c>
    </row>
    <row r="1030" spans="1:24">
      <c r="A1030">
        <v>1018</v>
      </c>
      <c r="B1030" t="s">
        <v>2872</v>
      </c>
      <c r="C1030">
        <v>1247</v>
      </c>
      <c r="D1030">
        <v>1247</v>
      </c>
      <c r="E1030">
        <v>13</v>
      </c>
      <c r="F1030" t="s">
        <v>2873</v>
      </c>
      <c r="G1030" t="s">
        <v>2875</v>
      </c>
      <c r="I1030" t="s">
        <v>2876</v>
      </c>
      <c r="J1030" t="s">
        <v>8668</v>
      </c>
      <c r="L1030">
        <v>0</v>
      </c>
      <c r="R1030" s="16" t="s">
        <v>8064</v>
      </c>
      <c r="S1030" s="16" t="s">
        <v>8064</v>
      </c>
      <c r="T1030" t="s">
        <v>2872</v>
      </c>
      <c r="U1030">
        <v>0</v>
      </c>
    </row>
    <row r="1031" spans="1:24">
      <c r="A1031">
        <v>1020</v>
      </c>
      <c r="B1031" t="s">
        <v>2880</v>
      </c>
      <c r="C1031">
        <v>1293</v>
      </c>
      <c r="D1031">
        <v>1293</v>
      </c>
      <c r="E1031">
        <v>13</v>
      </c>
      <c r="F1031" t="s">
        <v>2881</v>
      </c>
      <c r="G1031" t="s">
        <v>2883</v>
      </c>
      <c r="I1031" t="s">
        <v>2882</v>
      </c>
      <c r="J1031" s="5" t="s">
        <v>9125</v>
      </c>
      <c r="L1031">
        <v>0</v>
      </c>
      <c r="R1031" s="16" t="s">
        <v>8064</v>
      </c>
      <c r="S1031" s="16" t="s">
        <v>8064</v>
      </c>
      <c r="T1031" t="s">
        <v>2880</v>
      </c>
      <c r="U1031">
        <v>1</v>
      </c>
    </row>
    <row r="1032" spans="1:24">
      <c r="A1032">
        <v>1019</v>
      </c>
      <c r="B1032" t="s">
        <v>2877</v>
      </c>
      <c r="C1032">
        <v>1259</v>
      </c>
      <c r="D1032">
        <v>1259</v>
      </c>
      <c r="E1032">
        <v>13</v>
      </c>
      <c r="F1032" t="s">
        <v>2878</v>
      </c>
      <c r="G1032" t="s">
        <v>2879</v>
      </c>
      <c r="I1032" t="s">
        <v>2874</v>
      </c>
      <c r="J1032" t="s">
        <v>9088</v>
      </c>
      <c r="L1032">
        <v>1</v>
      </c>
      <c r="M1032" t="s">
        <v>6342</v>
      </c>
      <c r="N1032" t="s">
        <v>6343</v>
      </c>
      <c r="O1032" t="s">
        <v>104</v>
      </c>
      <c r="P1032" t="s">
        <v>6344</v>
      </c>
      <c r="Q1032">
        <v>448470</v>
      </c>
      <c r="R1032" s="16" t="s">
        <v>8604</v>
      </c>
      <c r="S1032" s="16" t="s">
        <v>8310</v>
      </c>
      <c r="T1032" t="s">
        <v>2877</v>
      </c>
      <c r="U1032">
        <v>1</v>
      </c>
    </row>
    <row r="1033" spans="1:24">
      <c r="A1033">
        <v>1021</v>
      </c>
      <c r="B1033" t="s">
        <v>2854</v>
      </c>
      <c r="C1033" t="s">
        <v>2839</v>
      </c>
      <c r="D1033">
        <v>1266</v>
      </c>
      <c r="E1033">
        <v>13</v>
      </c>
      <c r="F1033" t="s">
        <v>1444</v>
      </c>
      <c r="G1033" t="s">
        <v>6168</v>
      </c>
      <c r="I1033" t="s">
        <v>2844</v>
      </c>
      <c r="J1033" t="s">
        <v>8668</v>
      </c>
      <c r="L1033">
        <v>0</v>
      </c>
      <c r="R1033" s="16" t="s">
        <v>8064</v>
      </c>
      <c r="S1033" s="16" t="s">
        <v>8064</v>
      </c>
      <c r="T1033" t="s">
        <v>7986</v>
      </c>
      <c r="U1033">
        <v>0</v>
      </c>
    </row>
    <row r="1034" spans="1:24">
      <c r="A1034">
        <v>1022</v>
      </c>
      <c r="B1034" t="s">
        <v>2855</v>
      </c>
      <c r="C1034" t="s">
        <v>2839</v>
      </c>
      <c r="D1034">
        <v>1266</v>
      </c>
      <c r="E1034">
        <v>13</v>
      </c>
      <c r="F1034" t="s">
        <v>1444</v>
      </c>
      <c r="G1034" t="s">
        <v>6168</v>
      </c>
      <c r="I1034" t="s">
        <v>2844</v>
      </c>
      <c r="J1034" t="s">
        <v>8668</v>
      </c>
      <c r="L1034">
        <v>0</v>
      </c>
      <c r="R1034" s="16" t="s">
        <v>8064</v>
      </c>
      <c r="S1034" s="16" t="s">
        <v>8064</v>
      </c>
      <c r="T1034" t="s">
        <v>7987</v>
      </c>
      <c r="U1034">
        <v>0</v>
      </c>
      <c r="X1034" s="7"/>
    </row>
    <row r="1035" spans="1:24">
      <c r="A1035">
        <v>1023</v>
      </c>
      <c r="B1035" t="s">
        <v>2856</v>
      </c>
      <c r="C1035" t="s">
        <v>2839</v>
      </c>
      <c r="D1035">
        <v>1266</v>
      </c>
      <c r="E1035">
        <v>13</v>
      </c>
      <c r="F1035" t="s">
        <v>1444</v>
      </c>
      <c r="G1035" t="s">
        <v>6168</v>
      </c>
      <c r="I1035" t="s">
        <v>2844</v>
      </c>
      <c r="J1035" t="s">
        <v>8668</v>
      </c>
      <c r="L1035">
        <v>0</v>
      </c>
      <c r="R1035" s="16" t="s">
        <v>8064</v>
      </c>
      <c r="S1035" s="16" t="s">
        <v>8064</v>
      </c>
      <c r="T1035" t="s">
        <v>7988</v>
      </c>
      <c r="U1035">
        <v>0</v>
      </c>
    </row>
    <row r="1036" spans="1:24">
      <c r="A1036">
        <v>1024</v>
      </c>
      <c r="B1036" t="s">
        <v>2853</v>
      </c>
      <c r="C1036">
        <v>1259</v>
      </c>
      <c r="D1036">
        <v>1259</v>
      </c>
      <c r="E1036">
        <v>13</v>
      </c>
      <c r="F1036" t="s">
        <v>2838</v>
      </c>
      <c r="G1036" t="s">
        <v>2841</v>
      </c>
      <c r="I1036" t="s">
        <v>2843</v>
      </c>
      <c r="J1036" t="s">
        <v>8668</v>
      </c>
      <c r="L1036">
        <v>1</v>
      </c>
      <c r="M1036" t="s">
        <v>2838</v>
      </c>
      <c r="N1036" t="s">
        <v>6329</v>
      </c>
      <c r="O1036" t="s">
        <v>11</v>
      </c>
      <c r="P1036">
        <v>104010</v>
      </c>
      <c r="Q1036">
        <v>437220</v>
      </c>
      <c r="R1036" s="16" t="s">
        <v>8608</v>
      </c>
      <c r="S1036" s="16" t="s">
        <v>8314</v>
      </c>
      <c r="T1036" t="s">
        <v>7989</v>
      </c>
      <c r="U1036">
        <v>0</v>
      </c>
    </row>
    <row r="1037" spans="1:24">
      <c r="A1037">
        <v>1025</v>
      </c>
      <c r="B1037" t="s">
        <v>2857</v>
      </c>
      <c r="C1037">
        <v>1294</v>
      </c>
      <c r="D1037">
        <v>1294</v>
      </c>
      <c r="E1037">
        <v>13</v>
      </c>
      <c r="F1037" t="s">
        <v>1444</v>
      </c>
      <c r="G1037" t="s">
        <v>2840</v>
      </c>
      <c r="I1037" t="s">
        <v>2845</v>
      </c>
      <c r="J1037" t="s">
        <v>8668</v>
      </c>
      <c r="L1037">
        <v>0</v>
      </c>
      <c r="R1037" s="16" t="s">
        <v>8064</v>
      </c>
      <c r="S1037" s="16" t="s">
        <v>8064</v>
      </c>
      <c r="T1037" t="s">
        <v>2857</v>
      </c>
      <c r="U1037">
        <v>0</v>
      </c>
    </row>
    <row r="1038" spans="1:24">
      <c r="A1038">
        <v>1026</v>
      </c>
      <c r="B1038" t="s">
        <v>2959</v>
      </c>
      <c r="C1038">
        <v>1296</v>
      </c>
      <c r="D1038">
        <v>1296</v>
      </c>
      <c r="E1038">
        <v>13</v>
      </c>
      <c r="F1038" t="s">
        <v>1444</v>
      </c>
      <c r="G1038" t="s">
        <v>2960</v>
      </c>
      <c r="I1038" t="s">
        <v>2961</v>
      </c>
      <c r="J1038" t="s">
        <v>8668</v>
      </c>
      <c r="L1038">
        <v>0</v>
      </c>
      <c r="R1038" s="16" t="s">
        <v>8064</v>
      </c>
      <c r="S1038" s="16" t="s">
        <v>8064</v>
      </c>
      <c r="T1038" t="s">
        <v>2959</v>
      </c>
      <c r="U1038">
        <v>0</v>
      </c>
    </row>
    <row r="1039" spans="1:24">
      <c r="A1039">
        <v>1027</v>
      </c>
      <c r="B1039" t="s">
        <v>2956</v>
      </c>
      <c r="C1039">
        <v>1298</v>
      </c>
      <c r="D1039">
        <v>1298</v>
      </c>
      <c r="E1039">
        <v>13</v>
      </c>
      <c r="F1039" t="s">
        <v>1444</v>
      </c>
      <c r="G1039" t="s">
        <v>2957</v>
      </c>
      <c r="I1039" t="s">
        <v>2958</v>
      </c>
      <c r="J1039" t="s">
        <v>8668</v>
      </c>
      <c r="L1039">
        <v>0</v>
      </c>
      <c r="R1039" s="16" t="s">
        <v>8064</v>
      </c>
      <c r="S1039" s="16" t="s">
        <v>8064</v>
      </c>
      <c r="T1039" t="s">
        <v>2956</v>
      </c>
      <c r="U1039">
        <v>0</v>
      </c>
    </row>
    <row r="1040" spans="1:24">
      <c r="A1040">
        <v>1028</v>
      </c>
      <c r="B1040" t="s">
        <v>2952</v>
      </c>
      <c r="C1040">
        <v>1075</v>
      </c>
      <c r="D1040">
        <v>1075</v>
      </c>
      <c r="E1040">
        <v>11</v>
      </c>
      <c r="F1040" t="s">
        <v>2953</v>
      </c>
      <c r="G1040" t="s">
        <v>2954</v>
      </c>
      <c r="I1040" t="s">
        <v>2955</v>
      </c>
      <c r="J1040" t="s">
        <v>8668</v>
      </c>
      <c r="L1040">
        <v>0</v>
      </c>
      <c r="R1040" s="16" t="s">
        <v>8064</v>
      </c>
      <c r="S1040" s="16" t="s">
        <v>8064</v>
      </c>
      <c r="T1040" t="s">
        <v>2952</v>
      </c>
      <c r="U1040">
        <v>0</v>
      </c>
    </row>
    <row r="1041" spans="1:21">
      <c r="A1041">
        <v>1029</v>
      </c>
      <c r="B1041" t="s">
        <v>2945</v>
      </c>
      <c r="C1041">
        <v>1181</v>
      </c>
      <c r="D1041">
        <v>1181</v>
      </c>
      <c r="E1041">
        <v>12</v>
      </c>
      <c r="F1041" t="s">
        <v>2946</v>
      </c>
      <c r="G1041" t="s">
        <v>2947</v>
      </c>
      <c r="I1041" t="s">
        <v>2948</v>
      </c>
      <c r="J1041" t="s">
        <v>8668</v>
      </c>
      <c r="L1041">
        <v>0</v>
      </c>
      <c r="R1041" s="16" t="s">
        <v>8064</v>
      </c>
      <c r="S1041" s="16" t="s">
        <v>8064</v>
      </c>
      <c r="T1041" t="s">
        <v>2945</v>
      </c>
      <c r="U1041">
        <v>0</v>
      </c>
    </row>
    <row r="1042" spans="1:21">
      <c r="A1042">
        <v>1030</v>
      </c>
      <c r="B1042" t="s">
        <v>2949</v>
      </c>
      <c r="C1042">
        <v>1284</v>
      </c>
      <c r="D1042">
        <v>1284</v>
      </c>
      <c r="E1042">
        <v>13</v>
      </c>
      <c r="F1042" t="s">
        <v>1444</v>
      </c>
      <c r="G1042" t="s">
        <v>2950</v>
      </c>
      <c r="I1042" t="s">
        <v>2951</v>
      </c>
      <c r="J1042" t="s">
        <v>8668</v>
      </c>
      <c r="L1042">
        <v>0</v>
      </c>
      <c r="R1042" s="16" t="s">
        <v>8064</v>
      </c>
      <c r="S1042" s="16" t="s">
        <v>8064</v>
      </c>
      <c r="T1042" t="s">
        <v>2949</v>
      </c>
      <c r="U1042">
        <v>0</v>
      </c>
    </row>
    <row r="1043" spans="1:21">
      <c r="A1043">
        <v>1031</v>
      </c>
      <c r="B1043" t="s">
        <v>2933</v>
      </c>
      <c r="C1043">
        <v>1170</v>
      </c>
      <c r="D1043">
        <v>1170</v>
      </c>
      <c r="E1043">
        <v>12</v>
      </c>
      <c r="F1043" t="s">
        <v>2934</v>
      </c>
      <c r="G1043" t="s">
        <v>2935</v>
      </c>
      <c r="I1043" t="s">
        <v>2936</v>
      </c>
      <c r="J1043" t="s">
        <v>8668</v>
      </c>
      <c r="L1043">
        <v>1</v>
      </c>
      <c r="M1043" t="s">
        <v>6472</v>
      </c>
      <c r="N1043" t="s">
        <v>6473</v>
      </c>
      <c r="O1043" t="s">
        <v>11</v>
      </c>
      <c r="P1043">
        <v>118760</v>
      </c>
      <c r="Q1043">
        <v>454060</v>
      </c>
      <c r="R1043" s="16" t="s">
        <v>8609</v>
      </c>
      <c r="S1043" s="16" t="s">
        <v>8315</v>
      </c>
      <c r="T1043" t="s">
        <v>2933</v>
      </c>
      <c r="U1043">
        <v>0</v>
      </c>
    </row>
    <row r="1044" spans="1:21">
      <c r="A1044">
        <v>1032</v>
      </c>
      <c r="B1044" t="s">
        <v>2937</v>
      </c>
      <c r="C1044">
        <v>1259</v>
      </c>
      <c r="D1044">
        <v>1259</v>
      </c>
      <c r="E1044">
        <v>13</v>
      </c>
      <c r="F1044" t="s">
        <v>2938</v>
      </c>
      <c r="G1044" t="s">
        <v>2939</v>
      </c>
      <c r="I1044" t="s">
        <v>2940</v>
      </c>
      <c r="J1044" t="s">
        <v>8668</v>
      </c>
      <c r="L1044">
        <v>1</v>
      </c>
      <c r="M1044" t="s">
        <v>6472</v>
      </c>
      <c r="N1044" t="s">
        <v>6473</v>
      </c>
      <c r="O1044" t="s">
        <v>11</v>
      </c>
      <c r="P1044">
        <v>118760</v>
      </c>
      <c r="Q1044">
        <v>454060</v>
      </c>
      <c r="R1044" s="16" t="s">
        <v>8609</v>
      </c>
      <c r="S1044" s="16" t="s">
        <v>8315</v>
      </c>
      <c r="T1044" t="s">
        <v>2937</v>
      </c>
      <c r="U1044">
        <v>0</v>
      </c>
    </row>
    <row r="1045" spans="1:21">
      <c r="A1045">
        <v>1033</v>
      </c>
      <c r="B1045" t="s">
        <v>2941</v>
      </c>
      <c r="C1045">
        <v>1290</v>
      </c>
      <c r="D1045">
        <v>1290</v>
      </c>
      <c r="E1045">
        <v>13</v>
      </c>
      <c r="F1045" t="s">
        <v>2942</v>
      </c>
      <c r="G1045" t="s">
        <v>2943</v>
      </c>
      <c r="I1045" t="s">
        <v>2944</v>
      </c>
      <c r="J1045" t="s">
        <v>8668</v>
      </c>
      <c r="L1045">
        <v>1</v>
      </c>
      <c r="M1045" t="s">
        <v>6472</v>
      </c>
      <c r="N1045" t="s">
        <v>6473</v>
      </c>
      <c r="O1045" t="s">
        <v>11</v>
      </c>
      <c r="P1045">
        <v>118760</v>
      </c>
      <c r="Q1045">
        <v>454060</v>
      </c>
      <c r="R1045" s="16" t="s">
        <v>8609</v>
      </c>
      <c r="S1045" s="16" t="s">
        <v>8315</v>
      </c>
      <c r="T1045" t="s">
        <v>2941</v>
      </c>
      <c r="U1045">
        <v>0</v>
      </c>
    </row>
    <row r="1046" spans="1:21">
      <c r="A1046">
        <v>1034</v>
      </c>
      <c r="B1046" t="s">
        <v>2918</v>
      </c>
      <c r="C1046">
        <v>1224</v>
      </c>
      <c r="D1046">
        <v>1224</v>
      </c>
      <c r="E1046">
        <v>13</v>
      </c>
      <c r="F1046" t="s">
        <v>2919</v>
      </c>
      <c r="G1046" t="s">
        <v>2920</v>
      </c>
      <c r="I1046" t="s">
        <v>2921</v>
      </c>
      <c r="J1046" t="s">
        <v>8668</v>
      </c>
      <c r="L1046">
        <v>0</v>
      </c>
      <c r="R1046" s="16" t="s">
        <v>8064</v>
      </c>
      <c r="S1046" s="16" t="s">
        <v>8064</v>
      </c>
      <c r="T1046" t="s">
        <v>2918</v>
      </c>
      <c r="U1046">
        <v>0</v>
      </c>
    </row>
    <row r="1047" spans="1:21">
      <c r="A1047">
        <v>1035</v>
      </c>
      <c r="B1047" t="s">
        <v>2922</v>
      </c>
      <c r="C1047">
        <v>1259</v>
      </c>
      <c r="D1047">
        <v>1259</v>
      </c>
      <c r="E1047">
        <v>13</v>
      </c>
      <c r="F1047" t="s">
        <v>2923</v>
      </c>
      <c r="G1047" t="s">
        <v>2924</v>
      </c>
      <c r="I1047" t="s">
        <v>2925</v>
      </c>
      <c r="J1047" t="s">
        <v>8668</v>
      </c>
      <c r="L1047">
        <v>0</v>
      </c>
      <c r="R1047" s="16" t="s">
        <v>8064</v>
      </c>
      <c r="S1047" s="16" t="s">
        <v>8064</v>
      </c>
      <c r="T1047" t="s">
        <v>2922</v>
      </c>
      <c r="U1047">
        <v>0</v>
      </c>
    </row>
    <row r="1048" spans="1:21">
      <c r="A1048">
        <v>1036</v>
      </c>
      <c r="B1048" t="s">
        <v>2848</v>
      </c>
      <c r="C1048">
        <v>1248</v>
      </c>
      <c r="D1048">
        <v>1248</v>
      </c>
      <c r="E1048">
        <v>13</v>
      </c>
      <c r="F1048" t="s">
        <v>1444</v>
      </c>
      <c r="G1048" t="s">
        <v>2847</v>
      </c>
      <c r="I1048" t="s">
        <v>2851</v>
      </c>
      <c r="J1048" t="s">
        <v>8668</v>
      </c>
      <c r="L1048">
        <v>0</v>
      </c>
      <c r="R1048" s="16" t="s">
        <v>8064</v>
      </c>
      <c r="S1048" s="16" t="s">
        <v>8064</v>
      </c>
      <c r="T1048" t="s">
        <v>2848</v>
      </c>
      <c r="U1048">
        <v>0</v>
      </c>
    </row>
    <row r="1049" spans="1:21">
      <c r="A1049">
        <v>1037</v>
      </c>
      <c r="B1049" t="s">
        <v>2849</v>
      </c>
      <c r="C1049">
        <v>1281</v>
      </c>
      <c r="D1049">
        <v>1281</v>
      </c>
      <c r="E1049">
        <v>13</v>
      </c>
      <c r="F1049" t="s">
        <v>1444</v>
      </c>
      <c r="G1049" t="s">
        <v>2850</v>
      </c>
      <c r="I1049" t="s">
        <v>2852</v>
      </c>
      <c r="J1049" t="s">
        <v>8668</v>
      </c>
      <c r="L1049">
        <v>0</v>
      </c>
      <c r="R1049" s="16" t="s">
        <v>8064</v>
      </c>
      <c r="S1049" s="16" t="s">
        <v>8064</v>
      </c>
      <c r="T1049" t="s">
        <v>2849</v>
      </c>
      <c r="U1049">
        <v>0</v>
      </c>
    </row>
    <row r="1050" spans="1:21">
      <c r="A1050">
        <v>1038</v>
      </c>
      <c r="B1050" t="s">
        <v>2913</v>
      </c>
      <c r="C1050">
        <v>1283</v>
      </c>
      <c r="D1050">
        <v>1283</v>
      </c>
      <c r="E1050">
        <v>13</v>
      </c>
      <c r="F1050" t="s">
        <v>1444</v>
      </c>
      <c r="G1050" t="s">
        <v>2911</v>
      </c>
      <c r="I1050" t="s">
        <v>2912</v>
      </c>
      <c r="J1050" t="s">
        <v>8668</v>
      </c>
      <c r="L1050">
        <v>0</v>
      </c>
      <c r="R1050" s="16" t="s">
        <v>8064</v>
      </c>
      <c r="S1050" s="16" t="s">
        <v>8064</v>
      </c>
      <c r="T1050" t="s">
        <v>2913</v>
      </c>
      <c r="U1050">
        <v>0</v>
      </c>
    </row>
    <row r="1051" spans="1:21">
      <c r="A1051">
        <v>1039</v>
      </c>
      <c r="B1051" t="s">
        <v>2907</v>
      </c>
      <c r="C1051">
        <v>1293</v>
      </c>
      <c r="D1051">
        <v>1293</v>
      </c>
      <c r="E1051">
        <v>13</v>
      </c>
      <c r="F1051" t="s">
        <v>2908</v>
      </c>
      <c r="G1051" t="s">
        <v>2909</v>
      </c>
      <c r="I1051" t="s">
        <v>2910</v>
      </c>
      <c r="J1051" t="s">
        <v>8668</v>
      </c>
      <c r="L1051">
        <v>0</v>
      </c>
      <c r="R1051" s="16" t="s">
        <v>8064</v>
      </c>
      <c r="S1051" s="16" t="s">
        <v>8064</v>
      </c>
      <c r="T1051" t="s">
        <v>2907</v>
      </c>
      <c r="U1051">
        <v>0</v>
      </c>
    </row>
    <row r="1052" spans="1:21">
      <c r="A1052">
        <v>1040</v>
      </c>
      <c r="B1052" t="s">
        <v>2900</v>
      </c>
      <c r="C1052">
        <v>1202</v>
      </c>
      <c r="D1052">
        <v>1202</v>
      </c>
      <c r="E1052">
        <v>13</v>
      </c>
      <c r="F1052" t="s">
        <v>1444</v>
      </c>
      <c r="G1052" t="s">
        <v>2901</v>
      </c>
      <c r="I1052" t="s">
        <v>2902</v>
      </c>
      <c r="J1052" t="s">
        <v>8668</v>
      </c>
      <c r="L1052">
        <v>0</v>
      </c>
      <c r="R1052" s="16" t="s">
        <v>8064</v>
      </c>
      <c r="S1052" s="16" t="s">
        <v>8064</v>
      </c>
      <c r="T1052" t="s">
        <v>2900</v>
      </c>
      <c r="U1052">
        <v>0</v>
      </c>
    </row>
    <row r="1053" spans="1:21">
      <c r="A1053">
        <v>1041</v>
      </c>
      <c r="B1053" t="s">
        <v>2906</v>
      </c>
      <c r="C1053">
        <v>1264</v>
      </c>
      <c r="D1053">
        <v>1264</v>
      </c>
      <c r="E1053">
        <v>13</v>
      </c>
      <c r="F1053" t="s">
        <v>2903</v>
      </c>
      <c r="G1053" t="s">
        <v>2904</v>
      </c>
      <c r="I1053" t="s">
        <v>2905</v>
      </c>
      <c r="J1053" t="s">
        <v>8668</v>
      </c>
      <c r="L1053">
        <v>0</v>
      </c>
      <c r="R1053" s="16" t="s">
        <v>8064</v>
      </c>
      <c r="S1053" s="16" t="s">
        <v>8064</v>
      </c>
      <c r="T1053" t="s">
        <v>2906</v>
      </c>
      <c r="U1053">
        <v>0</v>
      </c>
    </row>
    <row r="1054" spans="1:21">
      <c r="A1054">
        <v>1042</v>
      </c>
      <c r="B1054" t="s">
        <v>2889</v>
      </c>
      <c r="C1054">
        <v>1285</v>
      </c>
      <c r="D1054">
        <v>1285</v>
      </c>
      <c r="E1054">
        <v>13</v>
      </c>
      <c r="F1054" t="s">
        <v>1444</v>
      </c>
      <c r="G1054" t="s">
        <v>2890</v>
      </c>
      <c r="I1054" t="s">
        <v>2891</v>
      </c>
      <c r="J1054" t="s">
        <v>8668</v>
      </c>
      <c r="L1054">
        <v>0</v>
      </c>
      <c r="R1054" s="16" t="s">
        <v>8064</v>
      </c>
      <c r="S1054" s="16" t="s">
        <v>8064</v>
      </c>
      <c r="T1054" t="s">
        <v>2889</v>
      </c>
      <c r="U1054">
        <v>0</v>
      </c>
    </row>
    <row r="1055" spans="1:21">
      <c r="A1055">
        <v>1043</v>
      </c>
      <c r="B1055" t="s">
        <v>2892</v>
      </c>
      <c r="C1055">
        <v>1296</v>
      </c>
      <c r="D1055">
        <v>1296</v>
      </c>
      <c r="E1055">
        <v>13</v>
      </c>
      <c r="F1055" t="s">
        <v>2893</v>
      </c>
      <c r="G1055" t="s">
        <v>2894</v>
      </c>
      <c r="I1055" t="s">
        <v>2895</v>
      </c>
      <c r="J1055" t="s">
        <v>8668</v>
      </c>
      <c r="L1055">
        <v>0</v>
      </c>
      <c r="R1055" s="16" t="s">
        <v>8064</v>
      </c>
      <c r="S1055" s="16" t="s">
        <v>8064</v>
      </c>
      <c r="T1055" t="s">
        <v>2892</v>
      </c>
      <c r="U1055">
        <v>0</v>
      </c>
    </row>
    <row r="1056" spans="1:21">
      <c r="A1056">
        <v>1044</v>
      </c>
      <c r="B1056" t="s">
        <v>2896</v>
      </c>
      <c r="C1056">
        <v>1297</v>
      </c>
      <c r="D1056">
        <v>1297</v>
      </c>
      <c r="E1056">
        <v>13</v>
      </c>
      <c r="F1056" t="s">
        <v>2897</v>
      </c>
      <c r="G1056" t="s">
        <v>2898</v>
      </c>
      <c r="I1056" t="s">
        <v>2899</v>
      </c>
      <c r="J1056" t="s">
        <v>8668</v>
      </c>
      <c r="L1056">
        <v>1</v>
      </c>
      <c r="M1056" t="s">
        <v>2897</v>
      </c>
      <c r="N1056" t="s">
        <v>6326</v>
      </c>
      <c r="O1056" t="s">
        <v>11</v>
      </c>
      <c r="P1056">
        <v>113500</v>
      </c>
      <c r="Q1056">
        <v>464970</v>
      </c>
      <c r="R1056" s="16" t="s">
        <v>8610</v>
      </c>
      <c r="S1056" s="16" t="s">
        <v>8316</v>
      </c>
      <c r="T1056" t="s">
        <v>2896</v>
      </c>
      <c r="U1056">
        <v>0</v>
      </c>
    </row>
    <row r="1057" spans="1:21">
      <c r="A1057">
        <v>1045</v>
      </c>
      <c r="B1057" s="4" t="s">
        <v>2963</v>
      </c>
      <c r="C1057" s="4">
        <v>1174</v>
      </c>
      <c r="D1057" s="4">
        <v>1174</v>
      </c>
      <c r="E1057" s="4">
        <v>12</v>
      </c>
      <c r="F1057" t="s">
        <v>1444</v>
      </c>
      <c r="G1057" t="s">
        <v>2972</v>
      </c>
      <c r="I1057" t="s">
        <v>2971</v>
      </c>
      <c r="J1057" t="s">
        <v>8668</v>
      </c>
      <c r="L1057">
        <v>0</v>
      </c>
      <c r="R1057" s="16" t="s">
        <v>8064</v>
      </c>
      <c r="S1057" s="16" t="s">
        <v>8064</v>
      </c>
      <c r="T1057" s="4" t="s">
        <v>2963</v>
      </c>
      <c r="U1057">
        <v>0</v>
      </c>
    </row>
    <row r="1058" spans="1:21">
      <c r="A1058">
        <v>1046</v>
      </c>
      <c r="B1058" s="4" t="s">
        <v>7712</v>
      </c>
      <c r="C1058" s="4">
        <v>1250</v>
      </c>
      <c r="D1058" s="4">
        <v>1250</v>
      </c>
      <c r="E1058" s="4">
        <v>13</v>
      </c>
      <c r="F1058" t="s">
        <v>2962</v>
      </c>
      <c r="G1058" t="s">
        <v>2973</v>
      </c>
      <c r="I1058" t="s">
        <v>2974</v>
      </c>
      <c r="J1058" t="s">
        <v>8668</v>
      </c>
      <c r="L1058">
        <v>1</v>
      </c>
      <c r="M1058" t="s">
        <v>2962</v>
      </c>
      <c r="N1058" t="s">
        <v>6473</v>
      </c>
      <c r="O1058" t="s">
        <v>11</v>
      </c>
      <c r="P1058" t="s">
        <v>6920</v>
      </c>
      <c r="Q1058" t="s">
        <v>6921</v>
      </c>
      <c r="R1058" s="16" t="s">
        <v>8377</v>
      </c>
      <c r="S1058" s="16" t="s">
        <v>8081</v>
      </c>
      <c r="T1058" s="4" t="s">
        <v>7712</v>
      </c>
      <c r="U1058">
        <v>0</v>
      </c>
    </row>
    <row r="1059" spans="1:21">
      <c r="A1059">
        <v>1047</v>
      </c>
      <c r="B1059" s="4" t="s">
        <v>7713</v>
      </c>
      <c r="C1059" s="4">
        <v>1251</v>
      </c>
      <c r="D1059" s="4">
        <v>1251</v>
      </c>
      <c r="E1059" s="4">
        <v>13</v>
      </c>
      <c r="F1059" t="s">
        <v>2962</v>
      </c>
      <c r="G1059" t="s">
        <v>2975</v>
      </c>
      <c r="I1059" t="s">
        <v>2976</v>
      </c>
      <c r="J1059" t="s">
        <v>8668</v>
      </c>
      <c r="L1059">
        <v>1</v>
      </c>
      <c r="M1059" t="s">
        <v>2962</v>
      </c>
      <c r="N1059" t="s">
        <v>6473</v>
      </c>
      <c r="O1059" t="s">
        <v>11</v>
      </c>
      <c r="P1059" t="s">
        <v>6920</v>
      </c>
      <c r="Q1059" t="s">
        <v>6921</v>
      </c>
      <c r="R1059" s="16" t="s">
        <v>8377</v>
      </c>
      <c r="S1059" s="16" t="s">
        <v>8081</v>
      </c>
      <c r="T1059" s="4" t="s">
        <v>7713</v>
      </c>
      <c r="U1059">
        <v>0</v>
      </c>
    </row>
    <row r="1060" spans="1:21">
      <c r="A1060">
        <v>1048</v>
      </c>
      <c r="B1060" s="4" t="s">
        <v>7714</v>
      </c>
      <c r="C1060" s="4">
        <v>1252</v>
      </c>
      <c r="D1060" s="4">
        <v>1252</v>
      </c>
      <c r="E1060" s="4">
        <v>13</v>
      </c>
      <c r="F1060" t="s">
        <v>2962</v>
      </c>
      <c r="G1060" t="s">
        <v>2977</v>
      </c>
      <c r="I1060" t="s">
        <v>2978</v>
      </c>
      <c r="J1060" t="s">
        <v>8668</v>
      </c>
      <c r="L1060">
        <v>1</v>
      </c>
      <c r="M1060" t="s">
        <v>2962</v>
      </c>
      <c r="N1060" t="s">
        <v>6473</v>
      </c>
      <c r="O1060" t="s">
        <v>11</v>
      </c>
      <c r="P1060" t="s">
        <v>6920</v>
      </c>
      <c r="Q1060" t="s">
        <v>6921</v>
      </c>
      <c r="R1060" s="16" t="s">
        <v>8377</v>
      </c>
      <c r="S1060" s="16" t="s">
        <v>8081</v>
      </c>
      <c r="T1060" s="4" t="s">
        <v>7714</v>
      </c>
      <c r="U1060">
        <v>0</v>
      </c>
    </row>
    <row r="1061" spans="1:21">
      <c r="A1061">
        <v>1049</v>
      </c>
      <c r="B1061" s="4" t="s">
        <v>7715</v>
      </c>
      <c r="C1061" s="4">
        <v>1252</v>
      </c>
      <c r="D1061" s="4">
        <v>1252</v>
      </c>
      <c r="E1061" s="4">
        <v>13</v>
      </c>
      <c r="F1061" t="s">
        <v>2962</v>
      </c>
      <c r="G1061" t="s">
        <v>2979</v>
      </c>
      <c r="I1061" t="s">
        <v>2980</v>
      </c>
      <c r="J1061" t="s">
        <v>8668</v>
      </c>
      <c r="L1061">
        <v>1</v>
      </c>
      <c r="M1061" t="s">
        <v>2962</v>
      </c>
      <c r="N1061" t="s">
        <v>6473</v>
      </c>
      <c r="O1061" t="s">
        <v>11</v>
      </c>
      <c r="P1061" t="s">
        <v>6920</v>
      </c>
      <c r="Q1061" t="s">
        <v>6921</v>
      </c>
      <c r="R1061" s="16" t="s">
        <v>8377</v>
      </c>
      <c r="S1061" s="16" t="s">
        <v>8081</v>
      </c>
      <c r="T1061" s="4" t="s">
        <v>7715</v>
      </c>
      <c r="U1061">
        <v>0</v>
      </c>
    </row>
    <row r="1062" spans="1:21">
      <c r="A1062">
        <v>1050</v>
      </c>
      <c r="B1062" s="4" t="s">
        <v>7716</v>
      </c>
      <c r="C1062" s="4">
        <v>1287</v>
      </c>
      <c r="D1062" s="4">
        <v>1287</v>
      </c>
      <c r="E1062" s="4">
        <v>13</v>
      </c>
      <c r="F1062" t="s">
        <v>1444</v>
      </c>
      <c r="G1062" t="s">
        <v>2981</v>
      </c>
      <c r="I1062" t="s">
        <v>2982</v>
      </c>
      <c r="J1062" t="s">
        <v>8668</v>
      </c>
      <c r="L1062">
        <v>0</v>
      </c>
      <c r="R1062" s="16" t="s">
        <v>8064</v>
      </c>
      <c r="S1062" s="16" t="s">
        <v>8064</v>
      </c>
      <c r="T1062" s="4" t="s">
        <v>7716</v>
      </c>
      <c r="U1062">
        <v>0</v>
      </c>
    </row>
    <row r="1063" spans="1:21">
      <c r="A1063">
        <v>1051</v>
      </c>
      <c r="B1063" s="4" t="s">
        <v>7717</v>
      </c>
      <c r="C1063" s="4">
        <v>1293</v>
      </c>
      <c r="D1063" s="4">
        <v>1293</v>
      </c>
      <c r="E1063" s="4">
        <v>13</v>
      </c>
      <c r="F1063" t="s">
        <v>2762</v>
      </c>
      <c r="G1063" t="s">
        <v>2983</v>
      </c>
      <c r="I1063" t="s">
        <v>2984</v>
      </c>
      <c r="J1063" t="s">
        <v>8668</v>
      </c>
      <c r="L1063">
        <v>1</v>
      </c>
      <c r="M1063" t="s">
        <v>2762</v>
      </c>
      <c r="N1063" t="s">
        <v>6324</v>
      </c>
      <c r="O1063" t="s">
        <v>11</v>
      </c>
      <c r="P1063">
        <v>113410</v>
      </c>
      <c r="Q1063">
        <v>444940</v>
      </c>
      <c r="R1063" s="16" t="s">
        <v>8378</v>
      </c>
      <c r="S1063" s="16" t="s">
        <v>8082</v>
      </c>
      <c r="T1063" s="4" t="s">
        <v>7717</v>
      </c>
      <c r="U1063">
        <v>0</v>
      </c>
    </row>
    <row r="1064" spans="1:21">
      <c r="A1064">
        <v>1052</v>
      </c>
      <c r="B1064" s="4" t="s">
        <v>2985</v>
      </c>
      <c r="C1064" s="4">
        <v>1244</v>
      </c>
      <c r="D1064" s="4">
        <v>1244</v>
      </c>
      <c r="E1064" s="4">
        <v>13</v>
      </c>
      <c r="F1064" t="s">
        <v>2970</v>
      </c>
      <c r="G1064" t="s">
        <v>2989</v>
      </c>
      <c r="I1064" t="s">
        <v>2992</v>
      </c>
      <c r="J1064" t="s">
        <v>8668</v>
      </c>
      <c r="L1064">
        <v>0</v>
      </c>
      <c r="R1064" s="16" t="s">
        <v>8064</v>
      </c>
      <c r="S1064" s="16" t="s">
        <v>8064</v>
      </c>
      <c r="T1064" s="4" t="s">
        <v>2985</v>
      </c>
      <c r="U1064">
        <v>0</v>
      </c>
    </row>
    <row r="1065" spans="1:21">
      <c r="A1065">
        <v>1053</v>
      </c>
      <c r="B1065" t="s">
        <v>2986</v>
      </c>
      <c r="C1065" s="4">
        <v>1271</v>
      </c>
      <c r="D1065" s="4">
        <v>1271</v>
      </c>
      <c r="E1065" s="4">
        <v>13</v>
      </c>
      <c r="F1065" t="s">
        <v>2988</v>
      </c>
      <c r="G1065" t="s">
        <v>2990</v>
      </c>
      <c r="I1065" t="s">
        <v>2993</v>
      </c>
      <c r="J1065" t="s">
        <v>8668</v>
      </c>
      <c r="L1065">
        <v>0</v>
      </c>
      <c r="R1065" s="16" t="s">
        <v>8064</v>
      </c>
      <c r="S1065" s="16" t="s">
        <v>8064</v>
      </c>
      <c r="T1065" t="s">
        <v>2986</v>
      </c>
      <c r="U1065">
        <v>0</v>
      </c>
    </row>
    <row r="1066" spans="1:21">
      <c r="A1066">
        <v>1054</v>
      </c>
      <c r="B1066" t="s">
        <v>2987</v>
      </c>
      <c r="C1066" s="4">
        <v>1285</v>
      </c>
      <c r="D1066" s="4">
        <v>1285</v>
      </c>
      <c r="E1066" s="4">
        <v>13</v>
      </c>
      <c r="F1066" t="s">
        <v>1444</v>
      </c>
      <c r="G1066" t="s">
        <v>2991</v>
      </c>
      <c r="I1066" t="s">
        <v>2994</v>
      </c>
      <c r="J1066" t="s">
        <v>8668</v>
      </c>
      <c r="L1066">
        <v>0</v>
      </c>
      <c r="R1066" s="16" t="s">
        <v>8064</v>
      </c>
      <c r="S1066" s="16" t="s">
        <v>8064</v>
      </c>
      <c r="T1066" t="s">
        <v>2987</v>
      </c>
      <c r="U1066">
        <v>0</v>
      </c>
    </row>
    <row r="1067" spans="1:21">
      <c r="A1067">
        <v>1055</v>
      </c>
      <c r="B1067" s="4" t="s">
        <v>2995</v>
      </c>
      <c r="C1067" s="4">
        <v>1125</v>
      </c>
      <c r="D1067" s="4">
        <v>1125</v>
      </c>
      <c r="E1067" s="4">
        <v>12</v>
      </c>
      <c r="F1067" t="s">
        <v>1444</v>
      </c>
      <c r="G1067" t="s">
        <v>2996</v>
      </c>
      <c r="I1067" t="s">
        <v>2997</v>
      </c>
      <c r="J1067" t="s">
        <v>8668</v>
      </c>
      <c r="L1067">
        <v>0</v>
      </c>
      <c r="R1067" s="16" t="s">
        <v>8064</v>
      </c>
      <c r="S1067" s="16" t="s">
        <v>8064</v>
      </c>
      <c r="T1067" s="4" t="s">
        <v>2995</v>
      </c>
      <c r="U1067">
        <v>0</v>
      </c>
    </row>
    <row r="1068" spans="1:21">
      <c r="A1068">
        <v>1056</v>
      </c>
      <c r="B1068" s="4" t="s">
        <v>2998</v>
      </c>
      <c r="C1068" s="4">
        <v>1297</v>
      </c>
      <c r="D1068" s="4">
        <v>1297</v>
      </c>
      <c r="E1068" s="4">
        <v>13</v>
      </c>
      <c r="F1068" t="s">
        <v>2999</v>
      </c>
      <c r="G1068" t="s">
        <v>3000</v>
      </c>
      <c r="I1068" t="s">
        <v>3001</v>
      </c>
      <c r="J1068" t="s">
        <v>8668</v>
      </c>
      <c r="L1068">
        <v>0</v>
      </c>
      <c r="R1068" s="16" t="s">
        <v>8064</v>
      </c>
      <c r="S1068" s="16" t="s">
        <v>8064</v>
      </c>
      <c r="T1068" s="4" t="s">
        <v>2998</v>
      </c>
      <c r="U1068">
        <v>0</v>
      </c>
    </row>
    <row r="1069" spans="1:21">
      <c r="A1069">
        <v>1057</v>
      </c>
      <c r="B1069" s="4" t="s">
        <v>8843</v>
      </c>
      <c r="C1069" s="4">
        <v>1235</v>
      </c>
      <c r="D1069" s="4">
        <v>1235</v>
      </c>
      <c r="E1069" s="4">
        <v>13</v>
      </c>
      <c r="F1069" t="s">
        <v>3002</v>
      </c>
      <c r="G1069" t="s">
        <v>3004</v>
      </c>
      <c r="I1069" t="s">
        <v>3005</v>
      </c>
      <c r="J1069" t="s">
        <v>8668</v>
      </c>
      <c r="L1069">
        <v>0</v>
      </c>
      <c r="R1069" s="16" t="s">
        <v>8064</v>
      </c>
      <c r="S1069" s="16" t="s">
        <v>8064</v>
      </c>
      <c r="T1069" s="4" t="s">
        <v>3003</v>
      </c>
      <c r="U1069">
        <v>0</v>
      </c>
    </row>
    <row r="1070" spans="1:21">
      <c r="A1070">
        <v>1058</v>
      </c>
      <c r="B1070" t="s">
        <v>2884</v>
      </c>
      <c r="C1070">
        <v>1224</v>
      </c>
      <c r="D1070">
        <v>1224</v>
      </c>
      <c r="E1070">
        <v>13</v>
      </c>
      <c r="F1070" t="s">
        <v>1444</v>
      </c>
      <c r="G1070" t="s">
        <v>6167</v>
      </c>
      <c r="I1070" t="s">
        <v>2885</v>
      </c>
      <c r="J1070" t="s">
        <v>8668</v>
      </c>
      <c r="L1070">
        <v>0</v>
      </c>
      <c r="R1070" s="16" t="s">
        <v>8064</v>
      </c>
      <c r="S1070" s="16" t="s">
        <v>8064</v>
      </c>
      <c r="T1070" t="s">
        <v>2884</v>
      </c>
      <c r="U1070">
        <v>0</v>
      </c>
    </row>
    <row r="1071" spans="1:21">
      <c r="A1071">
        <v>1059</v>
      </c>
      <c r="B1071" t="s">
        <v>2887</v>
      </c>
      <c r="C1071">
        <v>1283</v>
      </c>
      <c r="D1071">
        <v>1283</v>
      </c>
      <c r="E1071">
        <v>13</v>
      </c>
      <c r="F1071" t="s">
        <v>2888</v>
      </c>
      <c r="G1071" t="s">
        <v>6167</v>
      </c>
      <c r="I1071" t="s">
        <v>2886</v>
      </c>
      <c r="J1071" t="s">
        <v>8668</v>
      </c>
      <c r="L1071">
        <v>1</v>
      </c>
      <c r="M1071" t="s">
        <v>2888</v>
      </c>
      <c r="N1071" t="s">
        <v>6324</v>
      </c>
      <c r="O1071" t="s">
        <v>11</v>
      </c>
      <c r="P1071">
        <v>118840</v>
      </c>
      <c r="Q1071">
        <v>442870</v>
      </c>
      <c r="R1071" s="16" t="s">
        <v>8611</v>
      </c>
      <c r="S1071" s="16" t="s">
        <v>8317</v>
      </c>
      <c r="T1071" t="s">
        <v>2887</v>
      </c>
      <c r="U1071">
        <v>0</v>
      </c>
    </row>
    <row r="1072" spans="1:21">
      <c r="A1072">
        <v>1064</v>
      </c>
      <c r="B1072" t="s">
        <v>1770</v>
      </c>
      <c r="C1072" t="s">
        <v>4811</v>
      </c>
      <c r="D1072">
        <v>1297</v>
      </c>
      <c r="E1072">
        <v>13</v>
      </c>
      <c r="F1072" t="s">
        <v>1444</v>
      </c>
      <c r="G1072" t="s">
        <v>4870</v>
      </c>
      <c r="J1072" t="s">
        <v>8668</v>
      </c>
      <c r="L1072">
        <v>0</v>
      </c>
      <c r="R1072" s="16" t="s">
        <v>8064</v>
      </c>
      <c r="S1072" s="16" t="s">
        <v>8064</v>
      </c>
      <c r="T1072" t="s">
        <v>1770</v>
      </c>
      <c r="U1072">
        <v>0</v>
      </c>
    </row>
    <row r="1073" spans="1:21">
      <c r="A1073">
        <v>1060</v>
      </c>
      <c r="B1073" t="s">
        <v>2109</v>
      </c>
      <c r="C1073" t="s">
        <v>5009</v>
      </c>
      <c r="D1073">
        <v>1151</v>
      </c>
      <c r="E1073">
        <v>12</v>
      </c>
      <c r="F1073" t="s">
        <v>4358</v>
      </c>
      <c r="G1073" t="s">
        <v>4870</v>
      </c>
      <c r="J1073" t="s">
        <v>8668</v>
      </c>
      <c r="L1073">
        <v>1</v>
      </c>
      <c r="M1073" t="s">
        <v>4362</v>
      </c>
      <c r="N1073" t="s">
        <v>6373</v>
      </c>
      <c r="O1073" t="s">
        <v>104</v>
      </c>
      <c r="P1073">
        <v>46540</v>
      </c>
      <c r="Q1073">
        <v>464340</v>
      </c>
      <c r="R1073" s="16" t="s">
        <v>8392</v>
      </c>
      <c r="S1073" s="16" t="s">
        <v>8096</v>
      </c>
      <c r="T1073" t="s">
        <v>7993</v>
      </c>
      <c r="U1073">
        <v>0</v>
      </c>
    </row>
    <row r="1074" spans="1:21">
      <c r="A1074">
        <v>1061</v>
      </c>
      <c r="B1074" t="s">
        <v>1749</v>
      </c>
      <c r="C1074" t="s">
        <v>4520</v>
      </c>
      <c r="D1074">
        <v>1215</v>
      </c>
      <c r="E1074">
        <v>13</v>
      </c>
      <c r="F1074" t="s">
        <v>4498</v>
      </c>
      <c r="G1074" t="s">
        <v>4870</v>
      </c>
      <c r="J1074" t="s">
        <v>8668</v>
      </c>
      <c r="L1074">
        <v>1</v>
      </c>
      <c r="M1074" t="s">
        <v>4498</v>
      </c>
      <c r="N1074" t="s">
        <v>6395</v>
      </c>
      <c r="O1074" t="s">
        <v>104</v>
      </c>
      <c r="P1074">
        <v>11510</v>
      </c>
      <c r="Q1074">
        <v>490230</v>
      </c>
      <c r="R1074" s="16" t="s">
        <v>8487</v>
      </c>
      <c r="S1074" s="16" t="s">
        <v>8192</v>
      </c>
      <c r="T1074" t="s">
        <v>1749</v>
      </c>
      <c r="U1074">
        <v>0</v>
      </c>
    </row>
    <row r="1075" spans="1:21">
      <c r="A1075">
        <v>1063</v>
      </c>
      <c r="B1075" t="s">
        <v>1764</v>
      </c>
      <c r="C1075" t="s">
        <v>4714</v>
      </c>
      <c r="D1075">
        <v>1281</v>
      </c>
      <c r="E1075">
        <v>13</v>
      </c>
      <c r="F1075" t="s">
        <v>4603</v>
      </c>
      <c r="G1075" t="s">
        <v>4870</v>
      </c>
      <c r="J1075" t="s">
        <v>8668</v>
      </c>
      <c r="L1075">
        <v>1</v>
      </c>
      <c r="M1075" t="s">
        <v>6350</v>
      </c>
      <c r="N1075" t="s">
        <v>6349</v>
      </c>
      <c r="O1075" t="s">
        <v>12</v>
      </c>
      <c r="P1075">
        <v>10810</v>
      </c>
      <c r="Q1075">
        <v>512810</v>
      </c>
      <c r="R1075" s="16" t="s">
        <v>8360</v>
      </c>
      <c r="S1075" s="16" t="s">
        <v>8063</v>
      </c>
      <c r="T1075" t="s">
        <v>1764</v>
      </c>
      <c r="U1075">
        <v>0</v>
      </c>
    </row>
    <row r="1076" spans="1:21">
      <c r="A1076">
        <v>1062</v>
      </c>
      <c r="B1076" t="s">
        <v>1751</v>
      </c>
      <c r="C1076" t="s">
        <v>4525</v>
      </c>
      <c r="D1076">
        <v>1228</v>
      </c>
      <c r="E1076">
        <v>13</v>
      </c>
      <c r="F1076" t="s">
        <v>4425</v>
      </c>
      <c r="G1076" t="s">
        <v>4870</v>
      </c>
      <c r="J1076" t="s">
        <v>8668</v>
      </c>
      <c r="L1076">
        <v>1</v>
      </c>
      <c r="M1076" t="s">
        <v>4425</v>
      </c>
      <c r="N1076" t="s">
        <v>6315</v>
      </c>
      <c r="O1076" t="s">
        <v>104</v>
      </c>
      <c r="P1076">
        <v>10990</v>
      </c>
      <c r="Q1076">
        <v>494430</v>
      </c>
      <c r="R1076" s="16" t="s">
        <v>8453</v>
      </c>
      <c r="S1076" s="16" t="s">
        <v>8157</v>
      </c>
      <c r="T1076" t="s">
        <v>1751</v>
      </c>
      <c r="U1076">
        <v>0</v>
      </c>
    </row>
    <row r="1077" spans="1:21">
      <c r="A1077">
        <v>1079</v>
      </c>
      <c r="B1077" t="s">
        <v>7660</v>
      </c>
      <c r="C1077" t="s">
        <v>227</v>
      </c>
      <c r="D1077">
        <v>1228</v>
      </c>
      <c r="E1077">
        <v>13</v>
      </c>
      <c r="F1077" t="s">
        <v>228</v>
      </c>
      <c r="G1077" t="s">
        <v>1178</v>
      </c>
      <c r="H1077">
        <v>3</v>
      </c>
      <c r="I1077" t="s">
        <v>1179</v>
      </c>
      <c r="J1077" t="s">
        <v>8668</v>
      </c>
      <c r="L1077">
        <v>1</v>
      </c>
      <c r="M1077" t="s">
        <v>6311</v>
      </c>
      <c r="N1077" t="s">
        <v>6983</v>
      </c>
      <c r="O1077" t="s">
        <v>6984</v>
      </c>
      <c r="P1077" t="s">
        <v>6985</v>
      </c>
      <c r="Q1077">
        <v>524545</v>
      </c>
      <c r="R1077" s="16" t="s">
        <v>8441</v>
      </c>
      <c r="S1077" s="16" t="s">
        <v>8145</v>
      </c>
      <c r="T1077" t="s">
        <v>7868</v>
      </c>
      <c r="U1077">
        <v>0</v>
      </c>
    </row>
    <row r="1078" spans="1:21">
      <c r="A1078">
        <v>1085</v>
      </c>
      <c r="B1078" t="s">
        <v>7661</v>
      </c>
      <c r="C1078" t="s">
        <v>229</v>
      </c>
      <c r="D1078">
        <v>1291</v>
      </c>
      <c r="E1078">
        <v>13</v>
      </c>
      <c r="F1078" t="s">
        <v>45</v>
      </c>
      <c r="G1078" t="s">
        <v>1191</v>
      </c>
      <c r="H1078">
        <v>5</v>
      </c>
      <c r="I1078" t="s">
        <v>1192</v>
      </c>
      <c r="J1078" t="s">
        <v>8668</v>
      </c>
      <c r="L1078">
        <v>1</v>
      </c>
      <c r="M1078" t="s">
        <v>6339</v>
      </c>
      <c r="N1078" t="s">
        <v>6340</v>
      </c>
      <c r="O1078" t="s">
        <v>12</v>
      </c>
      <c r="P1078" t="s">
        <v>6341</v>
      </c>
      <c r="Q1078">
        <v>522480</v>
      </c>
      <c r="R1078" s="16" t="s">
        <v>8414</v>
      </c>
      <c r="S1078" s="16" t="s">
        <v>8118</v>
      </c>
      <c r="T1078" t="s">
        <v>7870</v>
      </c>
      <c r="U1078">
        <v>0</v>
      </c>
    </row>
    <row r="1079" spans="1:21">
      <c r="A1079">
        <v>1090</v>
      </c>
      <c r="B1079" t="s">
        <v>7662</v>
      </c>
      <c r="C1079" t="s">
        <v>1144</v>
      </c>
      <c r="D1079">
        <v>1087</v>
      </c>
      <c r="E1079">
        <v>11</v>
      </c>
      <c r="F1079" t="s">
        <v>12</v>
      </c>
      <c r="G1079" t="s">
        <v>1148</v>
      </c>
      <c r="H1079">
        <v>7</v>
      </c>
      <c r="J1079" t="s">
        <v>8668</v>
      </c>
      <c r="L1079">
        <v>0</v>
      </c>
      <c r="R1079" s="16" t="s">
        <v>8064</v>
      </c>
      <c r="S1079" s="16" t="s">
        <v>8064</v>
      </c>
      <c r="T1079" t="s">
        <v>7662</v>
      </c>
      <c r="U1079">
        <v>0</v>
      </c>
    </row>
    <row r="1080" spans="1:21">
      <c r="A1080">
        <v>1094</v>
      </c>
      <c r="B1080" t="s">
        <v>7663</v>
      </c>
      <c r="C1080">
        <v>1286</v>
      </c>
      <c r="D1080">
        <v>1286</v>
      </c>
      <c r="E1080">
        <v>13</v>
      </c>
      <c r="F1080" t="s">
        <v>231</v>
      </c>
      <c r="G1080" t="s">
        <v>1202</v>
      </c>
      <c r="H1080">
        <v>9</v>
      </c>
      <c r="J1080" t="s">
        <v>8668</v>
      </c>
      <c r="L1080">
        <v>1</v>
      </c>
      <c r="M1080" t="s">
        <v>6462</v>
      </c>
      <c r="N1080" t="s">
        <v>6463</v>
      </c>
      <c r="O1080" t="s">
        <v>12</v>
      </c>
      <c r="P1080">
        <v>-10160</v>
      </c>
      <c r="Q1080">
        <v>530000</v>
      </c>
      <c r="R1080" s="16" t="s">
        <v>8501</v>
      </c>
      <c r="S1080" s="16" t="s">
        <v>8207</v>
      </c>
      <c r="T1080" t="s">
        <v>7663</v>
      </c>
      <c r="U1080">
        <v>0</v>
      </c>
    </row>
    <row r="1081" spans="1:21">
      <c r="A1081">
        <v>1076</v>
      </c>
      <c r="B1081" t="s">
        <v>7647</v>
      </c>
      <c r="C1081">
        <v>1294</v>
      </c>
      <c r="D1081">
        <v>1294</v>
      </c>
      <c r="E1081">
        <v>13</v>
      </c>
      <c r="F1081" t="s">
        <v>104</v>
      </c>
      <c r="G1081" t="s">
        <v>1208</v>
      </c>
      <c r="H1081">
        <v>17</v>
      </c>
      <c r="I1081" t="s">
        <v>1209</v>
      </c>
      <c r="J1081" t="s">
        <v>8668</v>
      </c>
      <c r="L1081">
        <v>0</v>
      </c>
      <c r="R1081" s="16" t="s">
        <v>8064</v>
      </c>
      <c r="S1081" s="16" t="s">
        <v>8064</v>
      </c>
      <c r="T1081" t="s">
        <v>7867</v>
      </c>
      <c r="U1081">
        <v>0</v>
      </c>
    </row>
    <row r="1082" spans="1:21">
      <c r="A1082">
        <v>1077</v>
      </c>
      <c r="B1082" t="s">
        <v>7648</v>
      </c>
      <c r="C1082" t="s">
        <v>233</v>
      </c>
      <c r="D1082">
        <v>1271</v>
      </c>
      <c r="E1082">
        <v>13</v>
      </c>
      <c r="F1082" t="s">
        <v>121</v>
      </c>
      <c r="G1082" t="s">
        <v>1182</v>
      </c>
      <c r="H1082">
        <v>18</v>
      </c>
      <c r="I1082" t="s">
        <v>1183</v>
      </c>
      <c r="J1082" t="s">
        <v>8668</v>
      </c>
      <c r="L1082">
        <v>1</v>
      </c>
      <c r="M1082" t="s">
        <v>1</v>
      </c>
      <c r="N1082" t="s">
        <v>6445</v>
      </c>
      <c r="O1082" t="s">
        <v>12</v>
      </c>
      <c r="P1082" t="s">
        <v>6446</v>
      </c>
      <c r="Q1082">
        <v>515074</v>
      </c>
      <c r="R1082" s="16" t="s">
        <v>6446</v>
      </c>
      <c r="S1082" s="16" t="s">
        <v>8068</v>
      </c>
      <c r="T1082" t="s">
        <v>7648</v>
      </c>
      <c r="U1082">
        <v>0</v>
      </c>
    </row>
    <row r="1083" spans="1:21">
      <c r="A1083">
        <v>1080</v>
      </c>
      <c r="B1083" t="s">
        <v>7650</v>
      </c>
      <c r="C1083" t="s">
        <v>234</v>
      </c>
      <c r="D1083">
        <v>1226</v>
      </c>
      <c r="E1083">
        <v>13</v>
      </c>
      <c r="F1083" t="s">
        <v>235</v>
      </c>
      <c r="G1083" t="s">
        <v>1173</v>
      </c>
      <c r="H1083">
        <v>30</v>
      </c>
      <c r="I1083" t="s">
        <v>1174</v>
      </c>
      <c r="J1083" t="s">
        <v>8668</v>
      </c>
      <c r="L1083">
        <v>1</v>
      </c>
      <c r="M1083" t="s">
        <v>6362</v>
      </c>
      <c r="N1083" t="s">
        <v>6363</v>
      </c>
      <c r="O1083" t="s">
        <v>12</v>
      </c>
      <c r="P1083">
        <v>-28920</v>
      </c>
      <c r="Q1083">
        <v>531910</v>
      </c>
      <c r="R1083" s="16" t="s">
        <v>8499</v>
      </c>
      <c r="S1083" s="16" t="s">
        <v>8205</v>
      </c>
      <c r="T1083" t="s">
        <v>7869</v>
      </c>
      <c r="U1083">
        <v>0</v>
      </c>
    </row>
    <row r="1084" spans="1:21">
      <c r="A1084">
        <v>1081</v>
      </c>
      <c r="B1084" t="s">
        <v>7651</v>
      </c>
      <c r="C1084" t="s">
        <v>237</v>
      </c>
      <c r="D1084">
        <v>1298</v>
      </c>
      <c r="E1084">
        <v>13</v>
      </c>
      <c r="F1084" t="s">
        <v>11</v>
      </c>
      <c r="G1084" t="s">
        <v>1203</v>
      </c>
      <c r="H1084">
        <v>33</v>
      </c>
      <c r="I1084" t="s">
        <v>1204</v>
      </c>
      <c r="J1084" t="s">
        <v>8668</v>
      </c>
      <c r="L1084">
        <v>0</v>
      </c>
      <c r="R1084" s="16" t="s">
        <v>8064</v>
      </c>
      <c r="S1084" s="16" t="s">
        <v>8064</v>
      </c>
      <c r="T1084" t="s">
        <v>7651</v>
      </c>
      <c r="U1084">
        <v>0</v>
      </c>
    </row>
    <row r="1085" spans="1:21">
      <c r="A1085">
        <v>1082</v>
      </c>
      <c r="B1085" t="s">
        <v>5447</v>
      </c>
      <c r="C1085" t="s">
        <v>239</v>
      </c>
      <c r="D1085">
        <v>1290</v>
      </c>
      <c r="E1085">
        <v>13</v>
      </c>
      <c r="F1085" t="s">
        <v>12</v>
      </c>
      <c r="G1085" t="s">
        <v>1197</v>
      </c>
      <c r="H1085">
        <v>40</v>
      </c>
      <c r="I1085" t="s">
        <v>1198</v>
      </c>
      <c r="J1085" t="s">
        <v>8668</v>
      </c>
      <c r="L1085">
        <v>0</v>
      </c>
      <c r="R1085" s="16" t="s">
        <v>8064</v>
      </c>
      <c r="S1085" s="16" t="s">
        <v>8064</v>
      </c>
      <c r="T1085" t="s">
        <v>5447</v>
      </c>
      <c r="U1085">
        <v>0</v>
      </c>
    </row>
    <row r="1086" spans="1:21">
      <c r="A1086">
        <v>1084</v>
      </c>
      <c r="B1086" t="s">
        <v>7653</v>
      </c>
      <c r="C1086" t="s">
        <v>243</v>
      </c>
      <c r="D1086">
        <v>1210</v>
      </c>
      <c r="E1086">
        <v>13</v>
      </c>
      <c r="F1086" t="s">
        <v>121</v>
      </c>
      <c r="G1086" t="s">
        <v>1164</v>
      </c>
      <c r="H1086">
        <v>47</v>
      </c>
      <c r="I1086" t="s">
        <v>1165</v>
      </c>
      <c r="J1086" t="s">
        <v>8668</v>
      </c>
      <c r="L1086">
        <v>1</v>
      </c>
      <c r="M1086" t="s">
        <v>1</v>
      </c>
      <c r="N1086" t="s">
        <v>6445</v>
      </c>
      <c r="O1086" t="s">
        <v>12</v>
      </c>
      <c r="P1086" t="s">
        <v>6446</v>
      </c>
      <c r="Q1086">
        <v>515074</v>
      </c>
      <c r="R1086" s="16" t="s">
        <v>6446</v>
      </c>
      <c r="S1086" s="16" t="s">
        <v>8068</v>
      </c>
      <c r="T1086" t="s">
        <v>7653</v>
      </c>
      <c r="U1086">
        <v>0</v>
      </c>
    </row>
    <row r="1087" spans="1:21">
      <c r="A1087">
        <v>1086</v>
      </c>
      <c r="B1087" t="s">
        <v>7654</v>
      </c>
      <c r="C1087" t="s">
        <v>245</v>
      </c>
      <c r="D1087">
        <v>1165</v>
      </c>
      <c r="E1087">
        <v>12</v>
      </c>
      <c r="F1087" t="s">
        <v>133</v>
      </c>
      <c r="G1087" t="s">
        <v>1157</v>
      </c>
      <c r="H1087">
        <v>55</v>
      </c>
      <c r="I1087" t="s">
        <v>1158</v>
      </c>
      <c r="J1087" t="s">
        <v>8668</v>
      </c>
      <c r="L1087">
        <v>1</v>
      </c>
      <c r="M1087" t="s">
        <v>6337</v>
      </c>
      <c r="N1087" t="s">
        <v>6338</v>
      </c>
      <c r="O1087" t="s">
        <v>12</v>
      </c>
      <c r="P1087">
        <v>-27280</v>
      </c>
      <c r="Q1087">
        <v>526310</v>
      </c>
      <c r="R1087" s="16" t="s">
        <v>8438</v>
      </c>
      <c r="S1087" s="16" t="s">
        <v>8142</v>
      </c>
      <c r="T1087" t="s">
        <v>7654</v>
      </c>
      <c r="U1087">
        <v>0</v>
      </c>
    </row>
    <row r="1088" spans="1:21">
      <c r="A1088">
        <v>1088</v>
      </c>
      <c r="B1088" t="s">
        <v>5459</v>
      </c>
      <c r="C1088" t="s">
        <v>249</v>
      </c>
      <c r="D1088">
        <v>1131</v>
      </c>
      <c r="E1088">
        <v>12</v>
      </c>
      <c r="F1088" t="s">
        <v>35</v>
      </c>
      <c r="G1088" t="s">
        <v>1149</v>
      </c>
      <c r="H1088">
        <v>65</v>
      </c>
      <c r="I1088" t="s">
        <v>1150</v>
      </c>
      <c r="J1088" t="s">
        <v>8668</v>
      </c>
      <c r="K1088" s="5" t="s">
        <v>8672</v>
      </c>
      <c r="L1088">
        <v>1</v>
      </c>
      <c r="M1088" t="s">
        <v>6450</v>
      </c>
      <c r="N1088" t="s">
        <v>6451</v>
      </c>
      <c r="O1088" t="s">
        <v>12</v>
      </c>
      <c r="P1088">
        <v>-20390</v>
      </c>
      <c r="Q1088">
        <v>515870</v>
      </c>
      <c r="R1088" s="16" t="s">
        <v>8362</v>
      </c>
      <c r="S1088" s="16" t="s">
        <v>8066</v>
      </c>
      <c r="T1088" t="s">
        <v>8048</v>
      </c>
      <c r="U1088">
        <v>0</v>
      </c>
    </row>
    <row r="1089" spans="1:21">
      <c r="A1089">
        <v>1089</v>
      </c>
      <c r="B1089" t="s">
        <v>7656</v>
      </c>
      <c r="C1089" t="s">
        <v>251</v>
      </c>
      <c r="D1089">
        <v>1219</v>
      </c>
      <c r="E1089">
        <v>13</v>
      </c>
      <c r="F1089" t="s">
        <v>252</v>
      </c>
      <c r="G1089" t="s">
        <v>1171</v>
      </c>
      <c r="H1089">
        <v>66</v>
      </c>
      <c r="I1089" t="s">
        <v>1172</v>
      </c>
      <c r="J1089" t="s">
        <v>8668</v>
      </c>
      <c r="L1089">
        <v>1</v>
      </c>
      <c r="M1089" t="s">
        <v>6439</v>
      </c>
      <c r="N1089" t="s">
        <v>6331</v>
      </c>
      <c r="O1089" t="s">
        <v>12</v>
      </c>
      <c r="P1089" t="s">
        <v>6440</v>
      </c>
      <c r="Q1089">
        <v>532300</v>
      </c>
      <c r="R1089" s="16" t="s">
        <v>8454</v>
      </c>
      <c r="S1089" s="16" t="s">
        <v>8158</v>
      </c>
      <c r="T1089" t="s">
        <v>7656</v>
      </c>
      <c r="U1089">
        <v>0</v>
      </c>
    </row>
    <row r="1090" spans="1:21">
      <c r="A1090">
        <v>1091</v>
      </c>
      <c r="B1090" t="s">
        <v>7657</v>
      </c>
      <c r="C1090" t="s">
        <v>255</v>
      </c>
      <c r="D1090">
        <v>1203</v>
      </c>
      <c r="E1090">
        <v>13</v>
      </c>
      <c r="F1090" t="s">
        <v>13</v>
      </c>
      <c r="G1090" t="s">
        <v>1166</v>
      </c>
      <c r="H1090">
        <v>80</v>
      </c>
      <c r="I1090" t="s">
        <v>1167</v>
      </c>
      <c r="J1090" t="s">
        <v>8668</v>
      </c>
      <c r="L1090">
        <v>1</v>
      </c>
      <c r="M1090" t="s">
        <v>6348</v>
      </c>
      <c r="N1090" t="s">
        <v>6349</v>
      </c>
      <c r="O1090" t="s">
        <v>12</v>
      </c>
      <c r="P1090">
        <v>10810</v>
      </c>
      <c r="Q1090">
        <v>512810</v>
      </c>
      <c r="R1090" s="16" t="s">
        <v>8360</v>
      </c>
      <c r="S1090" s="16" t="s">
        <v>8063</v>
      </c>
      <c r="T1090" t="s">
        <v>7657</v>
      </c>
      <c r="U1090">
        <v>0</v>
      </c>
    </row>
    <row r="1091" spans="1:21">
      <c r="A1091">
        <v>1093</v>
      </c>
      <c r="B1091" t="s">
        <v>7659</v>
      </c>
      <c r="C1091" t="s">
        <v>260</v>
      </c>
      <c r="D1091">
        <v>1278</v>
      </c>
      <c r="E1091">
        <v>13</v>
      </c>
      <c r="F1091" t="s">
        <v>261</v>
      </c>
      <c r="G1091" t="s">
        <v>1184</v>
      </c>
      <c r="H1091">
        <v>88</v>
      </c>
      <c r="I1091" t="s">
        <v>1185</v>
      </c>
      <c r="J1091" t="s">
        <v>8668</v>
      </c>
      <c r="L1091">
        <v>1</v>
      </c>
      <c r="M1091" t="s">
        <v>6870</v>
      </c>
      <c r="N1091" t="s">
        <v>6363</v>
      </c>
      <c r="O1091" t="s">
        <v>12</v>
      </c>
      <c r="P1091" t="s">
        <v>6871</v>
      </c>
      <c r="Q1091" t="s">
        <v>6872</v>
      </c>
      <c r="R1091" s="16" t="s">
        <v>8500</v>
      </c>
      <c r="S1091" s="16" t="s">
        <v>8206</v>
      </c>
      <c r="T1091" t="s">
        <v>7659</v>
      </c>
      <c r="U1091">
        <v>0</v>
      </c>
    </row>
    <row r="1092" spans="1:21">
      <c r="A1092">
        <v>1065</v>
      </c>
      <c r="B1092" t="s">
        <v>7638</v>
      </c>
      <c r="C1092" t="s">
        <v>262</v>
      </c>
      <c r="D1092">
        <v>1289</v>
      </c>
      <c r="E1092">
        <v>13</v>
      </c>
      <c r="F1092" t="s">
        <v>12</v>
      </c>
      <c r="G1092" t="s">
        <v>1189</v>
      </c>
      <c r="H1092">
        <v>102</v>
      </c>
      <c r="I1092" t="s">
        <v>1190</v>
      </c>
      <c r="J1092" t="s">
        <v>8668</v>
      </c>
      <c r="L1092">
        <v>0</v>
      </c>
      <c r="R1092" s="16" t="s">
        <v>8064</v>
      </c>
      <c r="S1092" s="16" t="s">
        <v>8064</v>
      </c>
      <c r="T1092" t="s">
        <v>7863</v>
      </c>
      <c r="U1092">
        <v>0</v>
      </c>
    </row>
    <row r="1093" spans="1:21">
      <c r="A1093">
        <v>1066</v>
      </c>
      <c r="B1093" t="s">
        <v>7639</v>
      </c>
      <c r="C1093" t="s">
        <v>264</v>
      </c>
      <c r="D1093">
        <v>1287</v>
      </c>
      <c r="E1093">
        <v>13</v>
      </c>
      <c r="F1093" t="s">
        <v>12</v>
      </c>
      <c r="G1093" t="s">
        <v>1193</v>
      </c>
      <c r="H1093">
        <v>106</v>
      </c>
      <c r="I1093" t="s">
        <v>1194</v>
      </c>
      <c r="J1093" t="s">
        <v>8668</v>
      </c>
      <c r="L1093">
        <v>0</v>
      </c>
      <c r="R1093" s="16" t="s">
        <v>8064</v>
      </c>
      <c r="S1093" s="16" t="s">
        <v>8064</v>
      </c>
      <c r="T1093" t="s">
        <v>7639</v>
      </c>
      <c r="U1093">
        <v>0</v>
      </c>
    </row>
    <row r="1094" spans="1:21">
      <c r="A1094">
        <v>1067</v>
      </c>
      <c r="B1094" t="s">
        <v>7640</v>
      </c>
      <c r="C1094" t="s">
        <v>266</v>
      </c>
      <c r="D1094">
        <v>1288</v>
      </c>
      <c r="E1094">
        <v>13</v>
      </c>
      <c r="F1094" t="s">
        <v>267</v>
      </c>
      <c r="G1094" t="s">
        <v>1195</v>
      </c>
      <c r="H1094">
        <v>109</v>
      </c>
      <c r="I1094" t="s">
        <v>1196</v>
      </c>
      <c r="J1094" t="s">
        <v>8668</v>
      </c>
      <c r="L1094">
        <v>1</v>
      </c>
      <c r="M1094" t="s">
        <v>1</v>
      </c>
      <c r="N1094" t="s">
        <v>6445</v>
      </c>
      <c r="O1094" t="s">
        <v>12</v>
      </c>
      <c r="P1094" t="s">
        <v>6446</v>
      </c>
      <c r="Q1094">
        <v>515074</v>
      </c>
      <c r="R1094" s="16" t="s">
        <v>6446</v>
      </c>
      <c r="S1094" s="16" t="s">
        <v>8068</v>
      </c>
      <c r="T1094" t="s">
        <v>7640</v>
      </c>
      <c r="U1094">
        <v>0</v>
      </c>
    </row>
    <row r="1095" spans="1:21">
      <c r="A1095">
        <v>1068</v>
      </c>
      <c r="B1095" t="s">
        <v>5494</v>
      </c>
      <c r="C1095" t="s">
        <v>1199</v>
      </c>
      <c r="D1095">
        <v>1295</v>
      </c>
      <c r="E1095">
        <v>13</v>
      </c>
      <c r="F1095" t="s">
        <v>121</v>
      </c>
      <c r="G1095" t="s">
        <v>1200</v>
      </c>
      <c r="H1095">
        <v>121</v>
      </c>
      <c r="I1095" t="s">
        <v>1201</v>
      </c>
      <c r="J1095" t="s">
        <v>8668</v>
      </c>
      <c r="K1095" t="s">
        <v>8668</v>
      </c>
      <c r="L1095">
        <v>1</v>
      </c>
      <c r="M1095" t="s">
        <v>1</v>
      </c>
      <c r="N1095" t="s">
        <v>6445</v>
      </c>
      <c r="O1095" t="s">
        <v>12</v>
      </c>
      <c r="P1095" t="s">
        <v>6446</v>
      </c>
      <c r="Q1095">
        <v>515074</v>
      </c>
      <c r="R1095" s="16" t="s">
        <v>6446</v>
      </c>
      <c r="S1095" s="16" t="s">
        <v>8068</v>
      </c>
      <c r="T1095" t="s">
        <v>8051</v>
      </c>
      <c r="U1095">
        <v>0</v>
      </c>
    </row>
    <row r="1096" spans="1:21">
      <c r="A1096">
        <v>1069</v>
      </c>
      <c r="B1096" t="s">
        <v>7641</v>
      </c>
      <c r="C1096" t="s">
        <v>1144</v>
      </c>
      <c r="D1096">
        <v>1087</v>
      </c>
      <c r="E1096">
        <v>11</v>
      </c>
      <c r="F1096" t="s">
        <v>12</v>
      </c>
      <c r="G1096" t="s">
        <v>1145</v>
      </c>
      <c r="H1096">
        <v>126</v>
      </c>
      <c r="I1096" t="s">
        <v>1146</v>
      </c>
      <c r="J1096" t="s">
        <v>8668</v>
      </c>
      <c r="L1096">
        <v>0</v>
      </c>
      <c r="R1096" s="16" t="s">
        <v>8064</v>
      </c>
      <c r="S1096" s="16" t="s">
        <v>8064</v>
      </c>
      <c r="T1096" t="s">
        <v>7641</v>
      </c>
      <c r="U1096">
        <v>0</v>
      </c>
    </row>
    <row r="1097" spans="1:21">
      <c r="A1097">
        <v>1070</v>
      </c>
      <c r="B1097" t="s">
        <v>5497</v>
      </c>
      <c r="C1097" t="s">
        <v>1205</v>
      </c>
      <c r="D1097">
        <v>1291</v>
      </c>
      <c r="E1097">
        <v>13</v>
      </c>
      <c r="F1097" t="s">
        <v>12</v>
      </c>
      <c r="G1097" t="s">
        <v>1206</v>
      </c>
      <c r="H1097">
        <v>130</v>
      </c>
      <c r="I1097" t="s">
        <v>1207</v>
      </c>
      <c r="J1097" t="s">
        <v>8668</v>
      </c>
      <c r="L1097">
        <v>0</v>
      </c>
      <c r="R1097" s="16" t="s">
        <v>8064</v>
      </c>
      <c r="S1097" s="16" t="s">
        <v>8064</v>
      </c>
      <c r="T1097" t="s">
        <v>8052</v>
      </c>
      <c r="U1097">
        <v>0</v>
      </c>
    </row>
    <row r="1098" spans="1:21">
      <c r="A1098">
        <v>1071</v>
      </c>
      <c r="B1098" t="s">
        <v>7642</v>
      </c>
      <c r="C1098" t="s">
        <v>1175</v>
      </c>
      <c r="D1098">
        <v>1235</v>
      </c>
      <c r="E1098">
        <v>13</v>
      </c>
      <c r="F1098" t="s">
        <v>3989</v>
      </c>
      <c r="G1098" t="s">
        <v>1176</v>
      </c>
      <c r="H1098">
        <v>139</v>
      </c>
      <c r="I1098" t="s">
        <v>1177</v>
      </c>
      <c r="J1098" t="s">
        <v>8668</v>
      </c>
      <c r="L1098">
        <v>1</v>
      </c>
      <c r="M1098" t="s">
        <v>6478</v>
      </c>
      <c r="N1098" t="s">
        <v>6451</v>
      </c>
      <c r="O1098" t="s">
        <v>12</v>
      </c>
      <c r="P1098">
        <v>-17930</v>
      </c>
      <c r="Q1098">
        <v>510680</v>
      </c>
      <c r="R1098" s="16" t="s">
        <v>8444</v>
      </c>
      <c r="S1098" s="16" t="s">
        <v>8148</v>
      </c>
      <c r="T1098" t="s">
        <v>7642</v>
      </c>
      <c r="U1098">
        <v>0</v>
      </c>
    </row>
    <row r="1099" spans="1:21">
      <c r="A1099">
        <v>1072</v>
      </c>
      <c r="B1099" t="s">
        <v>7643</v>
      </c>
      <c r="C1099" t="s">
        <v>1168</v>
      </c>
      <c r="D1099">
        <v>1218</v>
      </c>
      <c r="E1099">
        <v>13</v>
      </c>
      <c r="F1099" t="s">
        <v>12</v>
      </c>
      <c r="G1099" t="s">
        <v>1169</v>
      </c>
      <c r="H1099">
        <v>148</v>
      </c>
      <c r="I1099" t="s">
        <v>1170</v>
      </c>
      <c r="J1099" t="s">
        <v>8668</v>
      </c>
      <c r="L1099">
        <v>0</v>
      </c>
      <c r="R1099" s="16" t="s">
        <v>8064</v>
      </c>
      <c r="S1099" s="16" t="s">
        <v>8064</v>
      </c>
      <c r="T1099" t="s">
        <v>7864</v>
      </c>
      <c r="U1099">
        <v>0</v>
      </c>
    </row>
    <row r="1100" spans="1:21">
      <c r="A1100">
        <v>1073</v>
      </c>
      <c r="B1100" t="s">
        <v>7644</v>
      </c>
      <c r="C1100" t="s">
        <v>1186</v>
      </c>
      <c r="D1100">
        <v>1282</v>
      </c>
      <c r="E1100">
        <v>13</v>
      </c>
      <c r="F1100" t="s">
        <v>112</v>
      </c>
      <c r="G1100" t="s">
        <v>1187</v>
      </c>
      <c r="H1100">
        <v>150</v>
      </c>
      <c r="I1100" t="s">
        <v>1188</v>
      </c>
      <c r="J1100" t="s">
        <v>8668</v>
      </c>
      <c r="L1100">
        <v>1</v>
      </c>
      <c r="M1100" t="s">
        <v>6684</v>
      </c>
      <c r="N1100" t="s">
        <v>6346</v>
      </c>
      <c r="O1100" t="s">
        <v>12</v>
      </c>
      <c r="P1100" t="s">
        <v>6685</v>
      </c>
      <c r="Q1100" t="s">
        <v>6686</v>
      </c>
      <c r="R1100" s="16" t="s">
        <v>8420</v>
      </c>
      <c r="S1100" s="16" t="s">
        <v>8124</v>
      </c>
      <c r="T1100" t="s">
        <v>7865</v>
      </c>
      <c r="U1100">
        <v>0</v>
      </c>
    </row>
    <row r="1101" spans="1:21">
      <c r="A1101">
        <v>1074</v>
      </c>
      <c r="B1101" t="s">
        <v>7645</v>
      </c>
      <c r="C1101" t="s">
        <v>1154</v>
      </c>
      <c r="D1101">
        <v>1148</v>
      </c>
      <c r="E1101">
        <v>12</v>
      </c>
      <c r="F1101" t="s">
        <v>3993</v>
      </c>
      <c r="G1101" t="s">
        <v>1155</v>
      </c>
      <c r="H1101">
        <v>152</v>
      </c>
      <c r="I1101" t="s">
        <v>1156</v>
      </c>
      <c r="J1101" t="s">
        <v>8668</v>
      </c>
      <c r="L1101">
        <v>1</v>
      </c>
      <c r="M1101" t="s">
        <v>6960</v>
      </c>
      <c r="N1101" t="s">
        <v>6420</v>
      </c>
      <c r="O1101" t="s">
        <v>12</v>
      </c>
      <c r="P1101" t="s">
        <v>6961</v>
      </c>
      <c r="Q1101" t="s">
        <v>6962</v>
      </c>
      <c r="R1101" s="16" t="s">
        <v>8356</v>
      </c>
      <c r="S1101" s="16" t="s">
        <v>8059</v>
      </c>
      <c r="T1101" t="s">
        <v>7645</v>
      </c>
      <c r="U1101">
        <v>0</v>
      </c>
    </row>
    <row r="1102" spans="1:21">
      <c r="A1102">
        <v>1075</v>
      </c>
      <c r="B1102" t="s">
        <v>7646</v>
      </c>
      <c r="C1102" t="s">
        <v>1151</v>
      </c>
      <c r="D1102">
        <v>1149</v>
      </c>
      <c r="E1102">
        <v>12</v>
      </c>
      <c r="F1102" t="s">
        <v>3995</v>
      </c>
      <c r="G1102" t="s">
        <v>1152</v>
      </c>
      <c r="H1102">
        <v>165</v>
      </c>
      <c r="I1102" t="s">
        <v>1153</v>
      </c>
      <c r="J1102" t="s">
        <v>8668</v>
      </c>
      <c r="L1102">
        <v>1</v>
      </c>
      <c r="M1102" t="s">
        <v>3995</v>
      </c>
      <c r="N1102" t="s">
        <v>3995</v>
      </c>
      <c r="O1102" t="s">
        <v>3995</v>
      </c>
      <c r="P1102" t="s">
        <v>6556</v>
      </c>
      <c r="Q1102" t="s">
        <v>6557</v>
      </c>
      <c r="R1102" s="16" t="s">
        <v>6556</v>
      </c>
      <c r="S1102" s="16" t="s">
        <v>6557</v>
      </c>
      <c r="T1102" t="s">
        <v>7866</v>
      </c>
      <c r="U1102">
        <v>0</v>
      </c>
    </row>
    <row r="1103" spans="1:21">
      <c r="A1103">
        <v>1078</v>
      </c>
      <c r="B1103" t="s">
        <v>7649</v>
      </c>
      <c r="C1103" t="s">
        <v>1161</v>
      </c>
      <c r="D1103">
        <v>1208</v>
      </c>
      <c r="E1103">
        <v>13</v>
      </c>
      <c r="F1103" t="s">
        <v>3997</v>
      </c>
      <c r="G1103" t="s">
        <v>1162</v>
      </c>
      <c r="H1103">
        <v>192</v>
      </c>
      <c r="I1103" t="s">
        <v>1163</v>
      </c>
      <c r="J1103" t="s">
        <v>8668</v>
      </c>
      <c r="L1103">
        <v>1</v>
      </c>
      <c r="M1103" t="s">
        <v>6430</v>
      </c>
      <c r="N1103" t="s">
        <v>6431</v>
      </c>
      <c r="O1103" t="s">
        <v>12</v>
      </c>
      <c r="P1103" t="s">
        <v>6432</v>
      </c>
      <c r="Q1103">
        <v>514680</v>
      </c>
      <c r="R1103" s="16" t="s">
        <v>8498</v>
      </c>
      <c r="S1103" s="16" t="s">
        <v>8204</v>
      </c>
      <c r="T1103" t="s">
        <v>7649</v>
      </c>
      <c r="U1103">
        <v>0</v>
      </c>
    </row>
    <row r="1104" spans="1:21">
      <c r="A1104">
        <v>1083</v>
      </c>
      <c r="B1104" t="s">
        <v>7652</v>
      </c>
      <c r="C1104" t="s">
        <v>3</v>
      </c>
      <c r="D1104">
        <v>1194</v>
      </c>
      <c r="E1104">
        <v>12</v>
      </c>
      <c r="F1104" t="s">
        <v>121</v>
      </c>
      <c r="G1104" t="s">
        <v>1159</v>
      </c>
      <c r="H1104">
        <v>42</v>
      </c>
      <c r="I1104" t="s">
        <v>9345</v>
      </c>
      <c r="J1104" t="s">
        <v>8727</v>
      </c>
      <c r="L1104">
        <v>1</v>
      </c>
      <c r="M1104" t="s">
        <v>1</v>
      </c>
      <c r="N1104" t="s">
        <v>6445</v>
      </c>
      <c r="O1104" t="s">
        <v>12</v>
      </c>
      <c r="P1104" t="s">
        <v>6446</v>
      </c>
      <c r="Q1104">
        <v>515074</v>
      </c>
      <c r="R1104" s="16" t="s">
        <v>6446</v>
      </c>
      <c r="S1104" s="16" t="s">
        <v>8068</v>
      </c>
      <c r="T1104" t="s">
        <v>7652</v>
      </c>
      <c r="U1104">
        <v>1</v>
      </c>
    </row>
    <row r="1105" spans="1:21">
      <c r="A1105">
        <v>1087</v>
      </c>
      <c r="B1105" t="s">
        <v>7655</v>
      </c>
      <c r="C1105" t="s">
        <v>247</v>
      </c>
      <c r="D1105">
        <v>1259</v>
      </c>
      <c r="E1105">
        <v>13</v>
      </c>
      <c r="F1105" t="s">
        <v>248</v>
      </c>
      <c r="G1105" t="s">
        <v>1180</v>
      </c>
      <c r="H1105">
        <v>63</v>
      </c>
      <c r="I1105" t="s">
        <v>1181</v>
      </c>
      <c r="J1105" t="s">
        <v>8725</v>
      </c>
      <c r="L1105">
        <v>1</v>
      </c>
      <c r="M1105" t="s">
        <v>1</v>
      </c>
      <c r="N1105" t="s">
        <v>6445</v>
      </c>
      <c r="O1105" t="s">
        <v>12</v>
      </c>
      <c r="P1105" t="s">
        <v>6446</v>
      </c>
      <c r="Q1105">
        <v>515074</v>
      </c>
      <c r="R1105" s="16" t="s">
        <v>6446</v>
      </c>
      <c r="S1105" s="16" t="s">
        <v>8068</v>
      </c>
      <c r="T1105" t="s">
        <v>7655</v>
      </c>
      <c r="U1105">
        <v>1</v>
      </c>
    </row>
    <row r="1106" spans="1:21">
      <c r="A1106">
        <v>1092</v>
      </c>
      <c r="B1106" t="s">
        <v>7658</v>
      </c>
      <c r="C1106" t="s">
        <v>257</v>
      </c>
      <c r="D1106">
        <v>1061</v>
      </c>
      <c r="E1106">
        <v>11</v>
      </c>
      <c r="F1106" t="s">
        <v>258</v>
      </c>
      <c r="G1106" t="s">
        <v>1142</v>
      </c>
      <c r="H1106">
        <v>87</v>
      </c>
      <c r="I1106" t="s">
        <v>1143</v>
      </c>
      <c r="J1106" t="s">
        <v>8726</v>
      </c>
      <c r="L1106">
        <v>1</v>
      </c>
      <c r="M1106" t="s">
        <v>6396</v>
      </c>
      <c r="N1106" t="s">
        <v>6397</v>
      </c>
      <c r="O1106" t="s">
        <v>12</v>
      </c>
      <c r="P1106">
        <v>-35330</v>
      </c>
      <c r="Q1106">
        <v>507180</v>
      </c>
      <c r="R1106" s="16" t="s">
        <v>8359</v>
      </c>
      <c r="S1106" s="16" t="s">
        <v>8062</v>
      </c>
      <c r="T1106" t="s">
        <v>7658</v>
      </c>
      <c r="U1106">
        <v>1</v>
      </c>
    </row>
    <row r="1107" spans="1:21">
      <c r="A1107">
        <v>1106</v>
      </c>
      <c r="B1107" t="s">
        <v>9171</v>
      </c>
      <c r="C1107" t="s">
        <v>2677</v>
      </c>
      <c r="D1107">
        <v>1190</v>
      </c>
      <c r="E1107">
        <v>12</v>
      </c>
      <c r="F1107" t="s">
        <v>1444</v>
      </c>
      <c r="G1107" t="s">
        <v>9265</v>
      </c>
      <c r="I1107" t="s">
        <v>2727</v>
      </c>
      <c r="J1107" t="s">
        <v>8866</v>
      </c>
      <c r="L1107">
        <v>0</v>
      </c>
      <c r="R1107" s="16" t="s">
        <v>8064</v>
      </c>
      <c r="S1107" s="16" t="s">
        <v>8064</v>
      </c>
      <c r="T1107" t="s">
        <v>8856</v>
      </c>
      <c r="U1107">
        <v>1</v>
      </c>
    </row>
    <row r="1108" spans="1:21">
      <c r="A1108">
        <v>1109</v>
      </c>
      <c r="B1108" t="s">
        <v>2641</v>
      </c>
      <c r="C1108" t="s">
        <v>4859</v>
      </c>
      <c r="D1108">
        <v>1168</v>
      </c>
      <c r="E1108">
        <v>12</v>
      </c>
      <c r="F1108" t="s">
        <v>2624</v>
      </c>
      <c r="G1108" t="s">
        <v>9266</v>
      </c>
      <c r="I1108" t="s">
        <v>2711</v>
      </c>
      <c r="J1108" t="s">
        <v>8731</v>
      </c>
      <c r="L1108">
        <v>1</v>
      </c>
      <c r="M1108" t="s">
        <v>2678</v>
      </c>
      <c r="N1108" t="s">
        <v>6305</v>
      </c>
      <c r="O1108" t="s">
        <v>104</v>
      </c>
      <c r="P1108">
        <v>36240</v>
      </c>
      <c r="Q1108">
        <v>495640</v>
      </c>
      <c r="R1108" s="16" t="s">
        <v>8617</v>
      </c>
      <c r="S1108" s="16" t="s">
        <v>8323</v>
      </c>
      <c r="T1108" t="s">
        <v>2641</v>
      </c>
      <c r="U1108">
        <v>1</v>
      </c>
    </row>
    <row r="1109" spans="1:21">
      <c r="A1109">
        <v>1124</v>
      </c>
      <c r="B1109" t="s">
        <v>2658</v>
      </c>
      <c r="C1109" t="s">
        <v>2685</v>
      </c>
      <c r="D1109">
        <v>1244</v>
      </c>
      <c r="E1109">
        <v>13</v>
      </c>
      <c r="F1109" t="s">
        <v>1444</v>
      </c>
      <c r="G1109" t="s">
        <v>9267</v>
      </c>
      <c r="I1109" t="s">
        <v>2739</v>
      </c>
      <c r="J1109" t="s">
        <v>8867</v>
      </c>
      <c r="L1109">
        <v>0</v>
      </c>
      <c r="R1109" s="16" t="s">
        <v>8064</v>
      </c>
      <c r="S1109" s="16" t="s">
        <v>8064</v>
      </c>
      <c r="T1109" t="s">
        <v>2658</v>
      </c>
      <c r="U1109">
        <v>1</v>
      </c>
    </row>
    <row r="1110" spans="1:21">
      <c r="A1110">
        <v>1138</v>
      </c>
      <c r="B1110" t="s">
        <v>2644</v>
      </c>
      <c r="C1110" t="s">
        <v>2675</v>
      </c>
      <c r="D1110">
        <v>1178</v>
      </c>
      <c r="E1110">
        <v>12</v>
      </c>
      <c r="F1110" t="s">
        <v>1444</v>
      </c>
      <c r="G1110" t="s">
        <v>9267</v>
      </c>
      <c r="I1110" t="s">
        <v>2726</v>
      </c>
      <c r="J1110" t="s">
        <v>8868</v>
      </c>
      <c r="L1110">
        <v>0</v>
      </c>
      <c r="R1110" s="16" t="s">
        <v>8064</v>
      </c>
      <c r="S1110" s="16" t="s">
        <v>8064</v>
      </c>
      <c r="T1110" t="s">
        <v>8002</v>
      </c>
      <c r="U1110">
        <v>1</v>
      </c>
    </row>
    <row r="1111" spans="1:21">
      <c r="A1111">
        <v>1500</v>
      </c>
      <c r="B1111" t="s">
        <v>9347</v>
      </c>
      <c r="C1111" t="s">
        <v>9348</v>
      </c>
      <c r="D1111">
        <v>1184</v>
      </c>
      <c r="E1111">
        <v>12</v>
      </c>
      <c r="F1111" t="s">
        <v>9349</v>
      </c>
      <c r="G1111" t="s">
        <v>9267</v>
      </c>
      <c r="I1111" t="s">
        <v>2726</v>
      </c>
      <c r="J1111" t="s">
        <v>8868</v>
      </c>
      <c r="L1111">
        <v>0</v>
      </c>
      <c r="T1111" t="s">
        <v>8002</v>
      </c>
      <c r="U1111">
        <v>1</v>
      </c>
    </row>
    <row r="1112" spans="1:21">
      <c r="A1112">
        <v>1111</v>
      </c>
      <c r="B1112" t="s">
        <v>2669</v>
      </c>
      <c r="C1112" t="s">
        <v>2694</v>
      </c>
      <c r="D1112">
        <v>1291</v>
      </c>
      <c r="E1112">
        <v>13</v>
      </c>
      <c r="F1112" t="s">
        <v>2705</v>
      </c>
      <c r="G1112" t="s">
        <v>9268</v>
      </c>
      <c r="I1112" t="s">
        <v>2751</v>
      </c>
      <c r="J1112" t="s">
        <v>8733</v>
      </c>
      <c r="L1112">
        <v>1</v>
      </c>
      <c r="M1112" t="s">
        <v>4507</v>
      </c>
      <c r="N1112" t="s">
        <v>6485</v>
      </c>
      <c r="O1112" t="s">
        <v>104</v>
      </c>
      <c r="P1112">
        <v>32960</v>
      </c>
      <c r="Q1112">
        <v>493810</v>
      </c>
      <c r="R1112" s="16" t="s">
        <v>8580</v>
      </c>
      <c r="S1112" s="16" t="s">
        <v>8285</v>
      </c>
      <c r="T1112" t="s">
        <v>2669</v>
      </c>
      <c r="U1112">
        <v>1</v>
      </c>
    </row>
    <row r="1113" spans="1:21">
      <c r="A1113">
        <v>1120</v>
      </c>
      <c r="B1113" t="s">
        <v>2670</v>
      </c>
      <c r="C1113" t="s">
        <v>2695</v>
      </c>
      <c r="D1113">
        <v>1291</v>
      </c>
      <c r="E1113">
        <v>13</v>
      </c>
      <c r="F1113" t="s">
        <v>2678</v>
      </c>
      <c r="G1113" t="s">
        <v>9269</v>
      </c>
      <c r="I1113" t="s">
        <v>2752</v>
      </c>
      <c r="J1113" t="s">
        <v>8735</v>
      </c>
      <c r="L1113">
        <v>1</v>
      </c>
      <c r="M1113" t="s">
        <v>2678</v>
      </c>
      <c r="N1113" t="s">
        <v>6305</v>
      </c>
      <c r="O1113" t="s">
        <v>104</v>
      </c>
      <c r="P1113">
        <v>36240</v>
      </c>
      <c r="Q1113">
        <v>495640</v>
      </c>
      <c r="R1113" s="16" t="s">
        <v>8617</v>
      </c>
      <c r="S1113" s="16" t="s">
        <v>8323</v>
      </c>
      <c r="T1113" t="s">
        <v>2670</v>
      </c>
      <c r="U1113">
        <v>1</v>
      </c>
    </row>
    <row r="1114" spans="1:21">
      <c r="A1114">
        <v>1130</v>
      </c>
      <c r="B1114" t="s">
        <v>2654</v>
      </c>
      <c r="C1114" t="s">
        <v>2682</v>
      </c>
      <c r="D1114">
        <v>1223</v>
      </c>
      <c r="E1114">
        <v>13</v>
      </c>
      <c r="F1114" t="s">
        <v>2696</v>
      </c>
      <c r="G1114" t="s">
        <v>9270</v>
      </c>
      <c r="I1114" t="s">
        <v>2735</v>
      </c>
      <c r="J1114" t="s">
        <v>8736</v>
      </c>
      <c r="L1114">
        <v>1</v>
      </c>
      <c r="M1114" t="s">
        <v>6711</v>
      </c>
      <c r="N1114" t="s">
        <v>6658</v>
      </c>
      <c r="O1114" t="s">
        <v>104</v>
      </c>
      <c r="P1114" t="s">
        <v>6712</v>
      </c>
      <c r="Q1114" t="s">
        <v>6713</v>
      </c>
      <c r="R1114" s="16" t="s">
        <v>6712</v>
      </c>
      <c r="S1114" s="16" t="s">
        <v>8321</v>
      </c>
      <c r="T1114" t="s">
        <v>2654</v>
      </c>
      <c r="U1114">
        <v>1</v>
      </c>
    </row>
    <row r="1115" spans="1:21">
      <c r="A1115">
        <v>1137</v>
      </c>
      <c r="B1115" t="s">
        <v>2650</v>
      </c>
      <c r="C1115" t="s">
        <v>2680</v>
      </c>
      <c r="D1115">
        <v>1195</v>
      </c>
      <c r="E1115">
        <v>12</v>
      </c>
      <c r="F1115" t="s">
        <v>2701</v>
      </c>
      <c r="G1115" t="s">
        <v>9271</v>
      </c>
      <c r="I1115" t="s">
        <v>2729</v>
      </c>
      <c r="J1115" t="s">
        <v>8737</v>
      </c>
      <c r="L1115">
        <v>1</v>
      </c>
      <c r="M1115" t="s">
        <v>2701</v>
      </c>
      <c r="N1115" t="s">
        <v>6456</v>
      </c>
      <c r="O1115" t="s">
        <v>104</v>
      </c>
      <c r="P1115">
        <v>26550</v>
      </c>
      <c r="Q1115">
        <v>485390</v>
      </c>
      <c r="R1115" s="16" t="s">
        <v>8615</v>
      </c>
      <c r="S1115" s="16" t="s">
        <v>8322</v>
      </c>
      <c r="T1115" t="s">
        <v>2650</v>
      </c>
      <c r="U1115">
        <v>1</v>
      </c>
    </row>
    <row r="1116" spans="1:21">
      <c r="A1116">
        <v>1113</v>
      </c>
      <c r="B1116" t="s">
        <v>4864</v>
      </c>
      <c r="C1116">
        <v>1261</v>
      </c>
      <c r="D1116">
        <v>1261</v>
      </c>
      <c r="E1116">
        <v>13</v>
      </c>
      <c r="F1116" t="s">
        <v>2624</v>
      </c>
      <c r="G1116" t="s">
        <v>9272</v>
      </c>
      <c r="I1116" t="s">
        <v>2747</v>
      </c>
      <c r="J1116" t="s">
        <v>8734</v>
      </c>
      <c r="L1116">
        <v>1</v>
      </c>
      <c r="M1116" t="s">
        <v>2678</v>
      </c>
      <c r="N1116" t="s">
        <v>6305</v>
      </c>
      <c r="O1116" t="s">
        <v>104</v>
      </c>
      <c r="P1116">
        <v>36240</v>
      </c>
      <c r="Q1116">
        <v>495640</v>
      </c>
      <c r="R1116" s="16" t="s">
        <v>8617</v>
      </c>
      <c r="S1116" s="16" t="s">
        <v>8323</v>
      </c>
      <c r="T1116" t="s">
        <v>8033</v>
      </c>
      <c r="U1116">
        <v>1</v>
      </c>
    </row>
    <row r="1117" spans="1:21">
      <c r="A1117">
        <v>1110</v>
      </c>
      <c r="B1117" t="s">
        <v>8845</v>
      </c>
      <c r="C1117" t="s">
        <v>4759</v>
      </c>
      <c r="D1117">
        <v>1179</v>
      </c>
      <c r="E1117">
        <v>12</v>
      </c>
      <c r="F1117" t="s">
        <v>1444</v>
      </c>
      <c r="G1117" t="s">
        <v>4855</v>
      </c>
      <c r="I1117" t="s">
        <v>2714</v>
      </c>
      <c r="J1117" t="s">
        <v>8668</v>
      </c>
      <c r="L1117">
        <v>0</v>
      </c>
      <c r="R1117" s="16" t="s">
        <v>8064</v>
      </c>
      <c r="S1117" s="16" t="s">
        <v>8064</v>
      </c>
      <c r="T1117" t="s">
        <v>9359</v>
      </c>
      <c r="U1117">
        <v>0</v>
      </c>
    </row>
    <row r="1118" spans="1:21">
      <c r="A1118">
        <v>1131</v>
      </c>
      <c r="B1118" t="s">
        <v>8846</v>
      </c>
      <c r="C1118" t="s">
        <v>2690</v>
      </c>
      <c r="D1118">
        <v>1263</v>
      </c>
      <c r="E1118">
        <v>13</v>
      </c>
      <c r="F1118" t="s">
        <v>1444</v>
      </c>
      <c r="G1118" t="s">
        <v>4855</v>
      </c>
      <c r="I1118" t="s">
        <v>2745</v>
      </c>
      <c r="J1118" t="s">
        <v>8668</v>
      </c>
      <c r="L1118">
        <v>0</v>
      </c>
      <c r="R1118" s="16" t="s">
        <v>8064</v>
      </c>
      <c r="S1118" s="16" t="s">
        <v>8064</v>
      </c>
      <c r="T1118" t="s">
        <v>8846</v>
      </c>
      <c r="U1118">
        <v>0</v>
      </c>
    </row>
    <row r="1119" spans="1:21">
      <c r="A1119">
        <v>1101</v>
      </c>
      <c r="B1119" t="s">
        <v>8847</v>
      </c>
      <c r="C1119" t="s">
        <v>2631</v>
      </c>
      <c r="D1119">
        <v>1148</v>
      </c>
      <c r="E1119">
        <v>12</v>
      </c>
      <c r="F1119" t="s">
        <v>1444</v>
      </c>
      <c r="G1119" t="s">
        <v>4855</v>
      </c>
      <c r="I1119" t="s">
        <v>2723</v>
      </c>
      <c r="J1119" t="s">
        <v>8668</v>
      </c>
      <c r="L1119">
        <v>0</v>
      </c>
      <c r="R1119" s="16" t="s">
        <v>8064</v>
      </c>
      <c r="S1119" s="16" t="s">
        <v>8064</v>
      </c>
      <c r="T1119" t="s">
        <v>8847</v>
      </c>
      <c r="U1119">
        <v>0</v>
      </c>
    </row>
    <row r="1120" spans="1:21">
      <c r="A1120">
        <v>1132</v>
      </c>
      <c r="B1120" t="s">
        <v>8848</v>
      </c>
      <c r="C1120" t="s">
        <v>4863</v>
      </c>
      <c r="D1120">
        <v>1266</v>
      </c>
      <c r="E1120">
        <v>13</v>
      </c>
      <c r="F1120" t="s">
        <v>1444</v>
      </c>
      <c r="G1120" t="s">
        <v>4855</v>
      </c>
      <c r="I1120" t="s">
        <v>2746</v>
      </c>
      <c r="J1120" t="s">
        <v>8668</v>
      </c>
      <c r="L1120">
        <v>0</v>
      </c>
      <c r="R1120" s="16" t="s">
        <v>8064</v>
      </c>
      <c r="S1120" s="16" t="s">
        <v>8064</v>
      </c>
      <c r="T1120" t="s">
        <v>8848</v>
      </c>
      <c r="U1120">
        <v>0</v>
      </c>
    </row>
    <row r="1121" spans="1:21">
      <c r="A1121">
        <v>1117</v>
      </c>
      <c r="B1121" t="s">
        <v>8849</v>
      </c>
      <c r="C1121" t="s">
        <v>2676</v>
      </c>
      <c r="D1121">
        <v>1207</v>
      </c>
      <c r="E1121">
        <v>13</v>
      </c>
      <c r="F1121" t="s">
        <v>1444</v>
      </c>
      <c r="G1121" t="s">
        <v>4855</v>
      </c>
      <c r="I1121" t="s">
        <v>2732</v>
      </c>
      <c r="J1121" t="s">
        <v>8668</v>
      </c>
      <c r="L1121">
        <v>0</v>
      </c>
      <c r="R1121" s="16" t="s">
        <v>8064</v>
      </c>
      <c r="S1121" s="16" t="s">
        <v>8064</v>
      </c>
      <c r="T1121" t="s">
        <v>8849</v>
      </c>
      <c r="U1121">
        <v>0</v>
      </c>
    </row>
    <row r="1122" spans="1:21">
      <c r="A1122">
        <v>1128</v>
      </c>
      <c r="B1122" t="s">
        <v>8850</v>
      </c>
      <c r="C1122" t="s">
        <v>2688</v>
      </c>
      <c r="D1122">
        <v>1251</v>
      </c>
      <c r="E1122">
        <v>13</v>
      </c>
      <c r="F1122" t="s">
        <v>1444</v>
      </c>
      <c r="G1122" t="s">
        <v>4855</v>
      </c>
      <c r="I1122" t="s">
        <v>2742</v>
      </c>
      <c r="J1122" t="s">
        <v>8668</v>
      </c>
      <c r="L1122">
        <v>0</v>
      </c>
      <c r="R1122" s="16" t="s">
        <v>8064</v>
      </c>
      <c r="S1122" s="16" t="s">
        <v>8064</v>
      </c>
      <c r="T1122" t="s">
        <v>9360</v>
      </c>
      <c r="U1122">
        <v>0</v>
      </c>
    </row>
    <row r="1123" spans="1:21">
      <c r="A1123">
        <v>1122</v>
      </c>
      <c r="B1123" t="s">
        <v>8851</v>
      </c>
      <c r="C1123" t="s">
        <v>2683</v>
      </c>
      <c r="D1123">
        <v>1232</v>
      </c>
      <c r="E1123">
        <v>13</v>
      </c>
      <c r="F1123" t="s">
        <v>1444</v>
      </c>
      <c r="G1123" t="s">
        <v>4855</v>
      </c>
      <c r="I1123" t="s">
        <v>2737</v>
      </c>
      <c r="J1123" t="s">
        <v>8668</v>
      </c>
      <c r="L1123">
        <v>0</v>
      </c>
      <c r="R1123" s="16" t="s">
        <v>8064</v>
      </c>
      <c r="S1123" s="16" t="s">
        <v>8064</v>
      </c>
      <c r="T1123" t="s">
        <v>8851</v>
      </c>
      <c r="U1123">
        <v>0</v>
      </c>
    </row>
    <row r="1124" spans="1:21">
      <c r="A1124">
        <v>1119</v>
      </c>
      <c r="B1124" t="s">
        <v>8852</v>
      </c>
      <c r="C1124" t="s">
        <v>2681</v>
      </c>
      <c r="D1124">
        <v>1222</v>
      </c>
      <c r="E1124">
        <v>13</v>
      </c>
      <c r="F1124" t="s">
        <v>1444</v>
      </c>
      <c r="G1124" t="s">
        <v>4855</v>
      </c>
      <c r="I1124" t="s">
        <v>2734</v>
      </c>
      <c r="J1124" t="s">
        <v>8668</v>
      </c>
      <c r="L1124">
        <v>0</v>
      </c>
      <c r="R1124" s="16" t="s">
        <v>8064</v>
      </c>
      <c r="S1124" s="16" t="s">
        <v>8064</v>
      </c>
      <c r="T1124" t="s">
        <v>8852</v>
      </c>
      <c r="U1124">
        <v>0</v>
      </c>
    </row>
    <row r="1125" spans="1:21">
      <c r="A1125">
        <v>1103</v>
      </c>
      <c r="B1125" t="s">
        <v>8853</v>
      </c>
      <c r="C1125" t="s">
        <v>2673</v>
      </c>
      <c r="D1125">
        <v>1157</v>
      </c>
      <c r="E1125">
        <v>12</v>
      </c>
      <c r="F1125" t="s">
        <v>1444</v>
      </c>
      <c r="G1125" t="s">
        <v>4855</v>
      </c>
      <c r="I1125" t="s">
        <v>2721</v>
      </c>
      <c r="J1125" t="s">
        <v>8668</v>
      </c>
      <c r="L1125">
        <v>0</v>
      </c>
      <c r="R1125" s="16" t="s">
        <v>8064</v>
      </c>
      <c r="S1125" s="16" t="s">
        <v>8064</v>
      </c>
      <c r="T1125" t="s">
        <v>8853</v>
      </c>
      <c r="U1125">
        <v>0</v>
      </c>
    </row>
    <row r="1126" spans="1:21">
      <c r="A1126">
        <v>1125</v>
      </c>
      <c r="B1126" t="s">
        <v>8854</v>
      </c>
      <c r="C1126" t="s">
        <v>2684</v>
      </c>
      <c r="D1126">
        <v>1245</v>
      </c>
      <c r="E1126">
        <v>13</v>
      </c>
      <c r="F1126" t="s">
        <v>1444</v>
      </c>
      <c r="G1126" t="s">
        <v>4855</v>
      </c>
      <c r="I1126" t="s">
        <v>2738</v>
      </c>
      <c r="J1126" t="s">
        <v>8668</v>
      </c>
      <c r="L1126">
        <v>0</v>
      </c>
      <c r="R1126" s="16" t="s">
        <v>8064</v>
      </c>
      <c r="S1126" s="16" t="s">
        <v>8064</v>
      </c>
      <c r="T1126" t="s">
        <v>8854</v>
      </c>
      <c r="U1126">
        <v>0</v>
      </c>
    </row>
    <row r="1127" spans="1:21">
      <c r="A1127">
        <v>1121</v>
      </c>
      <c r="B1127" t="s">
        <v>8855</v>
      </c>
      <c r="C1127" t="s">
        <v>2682</v>
      </c>
      <c r="D1127">
        <v>1223</v>
      </c>
      <c r="E1127">
        <v>13</v>
      </c>
      <c r="F1127" t="s">
        <v>1444</v>
      </c>
      <c r="G1127" t="s">
        <v>4855</v>
      </c>
      <c r="I1127" t="s">
        <v>2736</v>
      </c>
      <c r="J1127" t="s">
        <v>8668</v>
      </c>
      <c r="L1127">
        <v>0</v>
      </c>
      <c r="R1127" s="16" t="s">
        <v>8064</v>
      </c>
      <c r="S1127" s="16" t="s">
        <v>8064</v>
      </c>
      <c r="T1127" t="s">
        <v>8855</v>
      </c>
      <c r="U1127">
        <v>0</v>
      </c>
    </row>
    <row r="1128" spans="1:21">
      <c r="A1128">
        <v>1098</v>
      </c>
      <c r="B1128" t="s">
        <v>8857</v>
      </c>
      <c r="C1128" t="s">
        <v>4856</v>
      </c>
      <c r="D1128">
        <v>1137</v>
      </c>
      <c r="E1128">
        <v>12</v>
      </c>
      <c r="F1128" t="s">
        <v>1444</v>
      </c>
      <c r="G1128" t="s">
        <v>4855</v>
      </c>
      <c r="I1128" t="s">
        <v>2708</v>
      </c>
      <c r="J1128" t="s">
        <v>8668</v>
      </c>
      <c r="L1128">
        <v>0</v>
      </c>
      <c r="R1128" s="16" t="s">
        <v>8064</v>
      </c>
      <c r="S1128" s="16" t="s">
        <v>8064</v>
      </c>
      <c r="T1128" t="s">
        <v>8857</v>
      </c>
      <c r="U1128">
        <v>0</v>
      </c>
    </row>
    <row r="1129" spans="1:21">
      <c r="A1129">
        <v>1115</v>
      </c>
      <c r="B1129" t="s">
        <v>8858</v>
      </c>
      <c r="C1129" t="s">
        <v>4861</v>
      </c>
      <c r="D1129">
        <v>1196</v>
      </c>
      <c r="E1129">
        <v>12</v>
      </c>
      <c r="F1129" t="s">
        <v>1444</v>
      </c>
      <c r="G1129" t="s">
        <v>4855</v>
      </c>
      <c r="I1129" t="s">
        <v>2731</v>
      </c>
      <c r="J1129" t="s">
        <v>8668</v>
      </c>
      <c r="L1129">
        <v>0</v>
      </c>
      <c r="R1129" s="16" t="s">
        <v>8064</v>
      </c>
      <c r="S1129" s="16" t="s">
        <v>8064</v>
      </c>
      <c r="T1129" t="s">
        <v>8858</v>
      </c>
      <c r="U1129">
        <v>0</v>
      </c>
    </row>
    <row r="1130" spans="1:21">
      <c r="A1130">
        <v>1139</v>
      </c>
      <c r="B1130" t="s">
        <v>8859</v>
      </c>
      <c r="C1130" t="s">
        <v>2693</v>
      </c>
      <c r="D1130">
        <v>1294</v>
      </c>
      <c r="E1130">
        <v>13</v>
      </c>
      <c r="F1130" t="s">
        <v>1444</v>
      </c>
      <c r="G1130" t="s">
        <v>4855</v>
      </c>
      <c r="I1130" t="s">
        <v>2750</v>
      </c>
      <c r="J1130" t="s">
        <v>8668</v>
      </c>
      <c r="L1130">
        <v>0</v>
      </c>
      <c r="R1130" s="16" t="s">
        <v>8064</v>
      </c>
      <c r="S1130" s="16" t="s">
        <v>8064</v>
      </c>
      <c r="T1130" t="s">
        <v>8859</v>
      </c>
      <c r="U1130">
        <v>0</v>
      </c>
    </row>
    <row r="1131" spans="1:21">
      <c r="A1131">
        <v>1104</v>
      </c>
      <c r="B1131" t="s">
        <v>8860</v>
      </c>
      <c r="C1131" t="s">
        <v>2706</v>
      </c>
      <c r="D1131">
        <v>1160</v>
      </c>
      <c r="E1131">
        <v>12</v>
      </c>
      <c r="F1131" t="s">
        <v>1444</v>
      </c>
      <c r="G1131" t="s">
        <v>4855</v>
      </c>
      <c r="I1131" t="s">
        <v>2724</v>
      </c>
      <c r="J1131" t="s">
        <v>8668</v>
      </c>
      <c r="L1131">
        <v>0</v>
      </c>
      <c r="R1131" s="16" t="s">
        <v>8064</v>
      </c>
      <c r="S1131" s="16" t="s">
        <v>8064</v>
      </c>
      <c r="T1131" t="s">
        <v>8860</v>
      </c>
      <c r="U1131">
        <v>0</v>
      </c>
    </row>
    <row r="1132" spans="1:21">
      <c r="A1132">
        <v>1136</v>
      </c>
      <c r="B1132" t="s">
        <v>8861</v>
      </c>
      <c r="C1132" t="s">
        <v>4717</v>
      </c>
      <c r="D1132">
        <v>1289</v>
      </c>
      <c r="E1132">
        <v>13</v>
      </c>
      <c r="F1132" t="s">
        <v>1444</v>
      </c>
      <c r="G1132" t="s">
        <v>4855</v>
      </c>
      <c r="I1132" t="s">
        <v>2716</v>
      </c>
      <c r="J1132" t="s">
        <v>8668</v>
      </c>
      <c r="L1132">
        <v>0</v>
      </c>
      <c r="R1132" s="16" t="s">
        <v>8064</v>
      </c>
      <c r="S1132" s="16" t="s">
        <v>8064</v>
      </c>
      <c r="T1132" t="s">
        <v>9361</v>
      </c>
      <c r="U1132">
        <v>0</v>
      </c>
    </row>
    <row r="1133" spans="1:21">
      <c r="A1133">
        <v>1108</v>
      </c>
      <c r="B1133" t="s">
        <v>8862</v>
      </c>
      <c r="C1133" t="s">
        <v>631</v>
      </c>
      <c r="D1133">
        <v>1172</v>
      </c>
      <c r="E1133">
        <v>12</v>
      </c>
      <c r="F1133" t="s">
        <v>1444</v>
      </c>
      <c r="G1133" t="s">
        <v>4855</v>
      </c>
      <c r="I1133" t="s">
        <v>2713</v>
      </c>
      <c r="J1133" t="s">
        <v>8668</v>
      </c>
      <c r="L1133">
        <v>0</v>
      </c>
      <c r="R1133" s="16" t="s">
        <v>8064</v>
      </c>
      <c r="S1133" s="16" t="s">
        <v>8064</v>
      </c>
      <c r="T1133" t="s">
        <v>9362</v>
      </c>
      <c r="U1133">
        <v>0</v>
      </c>
    </row>
    <row r="1134" spans="1:21">
      <c r="A1134">
        <v>1118</v>
      </c>
      <c r="B1134" t="s">
        <v>8863</v>
      </c>
      <c r="C1134" t="s">
        <v>1426</v>
      </c>
      <c r="D1134">
        <v>1218</v>
      </c>
      <c r="E1134">
        <v>13</v>
      </c>
      <c r="F1134" t="s">
        <v>1444</v>
      </c>
      <c r="G1134" t="s">
        <v>4855</v>
      </c>
      <c r="I1134" t="s">
        <v>2733</v>
      </c>
      <c r="J1134" t="s">
        <v>8668</v>
      </c>
      <c r="L1134">
        <v>0</v>
      </c>
      <c r="R1134" s="16" t="s">
        <v>8064</v>
      </c>
      <c r="S1134" s="16" t="s">
        <v>8064</v>
      </c>
      <c r="T1134" t="s">
        <v>8863</v>
      </c>
      <c r="U1134">
        <v>0</v>
      </c>
    </row>
    <row r="1135" spans="1:21">
      <c r="A1135">
        <v>1133</v>
      </c>
      <c r="B1135" t="s">
        <v>8864</v>
      </c>
      <c r="C1135" t="s">
        <v>2691</v>
      </c>
      <c r="D1135">
        <v>1266</v>
      </c>
      <c r="E1135">
        <v>13</v>
      </c>
      <c r="F1135" t="s">
        <v>1444</v>
      </c>
      <c r="G1135" t="s">
        <v>4855</v>
      </c>
      <c r="I1135" t="s">
        <v>2748</v>
      </c>
      <c r="J1135" t="s">
        <v>8668</v>
      </c>
      <c r="L1135">
        <v>0</v>
      </c>
      <c r="R1135" s="16" t="s">
        <v>8064</v>
      </c>
      <c r="S1135" s="16" t="s">
        <v>8064</v>
      </c>
      <c r="T1135" t="s">
        <v>8864</v>
      </c>
      <c r="U1135">
        <v>0</v>
      </c>
    </row>
    <row r="1136" spans="1:21">
      <c r="A1136">
        <v>1107</v>
      </c>
      <c r="B1136" t="s">
        <v>8865</v>
      </c>
      <c r="C1136" t="s">
        <v>4860</v>
      </c>
      <c r="D1136">
        <v>1169</v>
      </c>
      <c r="E1136">
        <v>12</v>
      </c>
      <c r="F1136" t="s">
        <v>1444</v>
      </c>
      <c r="G1136" t="s">
        <v>4855</v>
      </c>
      <c r="I1136" t="s">
        <v>2712</v>
      </c>
      <c r="J1136" t="s">
        <v>8668</v>
      </c>
      <c r="L1136">
        <v>0</v>
      </c>
      <c r="R1136" s="16" t="s">
        <v>8064</v>
      </c>
      <c r="S1136" s="16" t="s">
        <v>8064</v>
      </c>
      <c r="T1136" t="s">
        <v>9363</v>
      </c>
      <c r="U1136">
        <v>0</v>
      </c>
    </row>
    <row r="1137" spans="1:21">
      <c r="A1137">
        <v>1105</v>
      </c>
      <c r="B1137" t="s">
        <v>9364</v>
      </c>
      <c r="C1137" t="s">
        <v>4858</v>
      </c>
      <c r="D1137">
        <v>1166</v>
      </c>
      <c r="E1137">
        <v>12</v>
      </c>
      <c r="F1137" t="s">
        <v>2699</v>
      </c>
      <c r="G1137" t="s">
        <v>4855</v>
      </c>
      <c r="I1137" t="s">
        <v>2725</v>
      </c>
      <c r="J1137" t="s">
        <v>8668</v>
      </c>
      <c r="L1137">
        <v>1</v>
      </c>
      <c r="M1137" t="s">
        <v>2699</v>
      </c>
      <c r="N1137" t="s">
        <v>6658</v>
      </c>
      <c r="O1137" t="s">
        <v>104</v>
      </c>
      <c r="P1137" t="s">
        <v>6903</v>
      </c>
      <c r="Q1137" t="s">
        <v>6904</v>
      </c>
      <c r="R1137" s="16" t="s">
        <v>8613</v>
      </c>
      <c r="S1137" s="16" t="s">
        <v>8319</v>
      </c>
      <c r="T1137" t="s">
        <v>9364</v>
      </c>
      <c r="U1137">
        <v>0</v>
      </c>
    </row>
    <row r="1138" spans="1:21">
      <c r="A1138">
        <v>1126</v>
      </c>
      <c r="B1138" t="s">
        <v>9365</v>
      </c>
      <c r="C1138" t="s">
        <v>4862</v>
      </c>
      <c r="D1138">
        <v>1246</v>
      </c>
      <c r="E1138">
        <v>13</v>
      </c>
      <c r="F1138" t="s">
        <v>2702</v>
      </c>
      <c r="G1138" t="s">
        <v>4855</v>
      </c>
      <c r="I1138" t="s">
        <v>2743</v>
      </c>
      <c r="J1138" t="s">
        <v>8668</v>
      </c>
      <c r="L1138">
        <v>1</v>
      </c>
      <c r="M1138" t="s">
        <v>6204</v>
      </c>
      <c r="N1138" t="s">
        <v>6305</v>
      </c>
      <c r="O1138" t="s">
        <v>104</v>
      </c>
      <c r="P1138">
        <v>20860</v>
      </c>
      <c r="Q1138">
        <v>494300</v>
      </c>
      <c r="R1138" s="16" t="s">
        <v>8427</v>
      </c>
      <c r="S1138" s="16" t="s">
        <v>8131</v>
      </c>
      <c r="T1138" t="s">
        <v>9365</v>
      </c>
      <c r="U1138">
        <v>0</v>
      </c>
    </row>
    <row r="1139" spans="1:21">
      <c r="A1139">
        <v>1116</v>
      </c>
      <c r="B1139" t="s">
        <v>9366</v>
      </c>
      <c r="C1139" t="s">
        <v>2676</v>
      </c>
      <c r="D1139">
        <v>1207</v>
      </c>
      <c r="E1139">
        <v>13</v>
      </c>
      <c r="F1139" t="s">
        <v>2699</v>
      </c>
      <c r="G1139" t="s">
        <v>4855</v>
      </c>
      <c r="I1139" t="s">
        <v>2718</v>
      </c>
      <c r="J1139" t="s">
        <v>8668</v>
      </c>
      <c r="L1139">
        <v>1</v>
      </c>
      <c r="M1139" t="s">
        <v>2699</v>
      </c>
      <c r="N1139" t="s">
        <v>6658</v>
      </c>
      <c r="O1139" t="s">
        <v>104</v>
      </c>
      <c r="P1139" t="s">
        <v>6903</v>
      </c>
      <c r="Q1139" t="s">
        <v>6904</v>
      </c>
      <c r="R1139" s="16" t="s">
        <v>8613</v>
      </c>
      <c r="S1139" s="16" t="s">
        <v>8319</v>
      </c>
      <c r="T1139" t="s">
        <v>9366</v>
      </c>
      <c r="U1139">
        <v>0</v>
      </c>
    </row>
    <row r="1140" spans="1:21">
      <c r="A1140">
        <v>1112</v>
      </c>
      <c r="B1140" t="s">
        <v>9367</v>
      </c>
      <c r="C1140" t="s">
        <v>2679</v>
      </c>
      <c r="D1140">
        <v>1191</v>
      </c>
      <c r="E1140">
        <v>12</v>
      </c>
      <c r="F1140" t="s">
        <v>2678</v>
      </c>
      <c r="G1140" t="s">
        <v>4855</v>
      </c>
      <c r="I1140" t="s">
        <v>2728</v>
      </c>
      <c r="J1140" t="s">
        <v>8668</v>
      </c>
      <c r="L1140">
        <v>1</v>
      </c>
      <c r="M1140" t="s">
        <v>2678</v>
      </c>
      <c r="N1140" t="s">
        <v>6305</v>
      </c>
      <c r="O1140" t="s">
        <v>104</v>
      </c>
      <c r="P1140">
        <v>36240</v>
      </c>
      <c r="Q1140">
        <v>495640</v>
      </c>
      <c r="R1140" s="16" t="s">
        <v>8617</v>
      </c>
      <c r="S1140" s="16" t="s">
        <v>8323</v>
      </c>
      <c r="T1140" t="s">
        <v>9367</v>
      </c>
      <c r="U1140">
        <v>0</v>
      </c>
    </row>
    <row r="1141" spans="1:21">
      <c r="A1141">
        <v>1123</v>
      </c>
      <c r="B1141" t="s">
        <v>9368</v>
      </c>
      <c r="C1141" t="s">
        <v>2686</v>
      </c>
      <c r="D1141">
        <v>1242</v>
      </c>
      <c r="E1141">
        <v>13</v>
      </c>
      <c r="F1141" t="s">
        <v>2678</v>
      </c>
      <c r="G1141" t="s">
        <v>4855</v>
      </c>
      <c r="I1141" t="s">
        <v>2740</v>
      </c>
      <c r="J1141" t="s">
        <v>8668</v>
      </c>
      <c r="L1141">
        <v>1</v>
      </c>
      <c r="M1141" t="s">
        <v>2678</v>
      </c>
      <c r="N1141" t="s">
        <v>6305</v>
      </c>
      <c r="O1141" t="s">
        <v>104</v>
      </c>
      <c r="P1141">
        <v>36240</v>
      </c>
      <c r="Q1141">
        <v>495640</v>
      </c>
      <c r="R1141" s="16" t="s">
        <v>8617</v>
      </c>
      <c r="S1141" s="16" t="s">
        <v>8323</v>
      </c>
      <c r="T1141" t="s">
        <v>9368</v>
      </c>
      <c r="U1141">
        <v>0</v>
      </c>
    </row>
    <row r="1142" spans="1:21">
      <c r="A1142">
        <v>1102</v>
      </c>
      <c r="B1142" t="s">
        <v>9369</v>
      </c>
      <c r="C1142" t="s">
        <v>2672</v>
      </c>
      <c r="D1142">
        <v>1157</v>
      </c>
      <c r="E1142">
        <v>12</v>
      </c>
      <c r="F1142" t="s">
        <v>2699</v>
      </c>
      <c r="G1142" t="s">
        <v>4855</v>
      </c>
      <c r="I1142" t="s">
        <v>2720</v>
      </c>
      <c r="J1142" t="s">
        <v>8668</v>
      </c>
      <c r="L1142">
        <v>1</v>
      </c>
      <c r="M1142" t="s">
        <v>2699</v>
      </c>
      <c r="N1142" t="s">
        <v>6658</v>
      </c>
      <c r="O1142" t="s">
        <v>104</v>
      </c>
      <c r="P1142" t="s">
        <v>6903</v>
      </c>
      <c r="Q1142" t="s">
        <v>6904</v>
      </c>
      <c r="R1142" s="16" t="s">
        <v>8613</v>
      </c>
      <c r="S1142" s="16" t="s">
        <v>8319</v>
      </c>
      <c r="T1142" t="s">
        <v>9369</v>
      </c>
      <c r="U1142">
        <v>0</v>
      </c>
    </row>
    <row r="1143" spans="1:21">
      <c r="A1143">
        <v>1127</v>
      </c>
      <c r="B1143" t="s">
        <v>9370</v>
      </c>
      <c r="C1143" t="s">
        <v>2687</v>
      </c>
      <c r="D1143">
        <v>1251</v>
      </c>
      <c r="E1143">
        <v>13</v>
      </c>
      <c r="F1143" t="s">
        <v>2678</v>
      </c>
      <c r="G1143" t="s">
        <v>4855</v>
      </c>
      <c r="I1143" t="s">
        <v>2741</v>
      </c>
      <c r="J1143" t="s">
        <v>8668</v>
      </c>
      <c r="L1143">
        <v>1</v>
      </c>
      <c r="M1143" t="s">
        <v>2678</v>
      </c>
      <c r="N1143" t="s">
        <v>6305</v>
      </c>
      <c r="O1143" t="s">
        <v>104</v>
      </c>
      <c r="P1143">
        <v>36240</v>
      </c>
      <c r="Q1143">
        <v>495640</v>
      </c>
      <c r="R1143" s="16" t="s">
        <v>8617</v>
      </c>
      <c r="S1143" s="16" t="s">
        <v>8323</v>
      </c>
      <c r="T1143" t="s">
        <v>9370</v>
      </c>
      <c r="U1143">
        <v>0</v>
      </c>
    </row>
    <row r="1144" spans="1:21">
      <c r="A1144">
        <v>1096</v>
      </c>
      <c r="B1144" t="s">
        <v>9371</v>
      </c>
      <c r="C1144" t="s">
        <v>2623</v>
      </c>
      <c r="D1144">
        <v>1137</v>
      </c>
      <c r="E1144">
        <v>12</v>
      </c>
      <c r="F1144" t="s">
        <v>2624</v>
      </c>
      <c r="G1144" t="s">
        <v>4855</v>
      </c>
      <c r="I1144" t="s">
        <v>2707</v>
      </c>
      <c r="J1144" t="s">
        <v>8668</v>
      </c>
      <c r="L1144">
        <v>1</v>
      </c>
      <c r="M1144" t="s">
        <v>2678</v>
      </c>
      <c r="N1144" t="s">
        <v>6305</v>
      </c>
      <c r="O1144" t="s">
        <v>104</v>
      </c>
      <c r="P1144">
        <v>36240</v>
      </c>
      <c r="Q1144">
        <v>495640</v>
      </c>
      <c r="R1144" s="16" t="s">
        <v>8617</v>
      </c>
      <c r="S1144" s="16" t="s">
        <v>8323</v>
      </c>
      <c r="T1144" t="s">
        <v>9372</v>
      </c>
      <c r="U1144">
        <v>0</v>
      </c>
    </row>
    <row r="1145" spans="1:21">
      <c r="A1145">
        <v>1114</v>
      </c>
      <c r="B1145" t="s">
        <v>9373</v>
      </c>
      <c r="C1145" t="s">
        <v>4861</v>
      </c>
      <c r="D1145">
        <v>1196</v>
      </c>
      <c r="E1145">
        <v>12</v>
      </c>
      <c r="F1145" t="s">
        <v>2678</v>
      </c>
      <c r="G1145" t="s">
        <v>4855</v>
      </c>
      <c r="I1145" t="s">
        <v>2730</v>
      </c>
      <c r="J1145" t="s">
        <v>8668</v>
      </c>
      <c r="L1145">
        <v>1</v>
      </c>
      <c r="M1145" t="s">
        <v>2678</v>
      </c>
      <c r="N1145" t="s">
        <v>6305</v>
      </c>
      <c r="O1145" t="s">
        <v>104</v>
      </c>
      <c r="P1145">
        <v>36240</v>
      </c>
      <c r="Q1145">
        <v>495640</v>
      </c>
      <c r="R1145" s="16" t="s">
        <v>8617</v>
      </c>
      <c r="S1145" s="16" t="s">
        <v>8323</v>
      </c>
      <c r="T1145" t="s">
        <v>9373</v>
      </c>
      <c r="U1145">
        <v>0</v>
      </c>
    </row>
    <row r="1146" spans="1:21">
      <c r="A1146">
        <v>1134</v>
      </c>
      <c r="B1146" t="s">
        <v>9374</v>
      </c>
      <c r="C1146" t="s">
        <v>2692</v>
      </c>
      <c r="D1146">
        <v>1269</v>
      </c>
      <c r="E1146">
        <v>13</v>
      </c>
      <c r="F1146" t="s">
        <v>2704</v>
      </c>
      <c r="G1146" t="s">
        <v>4855</v>
      </c>
      <c r="I1146" t="s">
        <v>2749</v>
      </c>
      <c r="J1146" t="s">
        <v>8668</v>
      </c>
      <c r="L1146">
        <v>1</v>
      </c>
      <c r="M1146" t="s">
        <v>2704</v>
      </c>
      <c r="N1146" t="s">
        <v>6607</v>
      </c>
      <c r="O1146" t="s">
        <v>104</v>
      </c>
      <c r="P1146" t="s">
        <v>6608</v>
      </c>
      <c r="Q1146" t="s">
        <v>6609</v>
      </c>
      <c r="R1146" s="16" t="s">
        <v>8616</v>
      </c>
      <c r="S1146" s="16" t="s">
        <v>8275</v>
      </c>
      <c r="T1146" t="s">
        <v>9374</v>
      </c>
      <c r="U1146">
        <v>0</v>
      </c>
    </row>
    <row r="1147" spans="1:21">
      <c r="A1147">
        <v>1135</v>
      </c>
      <c r="B1147" t="s">
        <v>9375</v>
      </c>
      <c r="C1147" t="s">
        <v>773</v>
      </c>
      <c r="D1147">
        <v>1284</v>
      </c>
      <c r="E1147">
        <v>13</v>
      </c>
      <c r="F1147" t="s">
        <v>2698</v>
      </c>
      <c r="G1147" t="s">
        <v>4855</v>
      </c>
      <c r="I1147" t="s">
        <v>2715</v>
      </c>
      <c r="J1147" t="s">
        <v>8668</v>
      </c>
      <c r="L1147">
        <v>1</v>
      </c>
      <c r="M1147" t="s">
        <v>4507</v>
      </c>
      <c r="N1147" t="s">
        <v>6485</v>
      </c>
      <c r="O1147" t="s">
        <v>104</v>
      </c>
      <c r="P1147">
        <v>32960</v>
      </c>
      <c r="Q1147">
        <v>493810</v>
      </c>
      <c r="R1147" s="16" t="s">
        <v>8580</v>
      </c>
      <c r="S1147" s="16" t="s">
        <v>8285</v>
      </c>
      <c r="T1147" t="s">
        <v>9375</v>
      </c>
      <c r="U1147">
        <v>0</v>
      </c>
    </row>
    <row r="1148" spans="1:21">
      <c r="A1148">
        <v>1097</v>
      </c>
      <c r="B1148" t="s">
        <v>9376</v>
      </c>
      <c r="C1148" t="s">
        <v>2671</v>
      </c>
      <c r="D1148">
        <v>1137</v>
      </c>
      <c r="E1148">
        <v>12</v>
      </c>
      <c r="F1148" t="s">
        <v>2700</v>
      </c>
      <c r="G1148" t="s">
        <v>4855</v>
      </c>
      <c r="I1148" t="s">
        <v>2719</v>
      </c>
      <c r="J1148" t="s">
        <v>8668</v>
      </c>
      <c r="L1148">
        <v>1</v>
      </c>
      <c r="M1148" t="s">
        <v>2700</v>
      </c>
      <c r="N1148" t="s">
        <v>6571</v>
      </c>
      <c r="O1148" t="s">
        <v>104</v>
      </c>
      <c r="P1148" t="s">
        <v>6801</v>
      </c>
      <c r="Q1148" t="s">
        <v>6802</v>
      </c>
      <c r="R1148" s="16" t="s">
        <v>8614</v>
      </c>
      <c r="S1148" s="16" t="s">
        <v>8320</v>
      </c>
      <c r="T1148" t="s">
        <v>9377</v>
      </c>
      <c r="U1148">
        <v>0</v>
      </c>
    </row>
    <row r="1149" spans="1:21">
      <c r="A1149">
        <v>1099</v>
      </c>
      <c r="B1149" t="s">
        <v>9378</v>
      </c>
      <c r="C1149" t="s">
        <v>4857</v>
      </c>
      <c r="D1149">
        <v>1139</v>
      </c>
      <c r="E1149">
        <v>12</v>
      </c>
      <c r="F1149" t="s">
        <v>2697</v>
      </c>
      <c r="G1149" t="s">
        <v>4855</v>
      </c>
      <c r="I1149" t="s">
        <v>2710</v>
      </c>
      <c r="J1149" t="s">
        <v>8668</v>
      </c>
      <c r="L1149">
        <v>1</v>
      </c>
      <c r="M1149" t="s">
        <v>2697</v>
      </c>
      <c r="N1149" t="s">
        <v>6318</v>
      </c>
      <c r="O1149" t="s">
        <v>104</v>
      </c>
      <c r="P1149" t="s">
        <v>6588</v>
      </c>
      <c r="Q1149" t="s">
        <v>6589</v>
      </c>
      <c r="R1149" s="16" t="s">
        <v>6588</v>
      </c>
      <c r="S1149" s="16" t="s">
        <v>8163</v>
      </c>
      <c r="T1149" t="s">
        <v>9378</v>
      </c>
      <c r="U1149">
        <v>0</v>
      </c>
    </row>
    <row r="1150" spans="1:21">
      <c r="A1150">
        <v>1095</v>
      </c>
      <c r="B1150" t="s">
        <v>9379</v>
      </c>
      <c r="C1150" t="s">
        <v>589</v>
      </c>
      <c r="D1150">
        <v>1136</v>
      </c>
      <c r="E1150">
        <v>12</v>
      </c>
      <c r="F1150" t="s">
        <v>2624</v>
      </c>
      <c r="G1150" t="s">
        <v>4855</v>
      </c>
      <c r="I1150" t="s">
        <v>2709</v>
      </c>
      <c r="J1150" t="s">
        <v>8668</v>
      </c>
      <c r="L1150">
        <v>1</v>
      </c>
      <c r="M1150" t="s">
        <v>2678</v>
      </c>
      <c r="N1150" t="s">
        <v>6305</v>
      </c>
      <c r="O1150" t="s">
        <v>104</v>
      </c>
      <c r="P1150">
        <v>36240</v>
      </c>
      <c r="Q1150">
        <v>495640</v>
      </c>
      <c r="R1150" s="16" t="s">
        <v>8617</v>
      </c>
      <c r="S1150" s="16" t="s">
        <v>8323</v>
      </c>
      <c r="T1150" t="s">
        <v>9379</v>
      </c>
      <c r="U1150">
        <v>0</v>
      </c>
    </row>
    <row r="1151" spans="1:21">
      <c r="A1151">
        <v>1129</v>
      </c>
      <c r="B1151" t="s">
        <v>9380</v>
      </c>
      <c r="C1151" t="s">
        <v>2689</v>
      </c>
      <c r="D1151">
        <v>1258</v>
      </c>
      <c r="E1151">
        <v>13</v>
      </c>
      <c r="F1151" t="s">
        <v>2703</v>
      </c>
      <c r="G1151" t="s">
        <v>4855</v>
      </c>
      <c r="I1151" t="s">
        <v>2744</v>
      </c>
      <c r="J1151" t="s">
        <v>8668</v>
      </c>
      <c r="L1151">
        <v>1</v>
      </c>
      <c r="M1151" t="s">
        <v>2678</v>
      </c>
      <c r="N1151" t="s">
        <v>6305</v>
      </c>
      <c r="O1151" t="s">
        <v>104</v>
      </c>
      <c r="P1151">
        <v>36240</v>
      </c>
      <c r="Q1151">
        <v>495640</v>
      </c>
      <c r="R1151" s="16" t="s">
        <v>8617</v>
      </c>
      <c r="S1151" s="16" t="s">
        <v>8323</v>
      </c>
      <c r="T1151" t="s">
        <v>9380</v>
      </c>
      <c r="U1151">
        <v>0</v>
      </c>
    </row>
    <row r="1152" spans="1:21">
      <c r="A1152">
        <v>1100</v>
      </c>
      <c r="B1152" t="s">
        <v>2632</v>
      </c>
      <c r="C1152" t="s">
        <v>2674</v>
      </c>
      <c r="D1152">
        <v>1147</v>
      </c>
      <c r="E1152">
        <v>12</v>
      </c>
      <c r="F1152" t="s">
        <v>1444</v>
      </c>
      <c r="G1152" t="s">
        <v>4855</v>
      </c>
      <c r="I1152" t="s">
        <v>2722</v>
      </c>
      <c r="J1152" t="s">
        <v>8668</v>
      </c>
      <c r="L1152">
        <v>0</v>
      </c>
      <c r="R1152" s="16" t="s">
        <v>8064</v>
      </c>
      <c r="S1152" s="16" t="s">
        <v>8064</v>
      </c>
      <c r="T1152" t="s">
        <v>8001</v>
      </c>
      <c r="U1152">
        <v>0</v>
      </c>
    </row>
    <row r="1153" spans="1:21">
      <c r="A1153">
        <v>1142</v>
      </c>
      <c r="B1153" t="s">
        <v>7666</v>
      </c>
      <c r="C1153">
        <v>1295</v>
      </c>
      <c r="D1153">
        <v>1295</v>
      </c>
      <c r="E1153">
        <v>13</v>
      </c>
      <c r="F1153" t="s">
        <v>1444</v>
      </c>
      <c r="G1153" t="s">
        <v>2580</v>
      </c>
      <c r="H1153">
        <v>3</v>
      </c>
      <c r="I1153" t="s">
        <v>2572</v>
      </c>
      <c r="J1153" t="s">
        <v>8668</v>
      </c>
      <c r="L1153">
        <v>0</v>
      </c>
      <c r="R1153" s="16" t="s">
        <v>8064</v>
      </c>
      <c r="S1153" s="16" t="s">
        <v>8064</v>
      </c>
      <c r="T1153" t="s">
        <v>7666</v>
      </c>
      <c r="U1153">
        <v>0</v>
      </c>
    </row>
    <row r="1154" spans="1:21">
      <c r="A1154">
        <v>1140</v>
      </c>
      <c r="B1154" t="s">
        <v>7664</v>
      </c>
      <c r="C1154">
        <v>1296</v>
      </c>
      <c r="D1154">
        <v>1296</v>
      </c>
      <c r="E1154">
        <v>13</v>
      </c>
      <c r="F1154" t="s">
        <v>1444</v>
      </c>
      <c r="G1154" t="s">
        <v>2579</v>
      </c>
      <c r="H1154">
        <v>118</v>
      </c>
      <c r="I1154" t="s">
        <v>2573</v>
      </c>
      <c r="J1154" t="s">
        <v>8668</v>
      </c>
      <c r="L1154">
        <v>0</v>
      </c>
      <c r="R1154" s="16" t="s">
        <v>8064</v>
      </c>
      <c r="S1154" s="16" t="s">
        <v>8064</v>
      </c>
      <c r="T1154" t="s">
        <v>7664</v>
      </c>
      <c r="U1154">
        <v>0</v>
      </c>
    </row>
    <row r="1155" spans="1:21">
      <c r="A1155">
        <v>1141</v>
      </c>
      <c r="B1155" t="s">
        <v>7665</v>
      </c>
      <c r="C1155">
        <v>1284</v>
      </c>
      <c r="D1155">
        <v>1284</v>
      </c>
      <c r="E1155">
        <v>13</v>
      </c>
      <c r="F1155" t="s">
        <v>1444</v>
      </c>
      <c r="G1155" t="s">
        <v>2581</v>
      </c>
      <c r="H1155">
        <v>168</v>
      </c>
      <c r="I1155" t="s">
        <v>2571</v>
      </c>
      <c r="J1155" t="s">
        <v>8668</v>
      </c>
      <c r="L1155">
        <v>0</v>
      </c>
      <c r="R1155" s="16" t="s">
        <v>8064</v>
      </c>
      <c r="S1155" s="16" t="s">
        <v>8064</v>
      </c>
      <c r="T1155" t="s">
        <v>7665</v>
      </c>
      <c r="U1155">
        <v>0</v>
      </c>
    </row>
    <row r="1156" spans="1:21">
      <c r="A1156">
        <v>1163</v>
      </c>
      <c r="B1156" t="s">
        <v>5596</v>
      </c>
      <c r="C1156" t="s">
        <v>5078</v>
      </c>
      <c r="D1156">
        <v>1251</v>
      </c>
      <c r="E1156">
        <v>13</v>
      </c>
      <c r="F1156" t="s">
        <v>5079</v>
      </c>
      <c r="G1156" t="s">
        <v>9357</v>
      </c>
      <c r="H1156">
        <v>260</v>
      </c>
      <c r="I1156" t="s">
        <v>5154</v>
      </c>
      <c r="J1156" s="5" t="s">
        <v>9071</v>
      </c>
      <c r="L1156">
        <v>1</v>
      </c>
      <c r="M1156" t="s">
        <v>4502</v>
      </c>
      <c r="N1156" t="s">
        <v>6456</v>
      </c>
      <c r="O1156" t="s">
        <v>104</v>
      </c>
      <c r="P1156">
        <v>23522</v>
      </c>
      <c r="Q1156">
        <v>488566</v>
      </c>
      <c r="R1156" s="16" t="s">
        <v>8364</v>
      </c>
      <c r="S1156" s="16" t="s">
        <v>8069</v>
      </c>
      <c r="T1156" t="s">
        <v>5596</v>
      </c>
      <c r="U1156">
        <v>1</v>
      </c>
    </row>
    <row r="1157" spans="1:21">
      <c r="A1157">
        <v>1144</v>
      </c>
      <c r="B1157" t="s">
        <v>5591</v>
      </c>
      <c r="C1157" t="s">
        <v>5095</v>
      </c>
      <c r="D1157">
        <v>1138</v>
      </c>
      <c r="E1157">
        <v>12</v>
      </c>
      <c r="F1157" t="s">
        <v>5096</v>
      </c>
      <c r="G1157" t="s">
        <v>5130</v>
      </c>
      <c r="H1157">
        <v>160</v>
      </c>
      <c r="I1157" t="s">
        <v>3312</v>
      </c>
      <c r="J1157" s="5" t="s">
        <v>5041</v>
      </c>
      <c r="K1157" s="5" t="s">
        <v>2276</v>
      </c>
      <c r="L1157">
        <v>1</v>
      </c>
      <c r="M1157" t="s">
        <v>6971</v>
      </c>
      <c r="N1157" t="s">
        <v>6972</v>
      </c>
      <c r="O1157" t="s">
        <v>6973</v>
      </c>
      <c r="P1157" t="s">
        <v>6974</v>
      </c>
      <c r="Q1157">
        <v>492325</v>
      </c>
      <c r="R1157" s="16" t="s">
        <v>8619</v>
      </c>
      <c r="S1157" s="16" t="s">
        <v>8325</v>
      </c>
      <c r="T1157" t="s">
        <v>5591</v>
      </c>
      <c r="U1157">
        <v>1</v>
      </c>
    </row>
    <row r="1158" spans="1:21">
      <c r="A1158">
        <v>1145</v>
      </c>
      <c r="B1158" t="s">
        <v>5592</v>
      </c>
      <c r="C1158" t="s">
        <v>5097</v>
      </c>
      <c r="D1158">
        <v>1153</v>
      </c>
      <c r="E1158">
        <v>12</v>
      </c>
      <c r="F1158" t="s">
        <v>5098</v>
      </c>
      <c r="G1158" t="s">
        <v>5131</v>
      </c>
      <c r="H1158">
        <v>161</v>
      </c>
      <c r="I1158" t="s">
        <v>3418</v>
      </c>
      <c r="J1158" s="5" t="s">
        <v>5038</v>
      </c>
      <c r="K1158" s="5" t="s">
        <v>2271</v>
      </c>
      <c r="L1158">
        <v>1</v>
      </c>
      <c r="M1158" t="s">
        <v>5098</v>
      </c>
      <c r="N1158" t="s">
        <v>6803</v>
      </c>
      <c r="O1158" t="s">
        <v>104</v>
      </c>
      <c r="P1158" t="s">
        <v>6659</v>
      </c>
      <c r="Q1158" t="s">
        <v>6804</v>
      </c>
      <c r="R1158" s="16" t="s">
        <v>8566</v>
      </c>
      <c r="S1158" s="16" t="s">
        <v>8326</v>
      </c>
      <c r="T1158" t="s">
        <v>5592</v>
      </c>
      <c r="U1158">
        <v>1</v>
      </c>
    </row>
    <row r="1159" spans="1:21">
      <c r="A1159">
        <v>1146</v>
      </c>
      <c r="B1159" t="s">
        <v>5588</v>
      </c>
      <c r="C1159" t="s">
        <v>5091</v>
      </c>
      <c r="D1159">
        <v>1118</v>
      </c>
      <c r="E1159">
        <v>12</v>
      </c>
      <c r="F1159" t="s">
        <v>27</v>
      </c>
      <c r="G1159" t="s">
        <v>5127</v>
      </c>
      <c r="H1159">
        <v>173</v>
      </c>
      <c r="I1159" t="s">
        <v>3171</v>
      </c>
      <c r="J1159" s="5" t="s">
        <v>5044</v>
      </c>
      <c r="K1159" s="5" t="s">
        <v>2282</v>
      </c>
      <c r="L1159">
        <v>1</v>
      </c>
      <c r="M1159" t="s">
        <v>6486</v>
      </c>
      <c r="N1159" t="s">
        <v>6487</v>
      </c>
      <c r="O1159" t="s">
        <v>12</v>
      </c>
      <c r="P1159" t="s">
        <v>6488</v>
      </c>
      <c r="Q1159">
        <v>517520</v>
      </c>
      <c r="R1159" s="16" t="s">
        <v>8357</v>
      </c>
      <c r="S1159" s="16" t="s">
        <v>8060</v>
      </c>
      <c r="T1159" t="s">
        <v>5588</v>
      </c>
      <c r="U1159">
        <v>1</v>
      </c>
    </row>
    <row r="1160" spans="1:21">
      <c r="A1160">
        <v>1147</v>
      </c>
      <c r="B1160" t="s">
        <v>5589</v>
      </c>
      <c r="C1160" t="s">
        <v>5090</v>
      </c>
      <c r="D1160">
        <v>1072</v>
      </c>
      <c r="E1160">
        <v>11</v>
      </c>
      <c r="F1160" t="s">
        <v>5092</v>
      </c>
      <c r="G1160" t="s">
        <v>5128</v>
      </c>
      <c r="H1160">
        <v>174</v>
      </c>
      <c r="J1160" s="5" t="s">
        <v>5043</v>
      </c>
      <c r="K1160" s="5" t="s">
        <v>2280</v>
      </c>
      <c r="L1160">
        <v>1</v>
      </c>
      <c r="M1160" t="s">
        <v>6458</v>
      </c>
      <c r="N1160" t="s">
        <v>6295</v>
      </c>
      <c r="O1160" t="s">
        <v>11</v>
      </c>
      <c r="P1160">
        <v>138220</v>
      </c>
      <c r="Q1160">
        <v>414930</v>
      </c>
      <c r="R1160" s="16" t="s">
        <v>8370</v>
      </c>
      <c r="S1160" s="16" t="s">
        <v>8075</v>
      </c>
      <c r="T1160" t="s">
        <v>5589</v>
      </c>
      <c r="U1160">
        <v>1</v>
      </c>
    </row>
    <row r="1161" spans="1:21">
      <c r="A1161">
        <v>1148</v>
      </c>
      <c r="B1161" t="s">
        <v>5590</v>
      </c>
      <c r="C1161" t="s">
        <v>5093</v>
      </c>
      <c r="D1161">
        <v>1147</v>
      </c>
      <c r="E1161">
        <v>12</v>
      </c>
      <c r="F1161" t="s">
        <v>5094</v>
      </c>
      <c r="G1161" t="s">
        <v>5129</v>
      </c>
      <c r="H1161">
        <v>187</v>
      </c>
      <c r="I1161" t="s">
        <v>3374</v>
      </c>
      <c r="J1161" s="5" t="s">
        <v>5040</v>
      </c>
      <c r="K1161" s="5" t="s">
        <v>2274</v>
      </c>
      <c r="L1161">
        <v>1</v>
      </c>
      <c r="M1161" t="s">
        <v>6498</v>
      </c>
      <c r="N1161" t="s">
        <v>6293</v>
      </c>
      <c r="O1161" t="s">
        <v>3995</v>
      </c>
      <c r="P1161">
        <v>83570</v>
      </c>
      <c r="Q1161">
        <v>496290</v>
      </c>
      <c r="R1161" s="16" t="s">
        <v>8620</v>
      </c>
      <c r="S1161" s="16" t="s">
        <v>8327</v>
      </c>
      <c r="T1161" t="s">
        <v>5590</v>
      </c>
      <c r="U1161">
        <v>1</v>
      </c>
    </row>
    <row r="1162" spans="1:21">
      <c r="A1162">
        <v>1149</v>
      </c>
      <c r="B1162" t="s">
        <v>5598</v>
      </c>
      <c r="C1162" t="s">
        <v>5099</v>
      </c>
      <c r="D1162">
        <v>1164</v>
      </c>
      <c r="E1162">
        <v>12</v>
      </c>
      <c r="F1162" t="s">
        <v>12</v>
      </c>
      <c r="G1162" t="s">
        <v>5136</v>
      </c>
      <c r="H1162">
        <v>210</v>
      </c>
      <c r="I1162" t="s">
        <v>3537</v>
      </c>
      <c r="J1162" s="5" t="s">
        <v>5042</v>
      </c>
      <c r="L1162">
        <v>0</v>
      </c>
      <c r="R1162" s="16" t="s">
        <v>8064</v>
      </c>
      <c r="S1162" s="16" t="s">
        <v>8064</v>
      </c>
      <c r="T1162" t="s">
        <v>5598</v>
      </c>
      <c r="U1162">
        <v>1</v>
      </c>
    </row>
    <row r="1163" spans="1:21">
      <c r="A1163">
        <v>1150</v>
      </c>
      <c r="B1163" t="s">
        <v>5600</v>
      </c>
      <c r="C1163" t="s">
        <v>5100</v>
      </c>
      <c r="D1163">
        <v>1153</v>
      </c>
      <c r="E1163">
        <v>12</v>
      </c>
      <c r="F1163" t="s">
        <v>5101</v>
      </c>
      <c r="G1163" t="s">
        <v>5138</v>
      </c>
      <c r="H1163">
        <v>214</v>
      </c>
      <c r="I1163" t="s">
        <v>3420</v>
      </c>
      <c r="J1163" s="5" t="s">
        <v>5035</v>
      </c>
      <c r="L1163">
        <v>0</v>
      </c>
      <c r="R1163" s="16" t="s">
        <v>8064</v>
      </c>
      <c r="S1163" s="16" t="s">
        <v>8064</v>
      </c>
      <c r="T1163" t="s">
        <v>5600</v>
      </c>
      <c r="U1163">
        <v>1</v>
      </c>
    </row>
    <row r="1164" spans="1:21">
      <c r="A1164">
        <v>1151</v>
      </c>
      <c r="B1164" t="s">
        <v>5601</v>
      </c>
      <c r="C1164" t="s">
        <v>5103</v>
      </c>
      <c r="D1164">
        <v>1169</v>
      </c>
      <c r="E1164">
        <v>12</v>
      </c>
      <c r="F1164" t="s">
        <v>5104</v>
      </c>
      <c r="G1164" t="s">
        <v>5139</v>
      </c>
      <c r="H1164">
        <v>215</v>
      </c>
      <c r="I1164" t="s">
        <v>3574</v>
      </c>
      <c r="J1164" s="5" t="s">
        <v>5033</v>
      </c>
      <c r="K1164" s="5" t="s">
        <v>2264</v>
      </c>
      <c r="L1164">
        <v>1</v>
      </c>
      <c r="M1164" t="s">
        <v>4532</v>
      </c>
      <c r="N1164" t="s">
        <v>6308</v>
      </c>
      <c r="O1164" t="s">
        <v>104</v>
      </c>
      <c r="P1164">
        <v>32830</v>
      </c>
      <c r="Q1164">
        <v>481980</v>
      </c>
      <c r="R1164" s="16" t="s">
        <v>8366</v>
      </c>
      <c r="S1164" s="16" t="s">
        <v>8071</v>
      </c>
      <c r="T1164" t="s">
        <v>8003</v>
      </c>
      <c r="U1164">
        <v>1</v>
      </c>
    </row>
    <row r="1165" spans="1:21">
      <c r="A1165">
        <v>1152</v>
      </c>
      <c r="B1165" t="s">
        <v>5602</v>
      </c>
      <c r="C1165" t="s">
        <v>5106</v>
      </c>
      <c r="D1165">
        <v>1033</v>
      </c>
      <c r="E1165">
        <v>11</v>
      </c>
      <c r="F1165" t="s">
        <v>5107</v>
      </c>
      <c r="G1165" t="s">
        <v>5140</v>
      </c>
      <c r="H1165">
        <v>216</v>
      </c>
      <c r="I1165" t="s">
        <v>5156</v>
      </c>
      <c r="J1165" t="s">
        <v>5032</v>
      </c>
      <c r="K1165" s="5" t="s">
        <v>2263</v>
      </c>
      <c r="L1165">
        <v>1</v>
      </c>
      <c r="M1165" t="s">
        <v>5107</v>
      </c>
      <c r="N1165" t="s">
        <v>6759</v>
      </c>
      <c r="O1165" t="s">
        <v>104</v>
      </c>
      <c r="P1165" t="s">
        <v>6793</v>
      </c>
      <c r="Q1165" t="s">
        <v>6794</v>
      </c>
      <c r="R1165" s="16" t="s">
        <v>8621</v>
      </c>
      <c r="S1165" s="16" t="s">
        <v>8328</v>
      </c>
      <c r="T1165" t="s">
        <v>8004</v>
      </c>
      <c r="U1165">
        <v>1</v>
      </c>
    </row>
    <row r="1166" spans="1:21">
      <c r="A1166">
        <v>1153</v>
      </c>
      <c r="B1166" t="s">
        <v>5604</v>
      </c>
      <c r="C1166" t="s">
        <v>5111</v>
      </c>
      <c r="D1166">
        <v>1190</v>
      </c>
      <c r="E1166">
        <v>12</v>
      </c>
      <c r="F1166" t="s">
        <v>5112</v>
      </c>
      <c r="G1166" t="s">
        <v>5142</v>
      </c>
      <c r="H1166">
        <v>220</v>
      </c>
      <c r="I1166" t="s">
        <v>5158</v>
      </c>
      <c r="J1166" s="5" t="s">
        <v>5037</v>
      </c>
      <c r="K1166" s="5" t="s">
        <v>2270</v>
      </c>
      <c r="L1166">
        <v>1</v>
      </c>
      <c r="M1166" t="s">
        <v>5112</v>
      </c>
      <c r="N1166" t="s">
        <v>6795</v>
      </c>
      <c r="O1166" t="s">
        <v>104</v>
      </c>
      <c r="P1166" t="s">
        <v>6796</v>
      </c>
      <c r="Q1166" t="s">
        <v>6797</v>
      </c>
      <c r="R1166" s="16" t="s">
        <v>8622</v>
      </c>
      <c r="S1166" s="16" t="s">
        <v>8329</v>
      </c>
      <c r="T1166" t="s">
        <v>8005</v>
      </c>
      <c r="U1166">
        <v>1</v>
      </c>
    </row>
    <row r="1167" spans="1:21">
      <c r="A1167">
        <v>1154</v>
      </c>
      <c r="B1167" t="s">
        <v>5605</v>
      </c>
      <c r="C1167" t="s">
        <v>5113</v>
      </c>
      <c r="D1167">
        <v>1281</v>
      </c>
      <c r="E1167">
        <v>13</v>
      </c>
      <c r="F1167" t="s">
        <v>5114</v>
      </c>
      <c r="G1167" t="s">
        <v>5143</v>
      </c>
      <c r="H1167">
        <v>221</v>
      </c>
      <c r="I1167" t="s">
        <v>5159</v>
      </c>
      <c r="J1167" t="s">
        <v>5031</v>
      </c>
      <c r="K1167" s="5" t="s">
        <v>2262</v>
      </c>
      <c r="L1167">
        <v>1</v>
      </c>
      <c r="M1167" t="s">
        <v>6670</v>
      </c>
      <c r="N1167" t="s">
        <v>6371</v>
      </c>
      <c r="O1167" t="s">
        <v>11</v>
      </c>
      <c r="P1167" t="s">
        <v>6671</v>
      </c>
      <c r="Q1167" t="s">
        <v>6672</v>
      </c>
      <c r="R1167" s="16" t="s">
        <v>6671</v>
      </c>
      <c r="S1167" s="16" t="s">
        <v>6672</v>
      </c>
      <c r="T1167" t="s">
        <v>8034</v>
      </c>
      <c r="U1167">
        <v>1</v>
      </c>
    </row>
    <row r="1168" spans="1:21">
      <c r="A1168">
        <v>1155</v>
      </c>
      <c r="B1168" t="s">
        <v>5606</v>
      </c>
      <c r="C1168" t="s">
        <v>5117</v>
      </c>
      <c r="D1168">
        <v>1269</v>
      </c>
      <c r="E1168">
        <v>13</v>
      </c>
      <c r="F1168" t="s">
        <v>5116</v>
      </c>
      <c r="G1168" t="s">
        <v>5144</v>
      </c>
      <c r="H1168">
        <v>225</v>
      </c>
      <c r="I1168" t="s">
        <v>5160</v>
      </c>
      <c r="J1168" s="5" t="s">
        <v>5036</v>
      </c>
      <c r="K1168" s="5" t="s">
        <v>2268</v>
      </c>
      <c r="L1168">
        <v>1</v>
      </c>
      <c r="M1168" t="s">
        <v>6798</v>
      </c>
      <c r="N1168" t="s">
        <v>6490</v>
      </c>
      <c r="O1168" t="s">
        <v>6394</v>
      </c>
      <c r="P1168" t="s">
        <v>6799</v>
      </c>
      <c r="Q1168" t="s">
        <v>6800</v>
      </c>
      <c r="R1168" s="16" t="s">
        <v>8623</v>
      </c>
      <c r="S1168" s="16" t="s">
        <v>8330</v>
      </c>
      <c r="T1168" t="s">
        <v>5606</v>
      </c>
      <c r="U1168">
        <v>1</v>
      </c>
    </row>
    <row r="1169" spans="1:21">
      <c r="A1169">
        <v>1156</v>
      </c>
      <c r="B1169" t="s">
        <v>5607</v>
      </c>
      <c r="C1169" t="s">
        <v>5118</v>
      </c>
      <c r="D1169">
        <v>1257</v>
      </c>
      <c r="E1169">
        <v>13</v>
      </c>
      <c r="F1169" t="s">
        <v>32</v>
      </c>
      <c r="G1169" t="s">
        <v>5145</v>
      </c>
      <c r="H1169">
        <v>226</v>
      </c>
      <c r="I1169" t="s">
        <v>5161</v>
      </c>
      <c r="J1169" s="5" t="s">
        <v>5034</v>
      </c>
      <c r="K1169" s="5" t="s">
        <v>2265</v>
      </c>
      <c r="L1169">
        <v>1</v>
      </c>
      <c r="M1169" t="s">
        <v>4502</v>
      </c>
      <c r="N1169" t="s">
        <v>6456</v>
      </c>
      <c r="O1169" t="s">
        <v>104</v>
      </c>
      <c r="P1169">
        <v>23522</v>
      </c>
      <c r="Q1169">
        <v>488566</v>
      </c>
      <c r="R1169" s="16" t="s">
        <v>8364</v>
      </c>
      <c r="S1169" s="16" t="s">
        <v>8069</v>
      </c>
      <c r="T1169" t="s">
        <v>8006</v>
      </c>
      <c r="U1169">
        <v>1</v>
      </c>
    </row>
    <row r="1170" spans="1:21">
      <c r="A1170">
        <v>1157</v>
      </c>
      <c r="B1170" t="s">
        <v>5603</v>
      </c>
      <c r="C1170" t="s">
        <v>5085</v>
      </c>
      <c r="D1170">
        <v>1024</v>
      </c>
      <c r="E1170">
        <v>11</v>
      </c>
      <c r="F1170" t="s">
        <v>5108</v>
      </c>
      <c r="G1170" t="s">
        <v>5141</v>
      </c>
      <c r="H1170">
        <v>231</v>
      </c>
      <c r="I1170" t="s">
        <v>5157</v>
      </c>
      <c r="J1170" s="5" t="s">
        <v>5039</v>
      </c>
      <c r="K1170" s="5" t="s">
        <v>2273</v>
      </c>
      <c r="L1170">
        <v>1</v>
      </c>
      <c r="M1170" t="s">
        <v>6437</v>
      </c>
      <c r="N1170" t="s">
        <v>6438</v>
      </c>
      <c r="O1170" t="s">
        <v>104</v>
      </c>
      <c r="P1170">
        <v>12610</v>
      </c>
      <c r="Q1170">
        <v>458330</v>
      </c>
      <c r="R1170" s="16" t="s">
        <v>8559</v>
      </c>
      <c r="S1170" s="16" t="s">
        <v>8264</v>
      </c>
      <c r="T1170" t="s">
        <v>8035</v>
      </c>
      <c r="U1170">
        <v>1</v>
      </c>
    </row>
    <row r="1171" spans="1:21">
      <c r="A1171">
        <v>1158</v>
      </c>
      <c r="B1171" t="s">
        <v>5594</v>
      </c>
      <c r="C1171" t="s">
        <v>5081</v>
      </c>
      <c r="D1171">
        <v>1235</v>
      </c>
      <c r="E1171">
        <v>13</v>
      </c>
      <c r="F1171" t="s">
        <v>5082</v>
      </c>
      <c r="G1171" t="s">
        <v>5133</v>
      </c>
      <c r="H1171">
        <v>43</v>
      </c>
      <c r="I1171" t="s">
        <v>5152</v>
      </c>
      <c r="J1171" t="s">
        <v>9089</v>
      </c>
      <c r="L1171">
        <v>1</v>
      </c>
      <c r="M1171" t="s">
        <v>5082</v>
      </c>
      <c r="N1171" t="s">
        <v>5059</v>
      </c>
      <c r="O1171" t="s">
        <v>6965</v>
      </c>
      <c r="P1171" t="s">
        <v>6966</v>
      </c>
      <c r="Q1171" t="s">
        <v>6967</v>
      </c>
      <c r="R1171" s="16" t="s">
        <v>8624</v>
      </c>
      <c r="S1171" s="16" t="s">
        <v>8331</v>
      </c>
      <c r="T1171" t="s">
        <v>8007</v>
      </c>
      <c r="U1171">
        <v>1</v>
      </c>
    </row>
    <row r="1172" spans="1:21">
      <c r="A1172">
        <v>1159</v>
      </c>
      <c r="B1172" t="s">
        <v>5595</v>
      </c>
      <c r="C1172" t="s">
        <v>5084</v>
      </c>
      <c r="D1172">
        <v>1258</v>
      </c>
      <c r="E1172">
        <v>13</v>
      </c>
      <c r="F1172" t="s">
        <v>5082</v>
      </c>
      <c r="G1172" t="s">
        <v>5133</v>
      </c>
      <c r="H1172">
        <v>43</v>
      </c>
      <c r="I1172" t="s">
        <v>5153</v>
      </c>
      <c r="J1172" t="s">
        <v>9089</v>
      </c>
      <c r="L1172">
        <v>1</v>
      </c>
      <c r="M1172" t="s">
        <v>5082</v>
      </c>
      <c r="N1172" t="s">
        <v>5059</v>
      </c>
      <c r="O1172" t="s">
        <v>6965</v>
      </c>
      <c r="P1172" t="s">
        <v>6966</v>
      </c>
      <c r="Q1172" t="s">
        <v>6967</v>
      </c>
      <c r="R1172" s="16" t="s">
        <v>8624</v>
      </c>
      <c r="S1172" s="16" t="s">
        <v>8331</v>
      </c>
      <c r="T1172" t="s">
        <v>8007</v>
      </c>
      <c r="U1172">
        <v>1</v>
      </c>
    </row>
    <row r="1173" spans="1:21">
      <c r="A1173">
        <v>1143</v>
      </c>
      <c r="B1173" t="s">
        <v>5581</v>
      </c>
      <c r="C1173" t="s">
        <v>5071</v>
      </c>
      <c r="D1173">
        <v>1001</v>
      </c>
      <c r="E1173">
        <v>11</v>
      </c>
      <c r="F1173" t="s">
        <v>5072</v>
      </c>
      <c r="G1173" t="s">
        <v>5120</v>
      </c>
      <c r="I1173" t="s">
        <v>5146</v>
      </c>
      <c r="J1173" t="s">
        <v>8668</v>
      </c>
      <c r="L1173">
        <v>1</v>
      </c>
      <c r="M1173" t="s">
        <v>6581</v>
      </c>
      <c r="N1173" t="s">
        <v>6406</v>
      </c>
      <c r="O1173" t="s">
        <v>4016</v>
      </c>
      <c r="P1173" t="s">
        <v>6582</v>
      </c>
      <c r="Q1173" t="s">
        <v>6583</v>
      </c>
      <c r="R1173" s="16" t="s">
        <v>8618</v>
      </c>
      <c r="S1173" s="16" t="s">
        <v>8324</v>
      </c>
      <c r="T1173" t="s">
        <v>5581</v>
      </c>
      <c r="U1173">
        <v>0</v>
      </c>
    </row>
    <row r="1174" spans="1:21">
      <c r="A1174">
        <v>1160</v>
      </c>
      <c r="B1174" t="s">
        <v>5597</v>
      </c>
      <c r="C1174" t="s">
        <v>5062</v>
      </c>
      <c r="D1174">
        <v>1236</v>
      </c>
      <c r="E1174">
        <v>13</v>
      </c>
      <c r="F1174" t="s">
        <v>5063</v>
      </c>
      <c r="G1174" t="s">
        <v>5135</v>
      </c>
      <c r="I1174" t="s">
        <v>5155</v>
      </c>
      <c r="J1174" t="s">
        <v>8668</v>
      </c>
      <c r="L1174">
        <v>1</v>
      </c>
      <c r="M1174" t="s">
        <v>7003</v>
      </c>
      <c r="N1174" t="s">
        <v>7004</v>
      </c>
      <c r="O1174" t="s">
        <v>6973</v>
      </c>
      <c r="P1174">
        <v>50000</v>
      </c>
      <c r="Q1174">
        <v>490000</v>
      </c>
      <c r="R1174" s="16" t="s">
        <v>8625</v>
      </c>
      <c r="S1174" s="16" t="s">
        <v>8332</v>
      </c>
      <c r="T1174" t="s">
        <v>8008</v>
      </c>
      <c r="U1174">
        <v>0</v>
      </c>
    </row>
    <row r="1175" spans="1:21">
      <c r="A1175">
        <v>1161</v>
      </c>
      <c r="B1175" t="s">
        <v>5599</v>
      </c>
      <c r="C1175" t="s">
        <v>5073</v>
      </c>
      <c r="D1175">
        <v>1115</v>
      </c>
      <c r="E1175">
        <v>12</v>
      </c>
      <c r="F1175" t="s">
        <v>5074</v>
      </c>
      <c r="G1175" t="s">
        <v>5137</v>
      </c>
      <c r="I1175" t="s">
        <v>3166</v>
      </c>
      <c r="J1175" t="s">
        <v>8668</v>
      </c>
      <c r="L1175">
        <v>1</v>
      </c>
      <c r="M1175" t="s">
        <v>6453</v>
      </c>
      <c r="N1175" t="s">
        <v>6293</v>
      </c>
      <c r="O1175" t="s">
        <v>3995</v>
      </c>
      <c r="P1175">
        <v>82470</v>
      </c>
      <c r="Q1175">
        <v>499920</v>
      </c>
      <c r="R1175" s="16" t="s">
        <v>8626</v>
      </c>
      <c r="S1175" s="16" t="s">
        <v>8333</v>
      </c>
      <c r="T1175" t="s">
        <v>5599</v>
      </c>
      <c r="U1175">
        <v>0</v>
      </c>
    </row>
    <row r="1176" spans="1:21">
      <c r="A1176">
        <v>1162</v>
      </c>
      <c r="B1176" t="s">
        <v>5593</v>
      </c>
      <c r="C1176">
        <v>1125</v>
      </c>
      <c r="D1176">
        <v>1125</v>
      </c>
      <c r="E1176">
        <v>12</v>
      </c>
      <c r="F1176" t="s">
        <v>5065</v>
      </c>
      <c r="G1176" t="s">
        <v>5132</v>
      </c>
      <c r="I1176" t="s">
        <v>3214</v>
      </c>
      <c r="J1176" t="s">
        <v>8668</v>
      </c>
      <c r="L1176">
        <v>1</v>
      </c>
      <c r="M1176" t="s">
        <v>5065</v>
      </c>
      <c r="N1176" t="s">
        <v>6532</v>
      </c>
      <c r="O1176" t="s">
        <v>4016</v>
      </c>
      <c r="P1176" t="s">
        <v>6533</v>
      </c>
      <c r="Q1176" t="s">
        <v>6534</v>
      </c>
      <c r="R1176" s="16" t="s">
        <v>8627</v>
      </c>
      <c r="S1176" s="16" t="s">
        <v>8094</v>
      </c>
      <c r="T1176" t="s">
        <v>5593</v>
      </c>
      <c r="U1176">
        <v>0</v>
      </c>
    </row>
    <row r="1177" spans="1:21">
      <c r="A1177">
        <v>1164</v>
      </c>
      <c r="B1177" t="s">
        <v>5582</v>
      </c>
      <c r="C1177">
        <v>1286</v>
      </c>
      <c r="D1177">
        <v>1286</v>
      </c>
      <c r="E1177">
        <v>13</v>
      </c>
      <c r="F1177" t="s">
        <v>5070</v>
      </c>
      <c r="G1177" t="s">
        <v>5121</v>
      </c>
      <c r="I1177" t="s">
        <v>5147</v>
      </c>
      <c r="J1177" t="s">
        <v>8668</v>
      </c>
      <c r="L1177">
        <v>0</v>
      </c>
      <c r="R1177" s="16" t="s">
        <v>8064</v>
      </c>
      <c r="S1177" s="16" t="s">
        <v>8064</v>
      </c>
      <c r="T1177" t="s">
        <v>8009</v>
      </c>
      <c r="U1177">
        <v>0</v>
      </c>
    </row>
    <row r="1178" spans="1:21">
      <c r="A1178">
        <v>1165</v>
      </c>
      <c r="B1178" t="s">
        <v>5583</v>
      </c>
      <c r="C1178" t="s">
        <v>5076</v>
      </c>
      <c r="D1178">
        <v>1282</v>
      </c>
      <c r="E1178">
        <v>13</v>
      </c>
      <c r="F1178" t="s">
        <v>5077</v>
      </c>
      <c r="G1178" t="s">
        <v>5122</v>
      </c>
      <c r="I1178" t="s">
        <v>5148</v>
      </c>
      <c r="J1178" t="s">
        <v>8668</v>
      </c>
      <c r="L1178">
        <v>1</v>
      </c>
      <c r="M1178" t="s">
        <v>5077</v>
      </c>
      <c r="N1178" t="s">
        <v>6305</v>
      </c>
      <c r="O1178" t="s">
        <v>104</v>
      </c>
      <c r="P1178">
        <v>27770</v>
      </c>
      <c r="Q1178">
        <v>502910</v>
      </c>
      <c r="R1178" s="16" t="s">
        <v>8480</v>
      </c>
      <c r="S1178" s="16" t="s">
        <v>8185</v>
      </c>
      <c r="T1178" t="s">
        <v>5583</v>
      </c>
      <c r="U1178">
        <v>0</v>
      </c>
    </row>
    <row r="1179" spans="1:21">
      <c r="A1179">
        <v>1166</v>
      </c>
      <c r="B1179" t="s">
        <v>5584</v>
      </c>
      <c r="C1179" t="s">
        <v>5066</v>
      </c>
      <c r="D1179">
        <v>1252</v>
      </c>
      <c r="E1179">
        <v>13</v>
      </c>
      <c r="F1179" t="s">
        <v>104</v>
      </c>
      <c r="G1179" t="s">
        <v>5123</v>
      </c>
      <c r="I1179" t="s">
        <v>5149</v>
      </c>
      <c r="J1179" t="s">
        <v>8668</v>
      </c>
      <c r="L1179">
        <v>0</v>
      </c>
      <c r="R1179" s="16" t="s">
        <v>8064</v>
      </c>
      <c r="S1179" s="16" t="s">
        <v>8064</v>
      </c>
      <c r="T1179" t="s">
        <v>8010</v>
      </c>
      <c r="U1179">
        <v>0</v>
      </c>
    </row>
    <row r="1180" spans="1:21">
      <c r="A1180">
        <v>1167</v>
      </c>
      <c r="B1180" t="s">
        <v>5585</v>
      </c>
      <c r="C1180">
        <v>1282</v>
      </c>
      <c r="D1180">
        <v>1282</v>
      </c>
      <c r="E1180">
        <v>13</v>
      </c>
      <c r="F1180" t="s">
        <v>1444</v>
      </c>
      <c r="G1180" t="s">
        <v>5124</v>
      </c>
      <c r="I1180" t="s">
        <v>5150</v>
      </c>
      <c r="J1180" t="s">
        <v>8668</v>
      </c>
      <c r="L1180">
        <v>0</v>
      </c>
      <c r="R1180" s="16" t="s">
        <v>8064</v>
      </c>
      <c r="S1180" s="16" t="s">
        <v>8064</v>
      </c>
      <c r="T1180" t="s">
        <v>8011</v>
      </c>
      <c r="U1180">
        <v>0</v>
      </c>
    </row>
    <row r="1181" spans="1:21">
      <c r="A1181">
        <v>1168</v>
      </c>
      <c r="B1181" t="s">
        <v>5586</v>
      </c>
      <c r="C1181" t="s">
        <v>5087</v>
      </c>
      <c r="D1181">
        <v>1043</v>
      </c>
      <c r="E1181">
        <v>11</v>
      </c>
      <c r="F1181" t="s">
        <v>4684</v>
      </c>
      <c r="G1181" t="s">
        <v>5125</v>
      </c>
      <c r="I1181" t="s">
        <v>5151</v>
      </c>
      <c r="J1181" t="s">
        <v>8668</v>
      </c>
      <c r="L1181">
        <v>1</v>
      </c>
      <c r="M1181" t="s">
        <v>4684</v>
      </c>
      <c r="N1181" t="s">
        <v>6305</v>
      </c>
      <c r="O1181" t="s">
        <v>104</v>
      </c>
      <c r="P1181">
        <v>32340</v>
      </c>
      <c r="Q1181">
        <v>501750</v>
      </c>
      <c r="R1181" s="16" t="s">
        <v>8461</v>
      </c>
      <c r="S1181" s="16" t="s">
        <v>8165</v>
      </c>
      <c r="T1181" t="s">
        <v>5586</v>
      </c>
      <c r="U1181">
        <v>0</v>
      </c>
    </row>
    <row r="1182" spans="1:21">
      <c r="A1182">
        <v>1169</v>
      </c>
      <c r="B1182" t="s">
        <v>5587</v>
      </c>
      <c r="C1182" t="s">
        <v>5088</v>
      </c>
      <c r="D1182">
        <v>1180</v>
      </c>
      <c r="E1182">
        <v>12</v>
      </c>
      <c r="F1182" t="s">
        <v>5089</v>
      </c>
      <c r="G1182" t="s">
        <v>5126</v>
      </c>
      <c r="I1182" t="s">
        <v>3673</v>
      </c>
      <c r="J1182" t="s">
        <v>8668</v>
      </c>
      <c r="L1182">
        <v>1</v>
      </c>
      <c r="M1182" t="s">
        <v>6905</v>
      </c>
      <c r="N1182" t="s">
        <v>6594</v>
      </c>
      <c r="O1182" t="s">
        <v>4016</v>
      </c>
      <c r="P1182" t="s">
        <v>6906</v>
      </c>
      <c r="Q1182" t="s">
        <v>6695</v>
      </c>
      <c r="R1182" s="16" t="s">
        <v>8628</v>
      </c>
      <c r="S1182" s="16" t="s">
        <v>8088</v>
      </c>
      <c r="T1182" t="s">
        <v>5587</v>
      </c>
      <c r="U1182">
        <v>0</v>
      </c>
    </row>
    <row r="1183" spans="1:21">
      <c r="A1183">
        <v>1174</v>
      </c>
      <c r="B1183" t="s">
        <v>7523</v>
      </c>
      <c r="C1183" t="s">
        <v>17</v>
      </c>
      <c r="D1183">
        <v>1210</v>
      </c>
      <c r="E1183">
        <v>13</v>
      </c>
      <c r="F1183" t="s">
        <v>11</v>
      </c>
      <c r="G1183" t="s">
        <v>38</v>
      </c>
      <c r="H1183">
        <v>12</v>
      </c>
      <c r="I1183" t="s">
        <v>330</v>
      </c>
      <c r="J1183" t="s">
        <v>8668</v>
      </c>
      <c r="L1183">
        <v>0</v>
      </c>
      <c r="R1183" s="16" t="s">
        <v>8064</v>
      </c>
      <c r="S1183" s="16" t="s">
        <v>8064</v>
      </c>
      <c r="T1183" t="s">
        <v>7523</v>
      </c>
      <c r="U1183">
        <v>0</v>
      </c>
    </row>
    <row r="1184" spans="1:21">
      <c r="A1184">
        <v>1182</v>
      </c>
      <c r="B1184" t="s">
        <v>7531</v>
      </c>
      <c r="C1184" t="s">
        <v>10</v>
      </c>
      <c r="D1184">
        <v>1294</v>
      </c>
      <c r="E1184">
        <v>13</v>
      </c>
      <c r="F1184" t="s">
        <v>11</v>
      </c>
      <c r="G1184" t="s">
        <v>268</v>
      </c>
      <c r="H1184">
        <v>17</v>
      </c>
      <c r="I1184" t="s">
        <v>371</v>
      </c>
      <c r="J1184" t="s">
        <v>8668</v>
      </c>
      <c r="L1184">
        <v>0</v>
      </c>
      <c r="R1184" s="16" t="s">
        <v>8064</v>
      </c>
      <c r="S1184" s="16" t="s">
        <v>8064</v>
      </c>
      <c r="T1184" t="s">
        <v>7531</v>
      </c>
      <c r="U1184">
        <v>0</v>
      </c>
    </row>
    <row r="1185" spans="1:22">
      <c r="A1185">
        <v>1183</v>
      </c>
      <c r="B1185" t="s">
        <v>7532</v>
      </c>
      <c r="C1185">
        <v>1260</v>
      </c>
      <c r="D1185">
        <v>1260</v>
      </c>
      <c r="E1185">
        <v>13</v>
      </c>
      <c r="F1185" t="s">
        <v>115</v>
      </c>
      <c r="G1185" t="s">
        <v>53</v>
      </c>
      <c r="H1185">
        <v>20</v>
      </c>
      <c r="I1185" t="s">
        <v>350</v>
      </c>
      <c r="J1185" t="s">
        <v>8668</v>
      </c>
      <c r="L1185">
        <v>0</v>
      </c>
      <c r="R1185" s="16" t="s">
        <v>8064</v>
      </c>
      <c r="S1185" s="16" t="s">
        <v>8064</v>
      </c>
      <c r="T1185" t="s">
        <v>7532</v>
      </c>
      <c r="U1185">
        <v>0</v>
      </c>
    </row>
    <row r="1186" spans="1:22">
      <c r="A1186">
        <v>1192</v>
      </c>
      <c r="B1186" t="s">
        <v>7540</v>
      </c>
      <c r="C1186">
        <v>1067</v>
      </c>
      <c r="D1186">
        <v>1067</v>
      </c>
      <c r="E1186">
        <v>11</v>
      </c>
      <c r="F1186" t="s">
        <v>11</v>
      </c>
      <c r="G1186" t="s">
        <v>1064</v>
      </c>
      <c r="H1186">
        <v>30</v>
      </c>
      <c r="I1186" t="s">
        <v>279</v>
      </c>
      <c r="J1186" t="s">
        <v>8668</v>
      </c>
      <c r="L1186">
        <v>0</v>
      </c>
      <c r="R1186" s="16" t="s">
        <v>8064</v>
      </c>
      <c r="S1186" s="16" t="s">
        <v>8064</v>
      </c>
      <c r="T1186" t="s">
        <v>7540</v>
      </c>
      <c r="U1186">
        <v>0</v>
      </c>
    </row>
    <row r="1187" spans="1:22">
      <c r="A1187">
        <v>1193</v>
      </c>
      <c r="B1187" t="s">
        <v>7541</v>
      </c>
      <c r="C1187" t="s">
        <v>20</v>
      </c>
      <c r="D1187">
        <v>1286</v>
      </c>
      <c r="E1187">
        <v>13</v>
      </c>
      <c r="F1187" t="s">
        <v>12</v>
      </c>
      <c r="G1187" t="s">
        <v>1126</v>
      </c>
      <c r="H1187">
        <v>31</v>
      </c>
      <c r="I1187" t="s">
        <v>361</v>
      </c>
      <c r="J1187" t="s">
        <v>8668</v>
      </c>
      <c r="L1187">
        <v>0</v>
      </c>
      <c r="R1187" s="16" t="s">
        <v>8064</v>
      </c>
      <c r="S1187" s="16" t="s">
        <v>8064</v>
      </c>
      <c r="T1187" t="s">
        <v>7541</v>
      </c>
      <c r="U1187">
        <v>0</v>
      </c>
    </row>
    <row r="1188" spans="1:22">
      <c r="A1188">
        <v>1195</v>
      </c>
      <c r="B1188" t="s">
        <v>7543</v>
      </c>
      <c r="C1188" t="s">
        <v>21</v>
      </c>
      <c r="D1188">
        <v>1271</v>
      </c>
      <c r="E1188">
        <v>13</v>
      </c>
      <c r="F1188" t="s">
        <v>22</v>
      </c>
      <c r="G1188" t="s">
        <v>1122</v>
      </c>
      <c r="H1188">
        <v>34</v>
      </c>
      <c r="I1188" t="s">
        <v>358</v>
      </c>
      <c r="J1188" t="s">
        <v>8668</v>
      </c>
      <c r="L1188">
        <v>1</v>
      </c>
      <c r="M1188" t="s">
        <v>4502</v>
      </c>
      <c r="N1188" t="s">
        <v>6456</v>
      </c>
      <c r="O1188" t="s">
        <v>104</v>
      </c>
      <c r="P1188">
        <v>23522</v>
      </c>
      <c r="Q1188">
        <v>488566</v>
      </c>
      <c r="R1188" s="16" t="s">
        <v>8364</v>
      </c>
      <c r="S1188" s="16" t="s">
        <v>8069</v>
      </c>
      <c r="T1188" t="s">
        <v>7874</v>
      </c>
      <c r="U1188">
        <v>0</v>
      </c>
    </row>
    <row r="1189" spans="1:22">
      <c r="A1189">
        <v>1196</v>
      </c>
      <c r="B1189" t="s">
        <v>7544</v>
      </c>
      <c r="C1189" t="s">
        <v>23</v>
      </c>
      <c r="D1189">
        <v>1292</v>
      </c>
      <c r="E1189">
        <v>13</v>
      </c>
      <c r="F1189" t="s">
        <v>12</v>
      </c>
      <c r="G1189" t="s">
        <v>1136</v>
      </c>
      <c r="H1189">
        <v>35</v>
      </c>
      <c r="I1189" t="s">
        <v>375</v>
      </c>
      <c r="J1189" t="s">
        <v>8668</v>
      </c>
      <c r="L1189">
        <v>0</v>
      </c>
      <c r="R1189" s="16" t="s">
        <v>8064</v>
      </c>
      <c r="S1189" s="16" t="s">
        <v>8064</v>
      </c>
      <c r="T1189" t="s">
        <v>7544</v>
      </c>
      <c r="U1189">
        <v>0</v>
      </c>
    </row>
    <row r="1190" spans="1:22">
      <c r="A1190">
        <v>1202</v>
      </c>
      <c r="B1190" t="s">
        <v>7550</v>
      </c>
      <c r="C1190" t="s">
        <v>26</v>
      </c>
      <c r="D1190">
        <v>1148</v>
      </c>
      <c r="E1190">
        <v>12</v>
      </c>
      <c r="F1190" t="s">
        <v>27</v>
      </c>
      <c r="G1190" t="s">
        <v>1077</v>
      </c>
      <c r="H1190">
        <v>42</v>
      </c>
      <c r="I1190" t="s">
        <v>298</v>
      </c>
      <c r="J1190" t="s">
        <v>8668</v>
      </c>
      <c r="L1190">
        <v>1</v>
      </c>
      <c r="M1190" t="s">
        <v>6486</v>
      </c>
      <c r="N1190" t="s">
        <v>6487</v>
      </c>
      <c r="O1190" t="s">
        <v>12</v>
      </c>
      <c r="P1190" t="s">
        <v>6488</v>
      </c>
      <c r="Q1190">
        <v>517520</v>
      </c>
      <c r="R1190" s="16" t="s">
        <v>8357</v>
      </c>
      <c r="S1190" s="16" t="s">
        <v>8060</v>
      </c>
      <c r="T1190" t="s">
        <v>7877</v>
      </c>
      <c r="U1190">
        <v>0</v>
      </c>
    </row>
    <row r="1191" spans="1:22">
      <c r="A1191">
        <v>1206</v>
      </c>
      <c r="B1191" t="s">
        <v>7554</v>
      </c>
      <c r="C1191" t="s">
        <v>28</v>
      </c>
      <c r="D1191">
        <v>1161</v>
      </c>
      <c r="E1191">
        <v>12</v>
      </c>
      <c r="F1191" t="s">
        <v>29</v>
      </c>
      <c r="G1191" t="s">
        <v>68</v>
      </c>
      <c r="H1191">
        <v>45</v>
      </c>
      <c r="I1191" t="s">
        <v>312</v>
      </c>
      <c r="J1191" t="s">
        <v>8668</v>
      </c>
      <c r="L1191">
        <v>1</v>
      </c>
      <c r="M1191" t="s">
        <v>6729</v>
      </c>
      <c r="N1191" t="s">
        <v>6730</v>
      </c>
      <c r="O1191" t="s">
        <v>12</v>
      </c>
      <c r="P1191" t="s">
        <v>6731</v>
      </c>
      <c r="Q1191" t="s">
        <v>6732</v>
      </c>
      <c r="R1191" s="16" t="s">
        <v>8422</v>
      </c>
      <c r="S1191" s="16" t="s">
        <v>8126</v>
      </c>
      <c r="T1191" t="s">
        <v>7554</v>
      </c>
      <c r="U1191">
        <v>0</v>
      </c>
      <c r="V1191" s="7"/>
    </row>
    <row r="1192" spans="1:22">
      <c r="A1192">
        <v>1209</v>
      </c>
      <c r="B1192" t="s">
        <v>7557</v>
      </c>
      <c r="C1192">
        <v>1276</v>
      </c>
      <c r="D1192">
        <v>1276</v>
      </c>
      <c r="E1192">
        <v>13</v>
      </c>
      <c r="F1192" t="s">
        <v>30</v>
      </c>
      <c r="G1192" t="s">
        <v>74</v>
      </c>
      <c r="H1192">
        <v>46</v>
      </c>
      <c r="I1192" t="s">
        <v>364</v>
      </c>
      <c r="J1192" t="s">
        <v>8668</v>
      </c>
      <c r="L1192">
        <v>1</v>
      </c>
      <c r="M1192" t="s">
        <v>6379</v>
      </c>
      <c r="N1192" t="s">
        <v>6355</v>
      </c>
      <c r="O1192" t="s">
        <v>12</v>
      </c>
      <c r="P1192">
        <v>-20570</v>
      </c>
      <c r="Q1192">
        <v>506180</v>
      </c>
      <c r="R1192" s="16" t="s">
        <v>8516</v>
      </c>
      <c r="S1192" s="16" t="s">
        <v>8222</v>
      </c>
      <c r="T1192" t="s">
        <v>7879</v>
      </c>
      <c r="U1192">
        <v>0</v>
      </c>
    </row>
    <row r="1193" spans="1:22">
      <c r="A1193">
        <v>1214</v>
      </c>
      <c r="B1193" t="s">
        <v>7562</v>
      </c>
      <c r="C1193" t="s">
        <v>31</v>
      </c>
      <c r="D1193">
        <v>1174</v>
      </c>
      <c r="E1193">
        <v>12</v>
      </c>
      <c r="F1193" t="s">
        <v>32</v>
      </c>
      <c r="G1193" t="s">
        <v>1092</v>
      </c>
      <c r="H1193">
        <v>48</v>
      </c>
      <c r="I1193" t="s">
        <v>319</v>
      </c>
      <c r="J1193" t="s">
        <v>8668</v>
      </c>
      <c r="L1193">
        <v>1</v>
      </c>
      <c r="M1193" t="s">
        <v>4502</v>
      </c>
      <c r="N1193" t="s">
        <v>6456</v>
      </c>
      <c r="O1193" t="s">
        <v>104</v>
      </c>
      <c r="P1193">
        <v>23522</v>
      </c>
      <c r="Q1193">
        <v>488566</v>
      </c>
      <c r="R1193" s="16" t="s">
        <v>8364</v>
      </c>
      <c r="S1193" s="16" t="s">
        <v>8069</v>
      </c>
      <c r="T1193" t="s">
        <v>7562</v>
      </c>
      <c r="U1193">
        <v>0</v>
      </c>
    </row>
    <row r="1194" spans="1:22">
      <c r="A1194">
        <v>1215</v>
      </c>
      <c r="B1194" t="s">
        <v>7563</v>
      </c>
      <c r="C1194" t="s">
        <v>33</v>
      </c>
      <c r="D1194">
        <v>1167</v>
      </c>
      <c r="E1194">
        <v>12</v>
      </c>
      <c r="F1194" t="s">
        <v>22</v>
      </c>
      <c r="G1194" t="s">
        <v>1088</v>
      </c>
      <c r="H1194">
        <v>49</v>
      </c>
      <c r="I1194" t="s">
        <v>315</v>
      </c>
      <c r="J1194" t="s">
        <v>8668</v>
      </c>
      <c r="L1194">
        <v>1</v>
      </c>
      <c r="M1194" t="s">
        <v>4502</v>
      </c>
      <c r="N1194" t="s">
        <v>6456</v>
      </c>
      <c r="O1194" t="s">
        <v>104</v>
      </c>
      <c r="P1194">
        <v>23522</v>
      </c>
      <c r="Q1194">
        <v>488566</v>
      </c>
      <c r="R1194" s="16" t="s">
        <v>8364</v>
      </c>
      <c r="S1194" s="16" t="s">
        <v>8069</v>
      </c>
      <c r="T1194" t="s">
        <v>7563</v>
      </c>
      <c r="U1194">
        <v>0</v>
      </c>
    </row>
    <row r="1195" spans="1:22">
      <c r="A1195">
        <v>1234</v>
      </c>
      <c r="B1195" t="s">
        <v>7582</v>
      </c>
      <c r="C1195" t="s">
        <v>36</v>
      </c>
      <c r="D1195">
        <v>1063</v>
      </c>
      <c r="E1195">
        <v>11</v>
      </c>
      <c r="F1195" t="s">
        <v>37</v>
      </c>
      <c r="G1195" t="s">
        <v>1060</v>
      </c>
      <c r="H1195">
        <v>63</v>
      </c>
      <c r="I1195" t="s">
        <v>275</v>
      </c>
      <c r="J1195" t="s">
        <v>8668</v>
      </c>
      <c r="L1195">
        <v>1</v>
      </c>
      <c r="M1195" t="s">
        <v>6457</v>
      </c>
      <c r="N1195" t="s">
        <v>6357</v>
      </c>
      <c r="O1195" t="s">
        <v>104</v>
      </c>
      <c r="P1195">
        <v>61750</v>
      </c>
      <c r="Q1195">
        <v>491190</v>
      </c>
      <c r="R1195" s="16" t="s">
        <v>8464</v>
      </c>
      <c r="S1195" s="16" t="s">
        <v>8168</v>
      </c>
      <c r="T1195" t="s">
        <v>7582</v>
      </c>
      <c r="U1195">
        <v>0</v>
      </c>
    </row>
    <row r="1196" spans="1:22">
      <c r="A1196">
        <v>1236</v>
      </c>
      <c r="B1196" t="s">
        <v>7584</v>
      </c>
      <c r="C1196" t="s">
        <v>5</v>
      </c>
      <c r="D1196">
        <v>1196</v>
      </c>
      <c r="E1196">
        <v>12</v>
      </c>
      <c r="F1196" t="s">
        <v>35</v>
      </c>
      <c r="G1196" t="s">
        <v>1096</v>
      </c>
      <c r="H1196">
        <v>65</v>
      </c>
      <c r="I1196" t="s">
        <v>326</v>
      </c>
      <c r="J1196" t="s">
        <v>8668</v>
      </c>
      <c r="L1196">
        <v>1</v>
      </c>
      <c r="M1196" t="s">
        <v>6450</v>
      </c>
      <c r="N1196" t="s">
        <v>6451</v>
      </c>
      <c r="O1196" t="s">
        <v>12</v>
      </c>
      <c r="P1196">
        <v>-20390</v>
      </c>
      <c r="Q1196">
        <v>515870</v>
      </c>
      <c r="R1196" s="16" t="s">
        <v>8362</v>
      </c>
      <c r="S1196" s="16" t="s">
        <v>8066</v>
      </c>
      <c r="T1196" t="s">
        <v>7584</v>
      </c>
      <c r="U1196">
        <v>0</v>
      </c>
    </row>
    <row r="1197" spans="1:22">
      <c r="A1197">
        <v>1241</v>
      </c>
      <c r="B1197" t="s">
        <v>7589</v>
      </c>
      <c r="C1197" t="s">
        <v>39</v>
      </c>
      <c r="D1197">
        <v>1264</v>
      </c>
      <c r="E1197">
        <v>13</v>
      </c>
      <c r="F1197" t="s">
        <v>40</v>
      </c>
      <c r="G1197" t="s">
        <v>80</v>
      </c>
      <c r="H1197">
        <v>67</v>
      </c>
      <c r="I1197" t="s">
        <v>353</v>
      </c>
      <c r="J1197" t="s">
        <v>8668</v>
      </c>
      <c r="L1197">
        <v>1</v>
      </c>
      <c r="M1197" t="s">
        <v>6419</v>
      </c>
      <c r="N1197" t="s">
        <v>6420</v>
      </c>
      <c r="O1197" t="s">
        <v>12</v>
      </c>
      <c r="P1197">
        <v>-13160</v>
      </c>
      <c r="Q1197">
        <v>510600</v>
      </c>
      <c r="R1197" s="16" t="s">
        <v>8408</v>
      </c>
      <c r="S1197" s="16" t="s">
        <v>8059</v>
      </c>
      <c r="T1197" t="s">
        <v>7888</v>
      </c>
      <c r="U1197">
        <v>0</v>
      </c>
    </row>
    <row r="1198" spans="1:22">
      <c r="A1198">
        <v>1250</v>
      </c>
      <c r="B1198" t="s">
        <v>7598</v>
      </c>
      <c r="C1198" t="s">
        <v>42</v>
      </c>
      <c r="D1198">
        <v>993</v>
      </c>
      <c r="E1198">
        <v>10</v>
      </c>
      <c r="F1198" t="s">
        <v>43</v>
      </c>
      <c r="G1198" t="s">
        <v>89</v>
      </c>
      <c r="H1198">
        <v>72</v>
      </c>
      <c r="I1198" t="s">
        <v>272</v>
      </c>
      <c r="J1198" t="s">
        <v>8668</v>
      </c>
      <c r="L1198">
        <v>0</v>
      </c>
      <c r="R1198" s="16" t="s">
        <v>8064</v>
      </c>
      <c r="S1198" s="16" t="s">
        <v>8064</v>
      </c>
      <c r="T1198" t="s">
        <v>7891</v>
      </c>
      <c r="U1198">
        <v>0</v>
      </c>
    </row>
    <row r="1199" spans="1:22">
      <c r="A1199">
        <v>1252</v>
      </c>
      <c r="B1199" t="s">
        <v>7600</v>
      </c>
      <c r="C1199" t="s">
        <v>44</v>
      </c>
      <c r="D1199">
        <v>1132</v>
      </c>
      <c r="E1199">
        <v>12</v>
      </c>
      <c r="F1199" t="s">
        <v>45</v>
      </c>
      <c r="G1199" t="s">
        <v>96</v>
      </c>
      <c r="H1199">
        <v>75</v>
      </c>
      <c r="I1199" t="s">
        <v>295</v>
      </c>
      <c r="J1199" t="s">
        <v>8668</v>
      </c>
      <c r="L1199">
        <v>1</v>
      </c>
      <c r="M1199" t="s">
        <v>6339</v>
      </c>
      <c r="N1199" t="s">
        <v>6340</v>
      </c>
      <c r="O1199" t="s">
        <v>12</v>
      </c>
      <c r="P1199" t="s">
        <v>6341</v>
      </c>
      <c r="Q1199">
        <v>522480</v>
      </c>
      <c r="R1199" s="16" t="s">
        <v>8414</v>
      </c>
      <c r="S1199" s="16" t="s">
        <v>8118</v>
      </c>
      <c r="T1199" t="s">
        <v>7600</v>
      </c>
      <c r="U1199">
        <v>0</v>
      </c>
    </row>
    <row r="1200" spans="1:22">
      <c r="A1200">
        <v>1253</v>
      </c>
      <c r="B1200" t="s">
        <v>7601</v>
      </c>
      <c r="C1200" t="s">
        <v>46</v>
      </c>
      <c r="D1200">
        <v>1075</v>
      </c>
      <c r="E1200">
        <v>11</v>
      </c>
      <c r="F1200" t="s">
        <v>47</v>
      </c>
      <c r="G1200" t="s">
        <v>99</v>
      </c>
      <c r="H1200">
        <v>76</v>
      </c>
      <c r="I1200" t="s">
        <v>282</v>
      </c>
      <c r="J1200" t="s">
        <v>8668</v>
      </c>
      <c r="L1200">
        <v>1</v>
      </c>
      <c r="M1200" t="s">
        <v>6907</v>
      </c>
      <c r="N1200" t="s">
        <v>6908</v>
      </c>
      <c r="O1200" t="s">
        <v>104</v>
      </c>
      <c r="P1200" t="s">
        <v>6909</v>
      </c>
      <c r="Q1200" t="s">
        <v>6910</v>
      </c>
      <c r="R1200" s="16" t="s">
        <v>8489</v>
      </c>
      <c r="S1200" s="16" t="s">
        <v>8195</v>
      </c>
      <c r="T1200" t="s">
        <v>7601</v>
      </c>
      <c r="U1200">
        <v>0</v>
      </c>
    </row>
    <row r="1201" spans="1:22">
      <c r="A1201">
        <v>1257</v>
      </c>
      <c r="B1201" t="s">
        <v>7605</v>
      </c>
      <c r="C1201" t="s">
        <v>33</v>
      </c>
      <c r="D1201">
        <v>1167</v>
      </c>
      <c r="E1201">
        <v>12</v>
      </c>
      <c r="F1201" t="s">
        <v>32</v>
      </c>
      <c r="G1201" t="s">
        <v>1089</v>
      </c>
      <c r="H1201">
        <v>79</v>
      </c>
      <c r="I1201" t="s">
        <v>317</v>
      </c>
      <c r="J1201" t="s">
        <v>8668</v>
      </c>
      <c r="L1201">
        <v>1</v>
      </c>
      <c r="M1201" t="s">
        <v>4502</v>
      </c>
      <c r="N1201" t="s">
        <v>6456</v>
      </c>
      <c r="O1201" t="s">
        <v>104</v>
      </c>
      <c r="P1201">
        <v>23522</v>
      </c>
      <c r="Q1201">
        <v>488566</v>
      </c>
      <c r="R1201" s="16" t="s">
        <v>8364</v>
      </c>
      <c r="S1201" s="16" t="s">
        <v>8069</v>
      </c>
      <c r="T1201" t="s">
        <v>7605</v>
      </c>
      <c r="U1201">
        <v>0</v>
      </c>
    </row>
    <row r="1202" spans="1:22">
      <c r="A1202">
        <v>1267</v>
      </c>
      <c r="B1202" t="s">
        <v>7615</v>
      </c>
      <c r="C1202">
        <v>1300</v>
      </c>
      <c r="D1202">
        <v>1300</v>
      </c>
      <c r="E1202">
        <v>13</v>
      </c>
      <c r="F1202" t="s">
        <v>12</v>
      </c>
      <c r="G1202" t="s">
        <v>1140</v>
      </c>
      <c r="H1202">
        <v>83</v>
      </c>
      <c r="I1202" t="s">
        <v>379</v>
      </c>
      <c r="J1202" t="s">
        <v>8668</v>
      </c>
      <c r="L1202">
        <v>0</v>
      </c>
      <c r="R1202" s="16" t="s">
        <v>8064</v>
      </c>
      <c r="S1202" s="16" t="s">
        <v>8064</v>
      </c>
      <c r="T1202" t="s">
        <v>7615</v>
      </c>
      <c r="U1202">
        <v>0</v>
      </c>
    </row>
    <row r="1203" spans="1:22">
      <c r="A1203">
        <v>1268</v>
      </c>
      <c r="B1203" t="s">
        <v>7616</v>
      </c>
      <c r="C1203">
        <v>1291</v>
      </c>
      <c r="D1203">
        <v>1291</v>
      </c>
      <c r="E1203">
        <v>13</v>
      </c>
      <c r="F1203" t="s">
        <v>12</v>
      </c>
      <c r="G1203" t="s">
        <v>100</v>
      </c>
      <c r="H1203">
        <v>84</v>
      </c>
      <c r="I1203" t="s">
        <v>374</v>
      </c>
      <c r="J1203" t="s">
        <v>8668</v>
      </c>
      <c r="L1203">
        <v>0</v>
      </c>
      <c r="R1203" s="16" t="s">
        <v>8064</v>
      </c>
      <c r="S1203" s="16" t="s">
        <v>8064</v>
      </c>
      <c r="T1203" t="s">
        <v>7616</v>
      </c>
      <c r="U1203">
        <v>0</v>
      </c>
    </row>
    <row r="1204" spans="1:22">
      <c r="A1204">
        <v>1275</v>
      </c>
      <c r="B1204" t="s">
        <v>7623</v>
      </c>
      <c r="C1204" t="s">
        <v>48</v>
      </c>
      <c r="D1204">
        <v>1128</v>
      </c>
      <c r="E1204">
        <v>12</v>
      </c>
      <c r="F1204" t="s">
        <v>12</v>
      </c>
      <c r="G1204" t="s">
        <v>1073</v>
      </c>
      <c r="H1204">
        <v>99</v>
      </c>
      <c r="I1204" t="s">
        <v>293</v>
      </c>
      <c r="J1204" t="s">
        <v>8668</v>
      </c>
      <c r="L1204">
        <v>0</v>
      </c>
      <c r="R1204" s="16" t="s">
        <v>8064</v>
      </c>
      <c r="S1204" s="16" t="s">
        <v>8064</v>
      </c>
      <c r="T1204" t="s">
        <v>7897</v>
      </c>
      <c r="U1204">
        <v>0</v>
      </c>
    </row>
    <row r="1205" spans="1:22">
      <c r="A1205">
        <v>1171</v>
      </c>
      <c r="B1205" t="s">
        <v>7520</v>
      </c>
      <c r="C1205" t="s">
        <v>4</v>
      </c>
      <c r="D1205">
        <v>1194</v>
      </c>
      <c r="E1205">
        <v>12</v>
      </c>
      <c r="F1205" t="s">
        <v>54</v>
      </c>
      <c r="G1205" t="s">
        <v>1098</v>
      </c>
      <c r="H1205">
        <v>108</v>
      </c>
      <c r="I1205" t="s">
        <v>325</v>
      </c>
      <c r="J1205" t="s">
        <v>8668</v>
      </c>
      <c r="L1205">
        <v>1</v>
      </c>
      <c r="M1205" t="s">
        <v>6362</v>
      </c>
      <c r="N1205" t="s">
        <v>6363</v>
      </c>
      <c r="O1205" t="s">
        <v>12</v>
      </c>
      <c r="P1205">
        <v>-28920</v>
      </c>
      <c r="Q1205">
        <v>531910</v>
      </c>
      <c r="R1205" s="16" t="s">
        <v>8499</v>
      </c>
      <c r="S1205" s="16" t="s">
        <v>8205</v>
      </c>
      <c r="T1205" t="s">
        <v>7520</v>
      </c>
      <c r="U1205">
        <v>0</v>
      </c>
    </row>
    <row r="1206" spans="1:22">
      <c r="A1206">
        <v>1172</v>
      </c>
      <c r="B1206" t="s">
        <v>7521</v>
      </c>
      <c r="C1206" t="s">
        <v>288</v>
      </c>
      <c r="D1206">
        <v>1060</v>
      </c>
      <c r="E1206">
        <v>11</v>
      </c>
      <c r="F1206" t="s">
        <v>289</v>
      </c>
      <c r="G1206" t="s">
        <v>382</v>
      </c>
      <c r="H1206">
        <v>117</v>
      </c>
      <c r="I1206" t="s">
        <v>276</v>
      </c>
      <c r="J1206" t="s">
        <v>8668</v>
      </c>
      <c r="L1206">
        <v>1</v>
      </c>
      <c r="M1206" t="s">
        <v>6424</v>
      </c>
      <c r="N1206" t="s">
        <v>6401</v>
      </c>
      <c r="O1206" t="s">
        <v>104</v>
      </c>
      <c r="P1206" t="s">
        <v>6425</v>
      </c>
      <c r="Q1206">
        <v>494260</v>
      </c>
      <c r="R1206" s="16" t="s">
        <v>8486</v>
      </c>
      <c r="S1206" s="16" t="s">
        <v>8190</v>
      </c>
      <c r="T1206" t="s">
        <v>7872</v>
      </c>
      <c r="U1206">
        <v>0</v>
      </c>
    </row>
    <row r="1207" spans="1:22">
      <c r="A1207">
        <v>1175</v>
      </c>
      <c r="B1207" t="s">
        <v>7524</v>
      </c>
      <c r="C1207" t="s">
        <v>55</v>
      </c>
      <c r="D1207">
        <v>1288</v>
      </c>
      <c r="E1207">
        <v>13</v>
      </c>
      <c r="F1207" t="s">
        <v>56</v>
      </c>
      <c r="G1207" t="s">
        <v>132</v>
      </c>
      <c r="H1207">
        <v>121</v>
      </c>
      <c r="I1207" t="s">
        <v>367</v>
      </c>
      <c r="J1207" t="s">
        <v>8668</v>
      </c>
      <c r="L1207">
        <v>1</v>
      </c>
      <c r="M1207" t="s">
        <v>6546</v>
      </c>
      <c r="N1207" t="s">
        <v>6547</v>
      </c>
      <c r="O1207" t="s">
        <v>104</v>
      </c>
      <c r="P1207" t="s">
        <v>6548</v>
      </c>
      <c r="Q1207" t="s">
        <v>6549</v>
      </c>
      <c r="R1207" s="16" t="s">
        <v>8504</v>
      </c>
      <c r="S1207" s="16" t="s">
        <v>8210</v>
      </c>
      <c r="T1207" t="s">
        <v>7524</v>
      </c>
      <c r="U1207">
        <v>0</v>
      </c>
    </row>
    <row r="1208" spans="1:22">
      <c r="A1208">
        <v>1176</v>
      </c>
      <c r="B1208" t="s">
        <v>7525</v>
      </c>
      <c r="C1208" t="s">
        <v>197</v>
      </c>
      <c r="D1208">
        <v>1162</v>
      </c>
      <c r="E1208">
        <v>12</v>
      </c>
      <c r="F1208" t="s">
        <v>198</v>
      </c>
      <c r="G1208" t="s">
        <v>199</v>
      </c>
      <c r="H1208">
        <v>133</v>
      </c>
      <c r="J1208" t="s">
        <v>8668</v>
      </c>
      <c r="L1208">
        <v>1</v>
      </c>
      <c r="M1208" t="s">
        <v>6366</v>
      </c>
      <c r="N1208" t="s">
        <v>6367</v>
      </c>
      <c r="O1208" t="s">
        <v>12</v>
      </c>
      <c r="P1208">
        <v>-19680</v>
      </c>
      <c r="Q1208">
        <v>517120</v>
      </c>
      <c r="R1208" s="16" t="s">
        <v>8445</v>
      </c>
      <c r="S1208" s="16" t="s">
        <v>8149</v>
      </c>
      <c r="T1208" t="s">
        <v>7525</v>
      </c>
      <c r="U1208">
        <v>0</v>
      </c>
    </row>
    <row r="1209" spans="1:22">
      <c r="A1209">
        <v>1177</v>
      </c>
      <c r="B1209" t="s">
        <v>7526</v>
      </c>
      <c r="C1209">
        <v>1290</v>
      </c>
      <c r="D1209">
        <v>1290</v>
      </c>
      <c r="E1209">
        <v>13</v>
      </c>
      <c r="F1209" t="s">
        <v>212</v>
      </c>
      <c r="G1209" t="s">
        <v>213</v>
      </c>
      <c r="H1209">
        <v>141</v>
      </c>
      <c r="J1209" t="s">
        <v>8668</v>
      </c>
      <c r="L1209">
        <v>1</v>
      </c>
      <c r="M1209" t="s">
        <v>6492</v>
      </c>
      <c r="N1209" t="s">
        <v>6357</v>
      </c>
      <c r="O1209" t="s">
        <v>104</v>
      </c>
      <c r="P1209">
        <v>40830</v>
      </c>
      <c r="Q1209">
        <v>482970</v>
      </c>
      <c r="R1209" s="16" t="s">
        <v>8505</v>
      </c>
      <c r="S1209" s="16" t="s">
        <v>8211</v>
      </c>
      <c r="T1209" t="s">
        <v>7526</v>
      </c>
      <c r="U1209">
        <v>0</v>
      </c>
      <c r="V1209" s="7"/>
    </row>
    <row r="1210" spans="1:22">
      <c r="A1210">
        <v>1178</v>
      </c>
      <c r="B1210" t="s">
        <v>7527</v>
      </c>
      <c r="C1210">
        <v>1290</v>
      </c>
      <c r="D1210">
        <v>1290</v>
      </c>
      <c r="E1210">
        <v>13</v>
      </c>
      <c r="F1210" t="s">
        <v>212</v>
      </c>
      <c r="G1210" t="s">
        <v>213</v>
      </c>
      <c r="H1210">
        <v>141</v>
      </c>
      <c r="J1210" t="s">
        <v>8668</v>
      </c>
      <c r="L1210">
        <v>1</v>
      </c>
      <c r="M1210" t="s">
        <v>6492</v>
      </c>
      <c r="N1210" t="s">
        <v>6357</v>
      </c>
      <c r="O1210" t="s">
        <v>104</v>
      </c>
      <c r="P1210">
        <v>40830</v>
      </c>
      <c r="Q1210">
        <v>482970</v>
      </c>
      <c r="R1210" s="16" t="s">
        <v>8505</v>
      </c>
      <c r="S1210" s="16" t="s">
        <v>8211</v>
      </c>
      <c r="T1210" t="s">
        <v>7527</v>
      </c>
      <c r="U1210">
        <v>0</v>
      </c>
    </row>
    <row r="1211" spans="1:22">
      <c r="A1211">
        <v>1179</v>
      </c>
      <c r="B1211" t="s">
        <v>7528</v>
      </c>
      <c r="C1211">
        <v>1290</v>
      </c>
      <c r="D1211">
        <v>1290</v>
      </c>
      <c r="E1211">
        <v>13</v>
      </c>
      <c r="F1211" t="s">
        <v>212</v>
      </c>
      <c r="G1211" t="s">
        <v>213</v>
      </c>
      <c r="H1211">
        <v>141</v>
      </c>
      <c r="J1211" t="s">
        <v>8668</v>
      </c>
      <c r="L1211">
        <v>1</v>
      </c>
      <c r="M1211" t="s">
        <v>6492</v>
      </c>
      <c r="N1211" t="s">
        <v>6357</v>
      </c>
      <c r="O1211" t="s">
        <v>104</v>
      </c>
      <c r="P1211">
        <v>40830</v>
      </c>
      <c r="Q1211">
        <v>482970</v>
      </c>
      <c r="R1211" s="16" t="s">
        <v>8505</v>
      </c>
      <c r="S1211" s="16" t="s">
        <v>8211</v>
      </c>
      <c r="T1211" t="s">
        <v>7528</v>
      </c>
      <c r="U1211">
        <v>0</v>
      </c>
    </row>
    <row r="1212" spans="1:22">
      <c r="A1212">
        <v>1180</v>
      </c>
      <c r="B1212" t="s">
        <v>7529</v>
      </c>
      <c r="C1212">
        <v>1265</v>
      </c>
      <c r="D1212">
        <v>1265</v>
      </c>
      <c r="E1212">
        <v>13</v>
      </c>
      <c r="F1212" t="s">
        <v>57</v>
      </c>
      <c r="G1212" t="s">
        <v>225</v>
      </c>
      <c r="H1212">
        <v>147</v>
      </c>
      <c r="I1212" t="s">
        <v>355</v>
      </c>
      <c r="J1212" t="s">
        <v>8668</v>
      </c>
      <c r="L1212">
        <v>1</v>
      </c>
      <c r="M1212" t="s">
        <v>6415</v>
      </c>
      <c r="N1212" t="s">
        <v>6416</v>
      </c>
      <c r="O1212" t="s">
        <v>11</v>
      </c>
      <c r="P1212">
        <v>100240</v>
      </c>
      <c r="Q1212">
        <v>451330</v>
      </c>
      <c r="R1212" s="16" t="s">
        <v>8506</v>
      </c>
      <c r="S1212" s="16" t="s">
        <v>8212</v>
      </c>
      <c r="T1212" t="s">
        <v>7529</v>
      </c>
      <c r="U1212">
        <v>0</v>
      </c>
    </row>
    <row r="1213" spans="1:22">
      <c r="A1213">
        <v>1184</v>
      </c>
      <c r="B1213" t="s">
        <v>7533</v>
      </c>
      <c r="C1213" t="s">
        <v>62</v>
      </c>
      <c r="D1213">
        <v>1088</v>
      </c>
      <c r="E1213">
        <v>11</v>
      </c>
      <c r="F1213" t="s">
        <v>59</v>
      </c>
      <c r="G1213" t="s">
        <v>1066</v>
      </c>
      <c r="H1213">
        <v>267</v>
      </c>
      <c r="I1213" t="s">
        <v>281</v>
      </c>
      <c r="J1213" t="s">
        <v>8668</v>
      </c>
      <c r="L1213">
        <v>1</v>
      </c>
      <c r="M1213" t="s">
        <v>6501</v>
      </c>
      <c r="N1213" t="s">
        <v>6502</v>
      </c>
      <c r="O1213" t="s">
        <v>6503</v>
      </c>
      <c r="P1213">
        <v>152320</v>
      </c>
      <c r="Q1213">
        <v>441190</v>
      </c>
      <c r="R1213" s="16" t="s">
        <v>8507</v>
      </c>
      <c r="S1213" s="16" t="s">
        <v>8213</v>
      </c>
      <c r="T1213" t="s">
        <v>7533</v>
      </c>
      <c r="U1213">
        <v>0</v>
      </c>
    </row>
    <row r="1214" spans="1:22">
      <c r="A1214">
        <v>1189</v>
      </c>
      <c r="B1214" t="s">
        <v>7538</v>
      </c>
      <c r="C1214" t="s">
        <v>69</v>
      </c>
      <c r="D1214">
        <v>1228</v>
      </c>
      <c r="E1214">
        <v>13</v>
      </c>
      <c r="F1214" t="s">
        <v>70</v>
      </c>
      <c r="G1214" t="s">
        <v>1107</v>
      </c>
      <c r="H1214">
        <v>276</v>
      </c>
      <c r="I1214" t="s">
        <v>337</v>
      </c>
      <c r="J1214" t="s">
        <v>8668</v>
      </c>
      <c r="L1214">
        <v>1</v>
      </c>
      <c r="M1214" t="s">
        <v>6512</v>
      </c>
      <c r="N1214" t="s">
        <v>6299</v>
      </c>
      <c r="O1214" t="s">
        <v>11</v>
      </c>
      <c r="P1214" t="s">
        <v>6513</v>
      </c>
      <c r="Q1214" t="s">
        <v>6514</v>
      </c>
      <c r="R1214" s="16" t="s">
        <v>8511</v>
      </c>
      <c r="S1214" s="16" t="s">
        <v>8217</v>
      </c>
      <c r="T1214" t="s">
        <v>7538</v>
      </c>
      <c r="U1214">
        <v>0</v>
      </c>
    </row>
    <row r="1215" spans="1:22">
      <c r="A1215">
        <v>1191</v>
      </c>
      <c r="B1215" t="s">
        <v>7539</v>
      </c>
      <c r="C1215">
        <v>1266</v>
      </c>
      <c r="D1215">
        <v>1266</v>
      </c>
      <c r="E1215">
        <v>13</v>
      </c>
      <c r="F1215" t="s">
        <v>73</v>
      </c>
      <c r="G1215" t="s">
        <v>1123</v>
      </c>
      <c r="H1215">
        <v>280</v>
      </c>
      <c r="I1215" t="s">
        <v>357</v>
      </c>
      <c r="J1215" t="s">
        <v>8668</v>
      </c>
      <c r="L1215">
        <v>1</v>
      </c>
      <c r="M1215" t="s">
        <v>6678</v>
      </c>
      <c r="N1215" t="s">
        <v>6473</v>
      </c>
      <c r="O1215" t="s">
        <v>11</v>
      </c>
      <c r="P1215" t="s">
        <v>6679</v>
      </c>
      <c r="Q1215" t="s">
        <v>6680</v>
      </c>
      <c r="R1215" s="16" t="s">
        <v>6679</v>
      </c>
      <c r="S1215" s="16" t="s">
        <v>6680</v>
      </c>
      <c r="T1215" t="s">
        <v>7539</v>
      </c>
      <c r="U1215">
        <v>0</v>
      </c>
    </row>
    <row r="1216" spans="1:22">
      <c r="A1216">
        <v>1194</v>
      </c>
      <c r="B1216" t="s">
        <v>7542</v>
      </c>
      <c r="C1216">
        <v>1204</v>
      </c>
      <c r="D1216">
        <v>1204</v>
      </c>
      <c r="E1216">
        <v>13</v>
      </c>
      <c r="F1216" t="s">
        <v>75</v>
      </c>
      <c r="G1216" t="s">
        <v>1102</v>
      </c>
      <c r="H1216">
        <v>315</v>
      </c>
      <c r="I1216" t="s">
        <v>331</v>
      </c>
      <c r="J1216" t="s">
        <v>8668</v>
      </c>
      <c r="L1216">
        <v>1</v>
      </c>
      <c r="M1216" t="s">
        <v>6473</v>
      </c>
      <c r="N1216" t="s">
        <v>6473</v>
      </c>
      <c r="O1216" t="s">
        <v>11</v>
      </c>
      <c r="P1216" t="s">
        <v>6911</v>
      </c>
      <c r="Q1216" t="s">
        <v>6912</v>
      </c>
      <c r="R1216" s="16" t="s">
        <v>8512</v>
      </c>
      <c r="S1216" s="16" t="s">
        <v>8218</v>
      </c>
      <c r="T1216" t="s">
        <v>7542</v>
      </c>
      <c r="U1216">
        <v>0</v>
      </c>
    </row>
    <row r="1217" spans="1:21">
      <c r="A1217">
        <v>1197</v>
      </c>
      <c r="B1217" t="s">
        <v>7545</v>
      </c>
      <c r="C1217" t="s">
        <v>76</v>
      </c>
      <c r="D1217">
        <v>1061</v>
      </c>
      <c r="E1217">
        <v>11</v>
      </c>
      <c r="F1217" t="s">
        <v>77</v>
      </c>
      <c r="G1217" t="s">
        <v>1061</v>
      </c>
      <c r="H1217">
        <v>374</v>
      </c>
      <c r="I1217" t="s">
        <v>277</v>
      </c>
      <c r="J1217" t="s">
        <v>8668</v>
      </c>
      <c r="L1217">
        <v>1</v>
      </c>
      <c r="M1217" t="s">
        <v>77</v>
      </c>
      <c r="N1217" t="s">
        <v>6416</v>
      </c>
      <c r="O1217" t="s">
        <v>11</v>
      </c>
      <c r="P1217">
        <v>91900</v>
      </c>
      <c r="Q1217">
        <v>454640</v>
      </c>
      <c r="R1217" s="16" t="s">
        <v>8432</v>
      </c>
      <c r="S1217" s="16" t="s">
        <v>8136</v>
      </c>
      <c r="T1217" t="s">
        <v>7545</v>
      </c>
      <c r="U1217">
        <v>0</v>
      </c>
    </row>
    <row r="1218" spans="1:21">
      <c r="A1218">
        <v>1198</v>
      </c>
      <c r="B1218" t="s">
        <v>7546</v>
      </c>
      <c r="C1218">
        <v>1145</v>
      </c>
      <c r="D1218">
        <v>1145</v>
      </c>
      <c r="E1218">
        <v>12</v>
      </c>
      <c r="F1218" t="s">
        <v>78</v>
      </c>
      <c r="G1218" t="s">
        <v>1078</v>
      </c>
      <c r="H1218">
        <v>399</v>
      </c>
      <c r="I1218" t="s">
        <v>301</v>
      </c>
      <c r="J1218" t="s">
        <v>8668</v>
      </c>
      <c r="L1218">
        <v>1</v>
      </c>
      <c r="M1218" t="s">
        <v>6970</v>
      </c>
      <c r="N1218" t="s">
        <v>6975</v>
      </c>
      <c r="O1218" t="s">
        <v>6976</v>
      </c>
      <c r="P1218">
        <v>98833</v>
      </c>
      <c r="Q1218">
        <v>451667</v>
      </c>
      <c r="R1218" s="16" t="s">
        <v>8513</v>
      </c>
      <c r="S1218" s="16" t="s">
        <v>8219</v>
      </c>
      <c r="T1218" t="s">
        <v>7546</v>
      </c>
      <c r="U1218">
        <v>0</v>
      </c>
    </row>
    <row r="1219" spans="1:21">
      <c r="A1219">
        <v>1199</v>
      </c>
      <c r="B1219" t="s">
        <v>7547</v>
      </c>
      <c r="C1219">
        <v>1282</v>
      </c>
      <c r="D1219">
        <v>1282</v>
      </c>
      <c r="E1219">
        <v>13</v>
      </c>
      <c r="F1219" t="s">
        <v>79</v>
      </c>
      <c r="G1219" t="s">
        <v>1130</v>
      </c>
      <c r="H1219">
        <v>416</v>
      </c>
      <c r="I1219" t="s">
        <v>366</v>
      </c>
      <c r="J1219" t="s">
        <v>8668</v>
      </c>
      <c r="L1219">
        <v>1</v>
      </c>
      <c r="M1219" t="s">
        <v>0</v>
      </c>
      <c r="N1219" t="s">
        <v>6399</v>
      </c>
      <c r="O1219" t="s">
        <v>12</v>
      </c>
      <c r="P1219">
        <v>-12570</v>
      </c>
      <c r="Q1219">
        <v>517520</v>
      </c>
      <c r="R1219" s="16" t="s">
        <v>8457</v>
      </c>
      <c r="S1219" s="16" t="s">
        <v>8060</v>
      </c>
      <c r="T1219" t="s">
        <v>7547</v>
      </c>
      <c r="U1219">
        <v>0</v>
      </c>
    </row>
    <row r="1220" spans="1:21">
      <c r="A1220">
        <v>1200</v>
      </c>
      <c r="B1220" t="s">
        <v>7548</v>
      </c>
      <c r="C1220" t="s">
        <v>302</v>
      </c>
      <c r="D1220">
        <v>1179</v>
      </c>
      <c r="E1220">
        <v>12</v>
      </c>
      <c r="F1220" t="s">
        <v>12</v>
      </c>
      <c r="G1220" t="s">
        <v>1079</v>
      </c>
      <c r="H1220">
        <v>417</v>
      </c>
      <c r="I1220" t="s">
        <v>322</v>
      </c>
      <c r="J1220" t="s">
        <v>8668</v>
      </c>
      <c r="L1220">
        <v>0</v>
      </c>
      <c r="R1220" s="16" t="s">
        <v>8064</v>
      </c>
      <c r="S1220" s="16" t="s">
        <v>8064</v>
      </c>
      <c r="T1220" t="s">
        <v>7875</v>
      </c>
      <c r="U1220">
        <v>0</v>
      </c>
    </row>
    <row r="1221" spans="1:21">
      <c r="A1221">
        <v>1201</v>
      </c>
      <c r="B1221" t="s">
        <v>7549</v>
      </c>
      <c r="C1221" t="s">
        <v>81</v>
      </c>
      <c r="D1221">
        <v>1166</v>
      </c>
      <c r="E1221">
        <v>12</v>
      </c>
      <c r="F1221" t="s">
        <v>82</v>
      </c>
      <c r="G1221" t="s">
        <v>1090</v>
      </c>
      <c r="H1221">
        <v>418</v>
      </c>
      <c r="I1221" t="s">
        <v>316</v>
      </c>
      <c r="J1221" t="s">
        <v>8668</v>
      </c>
      <c r="L1221">
        <v>0</v>
      </c>
      <c r="R1221" s="16" t="s">
        <v>8064</v>
      </c>
      <c r="S1221" s="16" t="s">
        <v>8064</v>
      </c>
      <c r="T1221" t="s">
        <v>7876</v>
      </c>
      <c r="U1221">
        <v>0</v>
      </c>
    </row>
    <row r="1222" spans="1:21">
      <c r="A1222">
        <v>1203</v>
      </c>
      <c r="B1222" t="s">
        <v>7551</v>
      </c>
      <c r="C1222" t="s">
        <v>83</v>
      </c>
      <c r="D1222">
        <v>997</v>
      </c>
      <c r="E1222">
        <v>10</v>
      </c>
      <c r="F1222" t="s">
        <v>12</v>
      </c>
      <c r="G1222" t="s">
        <v>1057</v>
      </c>
      <c r="H1222">
        <v>421</v>
      </c>
      <c r="I1222" t="s">
        <v>271</v>
      </c>
      <c r="J1222" t="s">
        <v>8668</v>
      </c>
      <c r="L1222">
        <v>0</v>
      </c>
      <c r="R1222" s="16" t="s">
        <v>8064</v>
      </c>
      <c r="S1222" s="16" t="s">
        <v>8064</v>
      </c>
      <c r="T1222" t="s">
        <v>7878</v>
      </c>
      <c r="U1222">
        <v>0</v>
      </c>
    </row>
    <row r="1223" spans="1:21">
      <c r="A1223">
        <v>1205</v>
      </c>
      <c r="B1223" t="s">
        <v>7553</v>
      </c>
      <c r="C1223" t="s">
        <v>86</v>
      </c>
      <c r="D1223">
        <v>1067</v>
      </c>
      <c r="E1223">
        <v>11</v>
      </c>
      <c r="F1223" t="s">
        <v>87</v>
      </c>
      <c r="G1223" t="s">
        <v>1065</v>
      </c>
      <c r="H1223">
        <v>436</v>
      </c>
      <c r="I1223" t="s">
        <v>280</v>
      </c>
      <c r="J1223" t="s">
        <v>8668</v>
      </c>
      <c r="L1223">
        <v>1</v>
      </c>
      <c r="M1223" t="s">
        <v>6635</v>
      </c>
      <c r="N1223" t="s">
        <v>6636</v>
      </c>
      <c r="O1223" t="s">
        <v>104</v>
      </c>
      <c r="P1223" t="s">
        <v>6637</v>
      </c>
      <c r="Q1223" t="s">
        <v>6638</v>
      </c>
      <c r="R1223" s="16" t="s">
        <v>8514</v>
      </c>
      <c r="S1223" s="16" t="s">
        <v>8220</v>
      </c>
      <c r="T1223" t="s">
        <v>7553</v>
      </c>
      <c r="U1223">
        <v>0</v>
      </c>
    </row>
    <row r="1224" spans="1:21">
      <c r="A1224">
        <v>1207</v>
      </c>
      <c r="B1224" t="s">
        <v>7555</v>
      </c>
      <c r="C1224">
        <v>1294</v>
      </c>
      <c r="D1224">
        <v>1294</v>
      </c>
      <c r="E1224">
        <v>13</v>
      </c>
      <c r="F1224" t="s">
        <v>88</v>
      </c>
      <c r="G1224" t="s">
        <v>1137</v>
      </c>
      <c r="H1224">
        <v>453</v>
      </c>
      <c r="I1224" t="s">
        <v>376</v>
      </c>
      <c r="J1224" t="s">
        <v>8668</v>
      </c>
      <c r="L1224">
        <v>1</v>
      </c>
      <c r="M1224" t="s">
        <v>6470</v>
      </c>
      <c r="N1224" t="s">
        <v>6305</v>
      </c>
      <c r="O1224" t="s">
        <v>104</v>
      </c>
      <c r="P1224">
        <v>30160</v>
      </c>
      <c r="Q1224">
        <v>496480</v>
      </c>
      <c r="R1224" s="16" t="s">
        <v>8515</v>
      </c>
      <c r="S1224" s="16" t="s">
        <v>8221</v>
      </c>
      <c r="T1224" t="s">
        <v>7555</v>
      </c>
      <c r="U1224">
        <v>0</v>
      </c>
    </row>
    <row r="1225" spans="1:21">
      <c r="A1225">
        <v>1208</v>
      </c>
      <c r="B1225" t="s">
        <v>7556</v>
      </c>
      <c r="C1225" t="s">
        <v>90</v>
      </c>
      <c r="D1225">
        <v>1265</v>
      </c>
      <c r="E1225">
        <v>13</v>
      </c>
      <c r="F1225" t="s">
        <v>91</v>
      </c>
      <c r="G1225" t="s">
        <v>1120</v>
      </c>
      <c r="H1225">
        <v>458</v>
      </c>
      <c r="I1225" t="s">
        <v>354</v>
      </c>
      <c r="J1225" t="s">
        <v>8668</v>
      </c>
      <c r="L1225">
        <v>1</v>
      </c>
      <c r="M1225" t="s">
        <v>0</v>
      </c>
      <c r="N1225" t="s">
        <v>6399</v>
      </c>
      <c r="O1225" t="s">
        <v>12</v>
      </c>
      <c r="P1225">
        <v>-12570</v>
      </c>
      <c r="Q1225">
        <v>517520</v>
      </c>
      <c r="R1225" s="16" t="s">
        <v>8457</v>
      </c>
      <c r="S1225" s="16" t="s">
        <v>8060</v>
      </c>
      <c r="T1225" t="s">
        <v>7556</v>
      </c>
      <c r="U1225">
        <v>0</v>
      </c>
    </row>
    <row r="1226" spans="1:21">
      <c r="A1226">
        <v>1210</v>
      </c>
      <c r="B1226" t="s">
        <v>7558</v>
      </c>
      <c r="C1226" t="s">
        <v>92</v>
      </c>
      <c r="D1226">
        <v>1260</v>
      </c>
      <c r="E1226">
        <v>13</v>
      </c>
      <c r="F1226" t="s">
        <v>12</v>
      </c>
      <c r="G1226" t="s">
        <v>1119</v>
      </c>
      <c r="H1226">
        <v>460</v>
      </c>
      <c r="I1226" t="s">
        <v>351</v>
      </c>
      <c r="J1226" t="s">
        <v>8668</v>
      </c>
      <c r="L1226">
        <v>0</v>
      </c>
      <c r="R1226" s="16" t="s">
        <v>8064</v>
      </c>
      <c r="S1226" s="16" t="s">
        <v>8064</v>
      </c>
      <c r="T1226" t="s">
        <v>7880</v>
      </c>
      <c r="U1226">
        <v>0</v>
      </c>
    </row>
    <row r="1227" spans="1:21">
      <c r="A1227">
        <v>1212</v>
      </c>
      <c r="B1227" t="s">
        <v>7560</v>
      </c>
      <c r="C1227" t="s">
        <v>94</v>
      </c>
      <c r="D1227">
        <v>1225</v>
      </c>
      <c r="E1227">
        <v>13</v>
      </c>
      <c r="F1227" t="s">
        <v>95</v>
      </c>
      <c r="G1227" t="s">
        <v>1105</v>
      </c>
      <c r="H1227">
        <v>469</v>
      </c>
      <c r="I1227" t="s">
        <v>335</v>
      </c>
      <c r="J1227" t="s">
        <v>8668</v>
      </c>
      <c r="L1227">
        <v>1</v>
      </c>
      <c r="M1227" t="s">
        <v>6387</v>
      </c>
      <c r="N1227" t="s">
        <v>6388</v>
      </c>
      <c r="O1227" t="s">
        <v>12</v>
      </c>
      <c r="P1227">
        <v>-15770</v>
      </c>
      <c r="Q1227">
        <v>547750</v>
      </c>
      <c r="R1227" s="16" t="s">
        <v>8398</v>
      </c>
      <c r="S1227" s="16" t="s">
        <v>8102</v>
      </c>
      <c r="T1227" t="s">
        <v>7560</v>
      </c>
      <c r="U1227">
        <v>0</v>
      </c>
    </row>
    <row r="1228" spans="1:21">
      <c r="A1228">
        <v>1213</v>
      </c>
      <c r="B1228" t="s">
        <v>7561</v>
      </c>
      <c r="C1228" t="s">
        <v>97</v>
      </c>
      <c r="D1228">
        <v>1025</v>
      </c>
      <c r="E1228">
        <v>11</v>
      </c>
      <c r="F1228" t="s">
        <v>98</v>
      </c>
      <c r="G1228" t="s">
        <v>1059</v>
      </c>
      <c r="H1228">
        <v>471</v>
      </c>
      <c r="I1228" t="s">
        <v>274</v>
      </c>
      <c r="J1228" t="s">
        <v>8668</v>
      </c>
      <c r="L1228">
        <v>1</v>
      </c>
      <c r="M1228" t="s">
        <v>6381</v>
      </c>
      <c r="N1228" t="s">
        <v>6331</v>
      </c>
      <c r="O1228" t="s">
        <v>12</v>
      </c>
      <c r="P1228" t="s">
        <v>6382</v>
      </c>
      <c r="Q1228">
        <v>526310</v>
      </c>
      <c r="R1228" s="16" t="s">
        <v>8517</v>
      </c>
      <c r="S1228" s="16" t="s">
        <v>8142</v>
      </c>
      <c r="T1228" t="s">
        <v>7561</v>
      </c>
      <c r="U1228">
        <v>0</v>
      </c>
    </row>
    <row r="1229" spans="1:21">
      <c r="A1229">
        <v>1216</v>
      </c>
      <c r="B1229" t="s">
        <v>7564</v>
      </c>
      <c r="C1229">
        <v>1234</v>
      </c>
      <c r="D1229">
        <v>1234</v>
      </c>
      <c r="E1229">
        <v>13</v>
      </c>
      <c r="F1229" t="s">
        <v>12</v>
      </c>
      <c r="G1229" t="s">
        <v>1108</v>
      </c>
      <c r="H1229">
        <v>518</v>
      </c>
      <c r="I1229" t="s">
        <v>338</v>
      </c>
      <c r="J1229" t="s">
        <v>8668</v>
      </c>
      <c r="L1229">
        <v>0</v>
      </c>
      <c r="R1229" s="16" t="s">
        <v>8064</v>
      </c>
      <c r="S1229" s="16" t="s">
        <v>8064</v>
      </c>
      <c r="T1229" t="s">
        <v>7881</v>
      </c>
      <c r="U1229">
        <v>0</v>
      </c>
    </row>
    <row r="1230" spans="1:21">
      <c r="A1230">
        <v>1217</v>
      </c>
      <c r="B1230" t="s">
        <v>7565</v>
      </c>
      <c r="C1230" s="1" t="s">
        <v>101</v>
      </c>
      <c r="D1230" s="1">
        <v>948</v>
      </c>
      <c r="E1230" s="1">
        <v>10</v>
      </c>
      <c r="F1230" t="s">
        <v>50</v>
      </c>
      <c r="G1230" t="s">
        <v>1056</v>
      </c>
      <c r="H1230">
        <v>519</v>
      </c>
      <c r="I1230" t="s">
        <v>269</v>
      </c>
      <c r="J1230" t="s">
        <v>8668</v>
      </c>
      <c r="L1230">
        <v>1</v>
      </c>
      <c r="M1230" t="s">
        <v>6412</v>
      </c>
      <c r="N1230" t="s">
        <v>6413</v>
      </c>
      <c r="O1230" t="s">
        <v>12</v>
      </c>
      <c r="P1230">
        <v>-27380</v>
      </c>
      <c r="Q1230">
        <v>511450</v>
      </c>
      <c r="R1230" s="16" t="s">
        <v>8502</v>
      </c>
      <c r="S1230" s="16" t="s">
        <v>8208</v>
      </c>
      <c r="T1230" t="s">
        <v>7565</v>
      </c>
      <c r="U1230">
        <v>0</v>
      </c>
    </row>
    <row r="1231" spans="1:21">
      <c r="A1231">
        <v>1218</v>
      </c>
      <c r="B1231" t="s">
        <v>7566</v>
      </c>
      <c r="C1231" s="1" t="s">
        <v>102</v>
      </c>
      <c r="D1231" s="1">
        <v>1073</v>
      </c>
      <c r="E1231" s="1">
        <v>11</v>
      </c>
      <c r="F1231" t="s">
        <v>34</v>
      </c>
      <c r="G1231" t="s">
        <v>1062</v>
      </c>
      <c r="H1231">
        <v>520</v>
      </c>
      <c r="I1231" t="s">
        <v>291</v>
      </c>
      <c r="J1231" t="s">
        <v>8668</v>
      </c>
      <c r="L1231">
        <v>1</v>
      </c>
      <c r="M1231" t="s">
        <v>6497</v>
      </c>
      <c r="N1231" t="s">
        <v>6385</v>
      </c>
      <c r="O1231" t="s">
        <v>12</v>
      </c>
      <c r="P1231" t="s">
        <v>6968</v>
      </c>
      <c r="Q1231" t="s">
        <v>6969</v>
      </c>
      <c r="R1231" s="16" t="s">
        <v>8358</v>
      </c>
      <c r="S1231" s="16" t="s">
        <v>8061</v>
      </c>
      <c r="T1231" t="s">
        <v>7566</v>
      </c>
      <c r="U1231">
        <v>0</v>
      </c>
    </row>
    <row r="1232" spans="1:21">
      <c r="A1232">
        <v>1219</v>
      </c>
      <c r="B1232" t="s">
        <v>7567</v>
      </c>
      <c r="C1232" s="1" t="s">
        <v>102</v>
      </c>
      <c r="D1232" s="1">
        <v>1073</v>
      </c>
      <c r="E1232" s="1">
        <v>11</v>
      </c>
      <c r="F1232" t="s">
        <v>34</v>
      </c>
      <c r="G1232" t="s">
        <v>1062</v>
      </c>
      <c r="H1232">
        <v>520</v>
      </c>
      <c r="I1232" t="s">
        <v>292</v>
      </c>
      <c r="J1232" t="s">
        <v>8668</v>
      </c>
      <c r="L1232">
        <v>1</v>
      </c>
      <c r="M1232" t="s">
        <v>6497</v>
      </c>
      <c r="N1232" t="s">
        <v>6385</v>
      </c>
      <c r="O1232" t="s">
        <v>12</v>
      </c>
      <c r="P1232" t="s">
        <v>6968</v>
      </c>
      <c r="Q1232" t="s">
        <v>6969</v>
      </c>
      <c r="R1232" s="16" t="s">
        <v>8358</v>
      </c>
      <c r="S1232" s="16" t="s">
        <v>8061</v>
      </c>
      <c r="T1232" t="s">
        <v>7567</v>
      </c>
      <c r="U1232">
        <v>0</v>
      </c>
    </row>
    <row r="1233" spans="1:21">
      <c r="A1233">
        <v>1220</v>
      </c>
      <c r="B1233" t="s">
        <v>7568</v>
      </c>
      <c r="C1233" t="s">
        <v>102</v>
      </c>
      <c r="D1233">
        <v>1073</v>
      </c>
      <c r="E1233">
        <v>11</v>
      </c>
      <c r="F1233" t="s">
        <v>34</v>
      </c>
      <c r="G1233" t="s">
        <v>1063</v>
      </c>
      <c r="H1233">
        <v>530</v>
      </c>
      <c r="I1233" t="s">
        <v>278</v>
      </c>
      <c r="J1233" t="s">
        <v>8668</v>
      </c>
      <c r="L1233">
        <v>1</v>
      </c>
      <c r="M1233" t="s">
        <v>6497</v>
      </c>
      <c r="N1233" t="s">
        <v>6385</v>
      </c>
      <c r="O1233" t="s">
        <v>12</v>
      </c>
      <c r="P1233" t="s">
        <v>6968</v>
      </c>
      <c r="Q1233" t="s">
        <v>6969</v>
      </c>
      <c r="R1233" s="16" t="s">
        <v>8358</v>
      </c>
      <c r="S1233" s="16" t="s">
        <v>8061</v>
      </c>
      <c r="T1233" t="s">
        <v>7568</v>
      </c>
      <c r="U1233">
        <v>0</v>
      </c>
    </row>
    <row r="1234" spans="1:21">
      <c r="A1234">
        <v>1221</v>
      </c>
      <c r="B1234" t="s">
        <v>7569</v>
      </c>
      <c r="C1234">
        <v>1254</v>
      </c>
      <c r="D1234">
        <v>1254</v>
      </c>
      <c r="E1234">
        <v>13</v>
      </c>
      <c r="F1234" t="s">
        <v>43</v>
      </c>
      <c r="G1234" t="s">
        <v>1115</v>
      </c>
      <c r="H1234">
        <v>531</v>
      </c>
      <c r="I1234" t="s">
        <v>347</v>
      </c>
      <c r="J1234" t="s">
        <v>8668</v>
      </c>
      <c r="L1234">
        <v>0</v>
      </c>
      <c r="R1234" s="16" t="s">
        <v>8064</v>
      </c>
      <c r="S1234" s="16" t="s">
        <v>8064</v>
      </c>
      <c r="T1234" t="s">
        <v>7569</v>
      </c>
      <c r="U1234">
        <v>0</v>
      </c>
    </row>
    <row r="1235" spans="1:21">
      <c r="A1235">
        <v>1222</v>
      </c>
      <c r="B1235" t="s">
        <v>7570</v>
      </c>
      <c r="C1235" t="s">
        <v>103</v>
      </c>
      <c r="D1235">
        <v>1219</v>
      </c>
      <c r="E1235">
        <v>13</v>
      </c>
      <c r="F1235" t="s">
        <v>104</v>
      </c>
      <c r="G1235" t="s">
        <v>1104</v>
      </c>
      <c r="H1235">
        <v>547</v>
      </c>
      <c r="I1235" t="s">
        <v>334</v>
      </c>
      <c r="J1235" t="s">
        <v>8668</v>
      </c>
      <c r="L1235">
        <v>0</v>
      </c>
      <c r="R1235" s="16" t="s">
        <v>8064</v>
      </c>
      <c r="S1235" s="16" t="s">
        <v>8064</v>
      </c>
      <c r="T1235" t="s">
        <v>7570</v>
      </c>
      <c r="U1235">
        <v>0</v>
      </c>
    </row>
    <row r="1236" spans="1:21">
      <c r="A1236">
        <v>1223</v>
      </c>
      <c r="B1236" t="s">
        <v>7571</v>
      </c>
      <c r="C1236" t="s">
        <v>105</v>
      </c>
      <c r="D1236">
        <v>1257</v>
      </c>
      <c r="E1236">
        <v>13</v>
      </c>
      <c r="F1236" t="s">
        <v>106</v>
      </c>
      <c r="G1236" t="s">
        <v>1117</v>
      </c>
      <c r="H1236">
        <v>551</v>
      </c>
      <c r="I1236" t="s">
        <v>349</v>
      </c>
      <c r="J1236" t="s">
        <v>8668</v>
      </c>
      <c r="L1236">
        <v>1</v>
      </c>
      <c r="M1236" t="s">
        <v>6380</v>
      </c>
      <c r="N1236" t="s">
        <v>6999</v>
      </c>
      <c r="O1236" t="s">
        <v>6984</v>
      </c>
      <c r="P1236">
        <v>-45000</v>
      </c>
      <c r="Q1236">
        <v>500000</v>
      </c>
      <c r="R1236" s="16" t="s">
        <v>8518</v>
      </c>
      <c r="S1236" s="16" t="s">
        <v>8223</v>
      </c>
      <c r="T1236" t="s">
        <v>7571</v>
      </c>
      <c r="U1236">
        <v>0</v>
      </c>
    </row>
    <row r="1237" spans="1:21">
      <c r="A1237">
        <v>1224</v>
      </c>
      <c r="B1237" t="s">
        <v>7572</v>
      </c>
      <c r="C1237" t="s">
        <v>127</v>
      </c>
      <c r="D1237">
        <v>1244</v>
      </c>
      <c r="E1237">
        <v>13</v>
      </c>
      <c r="F1237" t="s">
        <v>12</v>
      </c>
      <c r="G1237" t="s">
        <v>1111</v>
      </c>
      <c r="H1237">
        <v>565</v>
      </c>
      <c r="I1237" t="s">
        <v>343</v>
      </c>
      <c r="J1237" t="s">
        <v>8668</v>
      </c>
      <c r="L1237">
        <v>0</v>
      </c>
      <c r="R1237" s="16" t="s">
        <v>8064</v>
      </c>
      <c r="S1237" s="16" t="s">
        <v>8064</v>
      </c>
      <c r="T1237" t="s">
        <v>7882</v>
      </c>
      <c r="U1237">
        <v>0</v>
      </c>
    </row>
    <row r="1238" spans="1:21">
      <c r="A1238">
        <v>1225</v>
      </c>
      <c r="B1238" t="s">
        <v>7573</v>
      </c>
      <c r="C1238">
        <v>1238</v>
      </c>
      <c r="D1238">
        <v>1238</v>
      </c>
      <c r="E1238">
        <v>13</v>
      </c>
      <c r="F1238" t="s">
        <v>107</v>
      </c>
      <c r="G1238" t="s">
        <v>1109</v>
      </c>
      <c r="H1238">
        <v>573</v>
      </c>
      <c r="I1238" t="s">
        <v>339</v>
      </c>
      <c r="J1238" t="s">
        <v>8668</v>
      </c>
      <c r="L1238">
        <v>1</v>
      </c>
      <c r="M1238" t="s">
        <v>6333</v>
      </c>
      <c r="N1238" t="s">
        <v>6334</v>
      </c>
      <c r="O1238" t="s">
        <v>3995</v>
      </c>
      <c r="P1238">
        <v>86160</v>
      </c>
      <c r="Q1238">
        <v>516330</v>
      </c>
      <c r="R1238" s="16" t="s">
        <v>8519</v>
      </c>
      <c r="S1238" s="16" t="s">
        <v>8224</v>
      </c>
      <c r="T1238" t="s">
        <v>7573</v>
      </c>
      <c r="U1238">
        <v>0</v>
      </c>
    </row>
    <row r="1239" spans="1:21">
      <c r="A1239">
        <v>1226</v>
      </c>
      <c r="B1239" t="s">
        <v>7574</v>
      </c>
      <c r="C1239">
        <v>1288</v>
      </c>
      <c r="D1239">
        <v>1288</v>
      </c>
      <c r="E1239">
        <v>13</v>
      </c>
      <c r="F1239" t="s">
        <v>108</v>
      </c>
      <c r="G1239" t="s">
        <v>1132</v>
      </c>
      <c r="H1239">
        <v>590</v>
      </c>
      <c r="I1239" t="s">
        <v>369</v>
      </c>
      <c r="J1239" t="s">
        <v>8668</v>
      </c>
      <c r="L1239">
        <v>1</v>
      </c>
      <c r="M1239" t="s">
        <v>108</v>
      </c>
      <c r="N1239" t="s">
        <v>6859</v>
      </c>
      <c r="O1239" t="s">
        <v>104</v>
      </c>
      <c r="P1239" t="s">
        <v>6764</v>
      </c>
      <c r="Q1239" t="s">
        <v>6765</v>
      </c>
      <c r="R1239" s="16" t="s">
        <v>8367</v>
      </c>
      <c r="S1239" s="16" t="s">
        <v>8072</v>
      </c>
      <c r="T1239" t="s">
        <v>7883</v>
      </c>
      <c r="U1239">
        <v>0</v>
      </c>
    </row>
    <row r="1240" spans="1:21">
      <c r="A1240">
        <v>1228</v>
      </c>
      <c r="B1240" t="s">
        <v>7576</v>
      </c>
      <c r="C1240">
        <v>1260</v>
      </c>
      <c r="D1240">
        <v>1260</v>
      </c>
      <c r="E1240">
        <v>13</v>
      </c>
      <c r="F1240" t="s">
        <v>104</v>
      </c>
      <c r="G1240" t="s">
        <v>1118</v>
      </c>
      <c r="H1240">
        <v>616</v>
      </c>
      <c r="I1240" t="s">
        <v>352</v>
      </c>
      <c r="J1240" t="s">
        <v>8668</v>
      </c>
      <c r="L1240">
        <v>0</v>
      </c>
      <c r="R1240" s="16" t="s">
        <v>8064</v>
      </c>
      <c r="S1240" s="16" t="s">
        <v>8064</v>
      </c>
      <c r="T1240" t="s">
        <v>7576</v>
      </c>
      <c r="U1240">
        <v>0</v>
      </c>
    </row>
    <row r="1241" spans="1:21">
      <c r="A1241">
        <v>1232</v>
      </c>
      <c r="B1241" t="s">
        <v>7580</v>
      </c>
      <c r="C1241" t="s">
        <v>113</v>
      </c>
      <c r="D1241">
        <v>1273</v>
      </c>
      <c r="E1241">
        <v>13</v>
      </c>
      <c r="F1241" t="s">
        <v>114</v>
      </c>
      <c r="G1241" t="s">
        <v>1128</v>
      </c>
      <c r="H1241">
        <v>622</v>
      </c>
      <c r="I1241" t="s">
        <v>363</v>
      </c>
      <c r="J1241" t="s">
        <v>8668</v>
      </c>
      <c r="L1241">
        <v>1</v>
      </c>
      <c r="M1241" t="s">
        <v>6508</v>
      </c>
      <c r="N1241" t="s">
        <v>6509</v>
      </c>
      <c r="O1241" t="s">
        <v>104</v>
      </c>
      <c r="P1241" t="s">
        <v>6510</v>
      </c>
      <c r="Q1241" t="s">
        <v>6511</v>
      </c>
      <c r="R1241" s="16" t="s">
        <v>8522</v>
      </c>
      <c r="S1241" s="16" t="s">
        <v>8227</v>
      </c>
      <c r="T1241" t="s">
        <v>7580</v>
      </c>
      <c r="U1241">
        <v>0</v>
      </c>
    </row>
    <row r="1242" spans="1:21">
      <c r="A1242">
        <v>1233</v>
      </c>
      <c r="B1242" t="s">
        <v>7581</v>
      </c>
      <c r="C1242">
        <v>1228</v>
      </c>
      <c r="D1242">
        <v>1228</v>
      </c>
      <c r="E1242">
        <v>13</v>
      </c>
      <c r="F1242" t="s">
        <v>116</v>
      </c>
      <c r="G1242" t="s">
        <v>1106</v>
      </c>
      <c r="H1242">
        <v>623</v>
      </c>
      <c r="I1242" s="1" t="s">
        <v>336</v>
      </c>
      <c r="J1242" t="s">
        <v>8668</v>
      </c>
      <c r="L1242">
        <v>0</v>
      </c>
      <c r="R1242" s="16" t="s">
        <v>8064</v>
      </c>
      <c r="S1242" s="16" t="s">
        <v>8064</v>
      </c>
      <c r="T1242" t="s">
        <v>7581</v>
      </c>
      <c r="U1242">
        <v>0</v>
      </c>
    </row>
    <row r="1243" spans="1:21">
      <c r="A1243">
        <v>1235</v>
      </c>
      <c r="B1243" t="s">
        <v>7583</v>
      </c>
      <c r="C1243" t="s">
        <v>118</v>
      </c>
      <c r="D1243">
        <v>1265</v>
      </c>
      <c r="E1243">
        <v>13</v>
      </c>
      <c r="F1243" t="s">
        <v>50</v>
      </c>
      <c r="G1243" t="s">
        <v>1121</v>
      </c>
      <c r="H1243">
        <v>633</v>
      </c>
      <c r="I1243" t="s">
        <v>356</v>
      </c>
      <c r="J1243" t="s">
        <v>8668</v>
      </c>
      <c r="L1243">
        <v>1</v>
      </c>
      <c r="M1243" t="s">
        <v>6412</v>
      </c>
      <c r="N1243" t="s">
        <v>6413</v>
      </c>
      <c r="O1243" t="s">
        <v>12</v>
      </c>
      <c r="P1243">
        <v>-27380</v>
      </c>
      <c r="Q1243">
        <v>511450</v>
      </c>
      <c r="R1243" s="16" t="s">
        <v>8502</v>
      </c>
      <c r="S1243" s="16" t="s">
        <v>8208</v>
      </c>
      <c r="T1243" t="s">
        <v>7886</v>
      </c>
      <c r="U1243">
        <v>0</v>
      </c>
    </row>
    <row r="1244" spans="1:21">
      <c r="A1244">
        <v>1237</v>
      </c>
      <c r="B1244" t="s">
        <v>7585</v>
      </c>
      <c r="C1244" t="s">
        <v>119</v>
      </c>
      <c r="D1244">
        <v>1117</v>
      </c>
      <c r="E1244">
        <v>12</v>
      </c>
      <c r="F1244" t="s">
        <v>45</v>
      </c>
      <c r="G1244" t="s">
        <v>1070</v>
      </c>
      <c r="H1244">
        <v>657</v>
      </c>
      <c r="I1244" t="s">
        <v>286</v>
      </c>
      <c r="J1244" t="s">
        <v>8668</v>
      </c>
      <c r="L1244">
        <v>1</v>
      </c>
      <c r="M1244" t="s">
        <v>6339</v>
      </c>
      <c r="N1244" t="s">
        <v>6340</v>
      </c>
      <c r="O1244" t="s">
        <v>12</v>
      </c>
      <c r="P1244" t="s">
        <v>6341</v>
      </c>
      <c r="Q1244">
        <v>522480</v>
      </c>
      <c r="R1244" s="16" t="s">
        <v>8414</v>
      </c>
      <c r="S1244" s="16" t="s">
        <v>8118</v>
      </c>
      <c r="T1244" t="s">
        <v>7585</v>
      </c>
      <c r="U1244">
        <v>0</v>
      </c>
    </row>
    <row r="1245" spans="1:21">
      <c r="A1245">
        <v>1238</v>
      </c>
      <c r="B1245" t="s">
        <v>7586</v>
      </c>
      <c r="C1245" t="s">
        <v>6</v>
      </c>
      <c r="D1245">
        <v>1208</v>
      </c>
      <c r="E1245">
        <v>13</v>
      </c>
      <c r="F1245" t="s">
        <v>12</v>
      </c>
      <c r="G1245" t="s">
        <v>1103</v>
      </c>
      <c r="H1245">
        <v>658</v>
      </c>
      <c r="I1245" t="s">
        <v>332</v>
      </c>
      <c r="J1245" t="s">
        <v>8668</v>
      </c>
      <c r="L1245">
        <v>0</v>
      </c>
      <c r="R1245" s="16" t="s">
        <v>8064</v>
      </c>
      <c r="S1245" s="16" t="s">
        <v>8064</v>
      </c>
      <c r="T1245" t="s">
        <v>7586</v>
      </c>
      <c r="U1245">
        <v>0</v>
      </c>
    </row>
    <row r="1246" spans="1:21">
      <c r="A1246">
        <v>1239</v>
      </c>
      <c r="B1246" t="s">
        <v>7587</v>
      </c>
      <c r="C1246" t="s">
        <v>120</v>
      </c>
      <c r="D1246">
        <v>1177</v>
      </c>
      <c r="E1246">
        <v>12</v>
      </c>
      <c r="F1246" t="s">
        <v>121</v>
      </c>
      <c r="G1246" t="s">
        <v>1094</v>
      </c>
      <c r="H1246">
        <v>661</v>
      </c>
      <c r="I1246" t="s">
        <v>321</v>
      </c>
      <c r="J1246" t="s">
        <v>8668</v>
      </c>
      <c r="L1246">
        <v>1</v>
      </c>
      <c r="M1246" t="s">
        <v>1</v>
      </c>
      <c r="N1246" t="s">
        <v>6445</v>
      </c>
      <c r="O1246" t="s">
        <v>12</v>
      </c>
      <c r="P1246" t="s">
        <v>6446</v>
      </c>
      <c r="Q1246">
        <v>515074</v>
      </c>
      <c r="R1246" s="16" t="s">
        <v>6446</v>
      </c>
      <c r="S1246" s="16" t="s">
        <v>8068</v>
      </c>
      <c r="T1246" t="s">
        <v>7587</v>
      </c>
      <c r="U1246">
        <v>0</v>
      </c>
    </row>
    <row r="1247" spans="1:21">
      <c r="A1247">
        <v>1240</v>
      </c>
      <c r="B1247" t="s">
        <v>7588</v>
      </c>
      <c r="C1247" t="s">
        <v>122</v>
      </c>
      <c r="D1247">
        <v>1134</v>
      </c>
      <c r="E1247">
        <v>12</v>
      </c>
      <c r="F1247" t="s">
        <v>123</v>
      </c>
      <c r="G1247" t="s">
        <v>1069</v>
      </c>
      <c r="H1247">
        <v>666</v>
      </c>
      <c r="I1247" t="s">
        <v>285</v>
      </c>
      <c r="J1247" t="s">
        <v>8668</v>
      </c>
      <c r="L1247">
        <v>1</v>
      </c>
      <c r="M1247" t="s">
        <v>7000</v>
      </c>
      <c r="N1247" t="s">
        <v>7001</v>
      </c>
      <c r="O1247" t="s">
        <v>7002</v>
      </c>
      <c r="P1247">
        <v>-80600</v>
      </c>
      <c r="Q1247">
        <v>525200</v>
      </c>
      <c r="R1247" s="16" t="s">
        <v>8523</v>
      </c>
      <c r="S1247" s="16" t="s">
        <v>8228</v>
      </c>
      <c r="T1247" t="s">
        <v>7887</v>
      </c>
      <c r="U1247">
        <v>0</v>
      </c>
    </row>
    <row r="1248" spans="1:21">
      <c r="A1248">
        <v>1242</v>
      </c>
      <c r="B1248" t="s">
        <v>7590</v>
      </c>
      <c r="C1248">
        <v>1199</v>
      </c>
      <c r="D1248">
        <v>1199</v>
      </c>
      <c r="E1248">
        <v>12</v>
      </c>
      <c r="F1248" t="s">
        <v>124</v>
      </c>
      <c r="G1248" t="s">
        <v>1100</v>
      </c>
      <c r="H1248">
        <v>676</v>
      </c>
      <c r="I1248" t="s">
        <v>328</v>
      </c>
      <c r="J1248" t="s">
        <v>8668</v>
      </c>
      <c r="L1248">
        <v>0</v>
      </c>
      <c r="R1248" s="16" t="s">
        <v>8064</v>
      </c>
      <c r="S1248" s="16" t="s">
        <v>8064</v>
      </c>
      <c r="T1248" t="s">
        <v>7590</v>
      </c>
      <c r="U1248">
        <v>0</v>
      </c>
    </row>
    <row r="1249" spans="1:21">
      <c r="A1249">
        <v>1243</v>
      </c>
      <c r="B1249" t="s">
        <v>7591</v>
      </c>
      <c r="C1249" t="s">
        <v>125</v>
      </c>
      <c r="D1249">
        <v>1292</v>
      </c>
      <c r="E1249">
        <v>13</v>
      </c>
      <c r="F1249" t="s">
        <v>52</v>
      </c>
      <c r="G1249" t="s">
        <v>1134</v>
      </c>
      <c r="H1249">
        <v>678</v>
      </c>
      <c r="I1249" t="s">
        <v>372</v>
      </c>
      <c r="J1249" t="s">
        <v>8668</v>
      </c>
      <c r="L1249">
        <v>1</v>
      </c>
      <c r="M1249" t="s">
        <v>6673</v>
      </c>
      <c r="N1249" t="s">
        <v>6399</v>
      </c>
      <c r="O1249" t="s">
        <v>12</v>
      </c>
      <c r="P1249" t="s">
        <v>6674</v>
      </c>
      <c r="Q1249" t="s">
        <v>6675</v>
      </c>
      <c r="R1249" s="16" t="s">
        <v>8503</v>
      </c>
      <c r="S1249" s="16" t="s">
        <v>8209</v>
      </c>
      <c r="T1249" t="s">
        <v>7889</v>
      </c>
      <c r="U1249">
        <v>0</v>
      </c>
    </row>
    <row r="1250" spans="1:21">
      <c r="A1250">
        <v>1244</v>
      </c>
      <c r="B1250" t="s">
        <v>7592</v>
      </c>
      <c r="C1250" t="s">
        <v>126</v>
      </c>
      <c r="D1250">
        <v>1174</v>
      </c>
      <c r="E1250">
        <v>12</v>
      </c>
      <c r="F1250" t="s">
        <v>12</v>
      </c>
      <c r="G1250" t="s">
        <v>1091</v>
      </c>
      <c r="H1250">
        <v>691</v>
      </c>
      <c r="I1250" t="s">
        <v>318</v>
      </c>
      <c r="J1250" t="s">
        <v>8668</v>
      </c>
      <c r="L1250">
        <v>0</v>
      </c>
      <c r="R1250" s="16" t="s">
        <v>8064</v>
      </c>
      <c r="S1250" s="16" t="s">
        <v>8064</v>
      </c>
      <c r="T1250" t="s">
        <v>7592</v>
      </c>
      <c r="U1250">
        <v>0</v>
      </c>
    </row>
    <row r="1251" spans="1:21">
      <c r="A1251">
        <v>1245</v>
      </c>
      <c r="B1251" t="s">
        <v>7593</v>
      </c>
      <c r="C1251">
        <v>1241</v>
      </c>
      <c r="D1251">
        <v>1241</v>
      </c>
      <c r="E1251">
        <v>13</v>
      </c>
      <c r="F1251" t="s">
        <v>340</v>
      </c>
      <c r="G1251" t="s">
        <v>1110</v>
      </c>
      <c r="H1251">
        <v>692</v>
      </c>
      <c r="I1251" t="s">
        <v>342</v>
      </c>
      <c r="J1251" t="s">
        <v>8668</v>
      </c>
      <c r="L1251">
        <v>1</v>
      </c>
      <c r="M1251" t="s">
        <v>6205</v>
      </c>
      <c r="N1251" t="s">
        <v>6324</v>
      </c>
      <c r="O1251" t="s">
        <v>11</v>
      </c>
      <c r="P1251">
        <v>113410</v>
      </c>
      <c r="Q1251">
        <v>444940</v>
      </c>
      <c r="R1251" s="16" t="s">
        <v>8378</v>
      </c>
      <c r="S1251" s="16" t="s">
        <v>8082</v>
      </c>
      <c r="T1251" t="s">
        <v>7593</v>
      </c>
      <c r="U1251">
        <v>0</v>
      </c>
    </row>
    <row r="1252" spans="1:21">
      <c r="A1252">
        <v>1246</v>
      </c>
      <c r="B1252" t="s">
        <v>7594</v>
      </c>
      <c r="C1252" t="s">
        <v>128</v>
      </c>
      <c r="D1252">
        <v>1251</v>
      </c>
      <c r="E1252">
        <v>13</v>
      </c>
      <c r="F1252" t="s">
        <v>129</v>
      </c>
      <c r="G1252" t="s">
        <v>1114</v>
      </c>
      <c r="H1252">
        <v>693</v>
      </c>
      <c r="I1252" t="s">
        <v>346</v>
      </c>
      <c r="J1252" t="s">
        <v>8668</v>
      </c>
      <c r="L1252">
        <v>0</v>
      </c>
      <c r="R1252" s="16" t="s">
        <v>8064</v>
      </c>
      <c r="S1252" s="16" t="s">
        <v>8064</v>
      </c>
      <c r="T1252" t="s">
        <v>7594</v>
      </c>
      <c r="U1252">
        <v>0</v>
      </c>
    </row>
    <row r="1253" spans="1:21">
      <c r="A1253">
        <v>1247</v>
      </c>
      <c r="B1253" t="s">
        <v>7595</v>
      </c>
      <c r="C1253">
        <v>1129</v>
      </c>
      <c r="D1253">
        <v>1129</v>
      </c>
      <c r="E1253">
        <v>12</v>
      </c>
      <c r="F1253" t="s">
        <v>35</v>
      </c>
      <c r="G1253" t="s">
        <v>1075</v>
      </c>
      <c r="H1253">
        <v>696</v>
      </c>
      <c r="I1253" t="s">
        <v>383</v>
      </c>
      <c r="J1253" t="s">
        <v>8668</v>
      </c>
      <c r="L1253">
        <v>1</v>
      </c>
      <c r="M1253" t="s">
        <v>6450</v>
      </c>
      <c r="N1253" t="s">
        <v>6451</v>
      </c>
      <c r="O1253" t="s">
        <v>12</v>
      </c>
      <c r="P1253">
        <v>-20390</v>
      </c>
      <c r="Q1253">
        <v>515870</v>
      </c>
      <c r="R1253" s="16" t="s">
        <v>8362</v>
      </c>
      <c r="S1253" s="16" t="s">
        <v>8066</v>
      </c>
      <c r="T1253" t="s">
        <v>7595</v>
      </c>
      <c r="U1253">
        <v>0</v>
      </c>
    </row>
    <row r="1254" spans="1:21">
      <c r="A1254">
        <v>1248</v>
      </c>
      <c r="B1254" t="s">
        <v>7596</v>
      </c>
      <c r="C1254" t="s">
        <v>130</v>
      </c>
      <c r="D1254">
        <v>1192</v>
      </c>
      <c r="E1254">
        <v>12</v>
      </c>
      <c r="F1254" t="s">
        <v>54</v>
      </c>
      <c r="G1254" t="s">
        <v>1097</v>
      </c>
      <c r="H1254">
        <v>705</v>
      </c>
      <c r="I1254" t="s">
        <v>324</v>
      </c>
      <c r="J1254" t="s">
        <v>8668</v>
      </c>
      <c r="L1254">
        <v>1</v>
      </c>
      <c r="M1254" t="s">
        <v>6362</v>
      </c>
      <c r="N1254" t="s">
        <v>6363</v>
      </c>
      <c r="O1254" t="s">
        <v>12</v>
      </c>
      <c r="P1254">
        <v>-28920</v>
      </c>
      <c r="Q1254">
        <v>531910</v>
      </c>
      <c r="R1254" s="16" t="s">
        <v>8499</v>
      </c>
      <c r="S1254" s="16" t="s">
        <v>8205</v>
      </c>
      <c r="T1254" t="s">
        <v>7596</v>
      </c>
      <c r="U1254">
        <v>0</v>
      </c>
    </row>
    <row r="1255" spans="1:21">
      <c r="A1255">
        <v>1249</v>
      </c>
      <c r="B1255" t="s">
        <v>7597</v>
      </c>
      <c r="C1255">
        <v>1280</v>
      </c>
      <c r="D1255">
        <v>1280</v>
      </c>
      <c r="E1255">
        <v>13</v>
      </c>
      <c r="F1255" t="s">
        <v>129</v>
      </c>
      <c r="G1255" t="s">
        <v>1129</v>
      </c>
      <c r="H1255">
        <v>715</v>
      </c>
      <c r="I1255" t="s">
        <v>365</v>
      </c>
      <c r="J1255" t="s">
        <v>8668</v>
      </c>
      <c r="L1255">
        <v>0</v>
      </c>
      <c r="R1255" s="16" t="s">
        <v>8064</v>
      </c>
      <c r="S1255" s="16" t="s">
        <v>8064</v>
      </c>
      <c r="T1255" t="s">
        <v>7890</v>
      </c>
      <c r="U1255">
        <v>0</v>
      </c>
    </row>
    <row r="1256" spans="1:21">
      <c r="A1256">
        <v>1170</v>
      </c>
      <c r="B1256" t="s">
        <v>7519</v>
      </c>
      <c r="C1256" t="s">
        <v>49</v>
      </c>
      <c r="D1256">
        <v>979</v>
      </c>
      <c r="E1256">
        <v>10</v>
      </c>
      <c r="F1256" t="s">
        <v>50</v>
      </c>
      <c r="G1256" t="s">
        <v>117</v>
      </c>
      <c r="H1256">
        <v>103</v>
      </c>
      <c r="I1256" t="s">
        <v>270</v>
      </c>
      <c r="J1256" t="s">
        <v>9129</v>
      </c>
      <c r="L1256">
        <v>1</v>
      </c>
      <c r="M1256" t="s">
        <v>6412</v>
      </c>
      <c r="N1256" t="s">
        <v>6413</v>
      </c>
      <c r="O1256" t="s">
        <v>12</v>
      </c>
      <c r="P1256">
        <v>-27380</v>
      </c>
      <c r="Q1256">
        <v>511450</v>
      </c>
      <c r="R1256" s="16" t="s">
        <v>8502</v>
      </c>
      <c r="S1256" s="16" t="s">
        <v>8208</v>
      </c>
      <c r="T1256" t="s">
        <v>7871</v>
      </c>
      <c r="U1256">
        <v>1</v>
      </c>
    </row>
    <row r="1257" spans="1:21">
      <c r="A1257">
        <v>1251</v>
      </c>
      <c r="B1257" t="s">
        <v>7599</v>
      </c>
      <c r="C1257" t="s">
        <v>131</v>
      </c>
      <c r="D1257">
        <v>1290</v>
      </c>
      <c r="E1257">
        <v>13</v>
      </c>
      <c r="F1257" t="s">
        <v>129</v>
      </c>
      <c r="G1257" t="s">
        <v>1131</v>
      </c>
      <c r="H1257">
        <v>734</v>
      </c>
      <c r="I1257" t="s">
        <v>368</v>
      </c>
      <c r="J1257" t="s">
        <v>8668</v>
      </c>
      <c r="L1257">
        <v>0</v>
      </c>
      <c r="R1257" s="16" t="s">
        <v>8064</v>
      </c>
      <c r="S1257" s="16" t="s">
        <v>8064</v>
      </c>
      <c r="T1257" t="s">
        <v>7599</v>
      </c>
      <c r="U1257">
        <v>0</v>
      </c>
    </row>
    <row r="1258" spans="1:21">
      <c r="A1258">
        <v>1254</v>
      </c>
      <c r="B1258" t="s">
        <v>7602</v>
      </c>
      <c r="C1258" t="s">
        <v>134</v>
      </c>
      <c r="D1258">
        <v>1196</v>
      </c>
      <c r="E1258">
        <v>12</v>
      </c>
      <c r="F1258" t="s">
        <v>135</v>
      </c>
      <c r="G1258" t="s">
        <v>1099</v>
      </c>
      <c r="H1258">
        <v>765</v>
      </c>
      <c r="I1258" t="s">
        <v>327</v>
      </c>
      <c r="J1258" t="s">
        <v>8668</v>
      </c>
      <c r="L1258">
        <v>1</v>
      </c>
      <c r="M1258" t="s">
        <v>6398</v>
      </c>
      <c r="N1258" t="s">
        <v>6399</v>
      </c>
      <c r="O1258" t="s">
        <v>12</v>
      </c>
      <c r="P1258">
        <v>-13640</v>
      </c>
      <c r="Q1258">
        <v>517620</v>
      </c>
      <c r="R1258" s="16" t="s">
        <v>8524</v>
      </c>
      <c r="S1258" s="16" t="s">
        <v>8229</v>
      </c>
      <c r="T1258" t="s">
        <v>7892</v>
      </c>
      <c r="U1258">
        <v>0</v>
      </c>
    </row>
    <row r="1259" spans="1:21">
      <c r="A1259">
        <v>1255</v>
      </c>
      <c r="B1259" t="s">
        <v>7603</v>
      </c>
      <c r="C1259" t="s">
        <v>299</v>
      </c>
      <c r="D1259">
        <v>1139</v>
      </c>
      <c r="E1259">
        <v>12</v>
      </c>
      <c r="F1259" t="s">
        <v>34</v>
      </c>
      <c r="G1259" t="s">
        <v>1076</v>
      </c>
      <c r="H1259">
        <v>775</v>
      </c>
      <c r="I1259" t="s">
        <v>297</v>
      </c>
      <c r="J1259" t="s">
        <v>8668</v>
      </c>
      <c r="L1259">
        <v>1</v>
      </c>
      <c r="M1259" t="s">
        <v>6497</v>
      </c>
      <c r="N1259" t="s">
        <v>6385</v>
      </c>
      <c r="O1259" t="s">
        <v>12</v>
      </c>
      <c r="P1259" t="s">
        <v>6968</v>
      </c>
      <c r="Q1259" t="s">
        <v>6969</v>
      </c>
      <c r="R1259" s="16" t="s">
        <v>8358</v>
      </c>
      <c r="S1259" s="16" t="s">
        <v>8061</v>
      </c>
      <c r="T1259" t="s">
        <v>7893</v>
      </c>
      <c r="U1259">
        <v>0</v>
      </c>
    </row>
    <row r="1260" spans="1:21">
      <c r="A1260">
        <v>1256</v>
      </c>
      <c r="B1260" t="s">
        <v>7604</v>
      </c>
      <c r="C1260" t="s">
        <v>191</v>
      </c>
      <c r="D1260">
        <v>1271</v>
      </c>
      <c r="E1260">
        <v>13</v>
      </c>
      <c r="F1260" t="s">
        <v>192</v>
      </c>
      <c r="G1260" t="s">
        <v>1124</v>
      </c>
      <c r="H1260">
        <v>782</v>
      </c>
      <c r="I1260" t="s">
        <v>359</v>
      </c>
      <c r="J1260" t="s">
        <v>8668</v>
      </c>
      <c r="L1260">
        <v>1</v>
      </c>
      <c r="M1260" t="s">
        <v>4502</v>
      </c>
      <c r="N1260" t="s">
        <v>6456</v>
      </c>
      <c r="O1260" t="s">
        <v>104</v>
      </c>
      <c r="P1260">
        <v>23522</v>
      </c>
      <c r="Q1260">
        <v>488566</v>
      </c>
      <c r="R1260" s="16" t="s">
        <v>8364</v>
      </c>
      <c r="S1260" s="16" t="s">
        <v>8069</v>
      </c>
      <c r="T1260" t="s">
        <v>7894</v>
      </c>
      <c r="U1260">
        <v>0</v>
      </c>
    </row>
    <row r="1261" spans="1:21">
      <c r="A1261">
        <v>1181</v>
      </c>
      <c r="B1261" t="s">
        <v>7530</v>
      </c>
      <c r="C1261" t="s">
        <v>58</v>
      </c>
      <c r="D1261">
        <v>1083</v>
      </c>
      <c r="E1261">
        <v>11</v>
      </c>
      <c r="F1261" t="s">
        <v>59</v>
      </c>
      <c r="G1261" t="s">
        <v>1067</v>
      </c>
      <c r="H1261">
        <v>149</v>
      </c>
      <c r="I1261" t="s">
        <v>283</v>
      </c>
      <c r="J1261" t="s">
        <v>9126</v>
      </c>
      <c r="L1261">
        <v>1</v>
      </c>
      <c r="M1261" t="s">
        <v>6501</v>
      </c>
      <c r="N1261" t="s">
        <v>6502</v>
      </c>
      <c r="O1261" t="s">
        <v>6503</v>
      </c>
      <c r="P1261">
        <v>152320</v>
      </c>
      <c r="Q1261">
        <v>441190</v>
      </c>
      <c r="R1261" s="16" t="s">
        <v>8507</v>
      </c>
      <c r="S1261" s="16" t="s">
        <v>8213</v>
      </c>
      <c r="T1261" t="s">
        <v>7530</v>
      </c>
      <c r="U1261">
        <v>1</v>
      </c>
    </row>
    <row r="1262" spans="1:21">
      <c r="A1262">
        <v>1258</v>
      </c>
      <c r="B1262" t="s">
        <v>7606</v>
      </c>
      <c r="C1262">
        <v>1288</v>
      </c>
      <c r="D1262">
        <v>1288</v>
      </c>
      <c r="E1262">
        <v>13</v>
      </c>
      <c r="F1262" t="s">
        <v>43</v>
      </c>
      <c r="G1262" t="s">
        <v>1133</v>
      </c>
      <c r="H1262">
        <v>795</v>
      </c>
      <c r="I1262" t="s">
        <v>370</v>
      </c>
      <c r="J1262" t="s">
        <v>8668</v>
      </c>
      <c r="L1262">
        <v>0</v>
      </c>
      <c r="R1262" s="16" t="s">
        <v>8064</v>
      </c>
      <c r="S1262" s="16" t="s">
        <v>8064</v>
      </c>
      <c r="T1262" t="s">
        <v>7895</v>
      </c>
      <c r="U1262">
        <v>0</v>
      </c>
    </row>
    <row r="1263" spans="1:21">
      <c r="A1263">
        <v>1259</v>
      </c>
      <c r="B1263" t="s">
        <v>7607</v>
      </c>
      <c r="C1263" t="s">
        <v>194</v>
      </c>
      <c r="D1263">
        <v>1121</v>
      </c>
      <c r="E1263">
        <v>12</v>
      </c>
      <c r="F1263" t="s">
        <v>195</v>
      </c>
      <c r="G1263" t="s">
        <v>1071</v>
      </c>
      <c r="H1263">
        <v>797</v>
      </c>
      <c r="I1263" t="s">
        <v>287</v>
      </c>
      <c r="J1263" t="s">
        <v>8668</v>
      </c>
      <c r="L1263">
        <v>1</v>
      </c>
      <c r="M1263" t="s">
        <v>6366</v>
      </c>
      <c r="N1263" t="s">
        <v>6367</v>
      </c>
      <c r="O1263" t="s">
        <v>12</v>
      </c>
      <c r="P1263">
        <v>-19680</v>
      </c>
      <c r="Q1263">
        <v>517120</v>
      </c>
      <c r="R1263" s="16" t="s">
        <v>8445</v>
      </c>
      <c r="S1263" s="16" t="s">
        <v>8149</v>
      </c>
      <c r="T1263" t="s">
        <v>7607</v>
      </c>
      <c r="U1263">
        <v>0</v>
      </c>
    </row>
    <row r="1264" spans="1:21">
      <c r="A1264">
        <v>1260</v>
      </c>
      <c r="B1264" t="s">
        <v>7608</v>
      </c>
      <c r="C1264" t="s">
        <v>197</v>
      </c>
      <c r="D1264">
        <v>1162</v>
      </c>
      <c r="E1264">
        <v>12</v>
      </c>
      <c r="F1264" t="s">
        <v>198</v>
      </c>
      <c r="G1264" t="s">
        <v>1082</v>
      </c>
      <c r="H1264">
        <v>798</v>
      </c>
      <c r="I1264" t="s">
        <v>304</v>
      </c>
      <c r="J1264" t="s">
        <v>8668</v>
      </c>
      <c r="L1264">
        <v>1</v>
      </c>
      <c r="M1264" t="s">
        <v>6366</v>
      </c>
      <c r="N1264" t="s">
        <v>6367</v>
      </c>
      <c r="O1264" t="s">
        <v>12</v>
      </c>
      <c r="P1264">
        <v>-19680</v>
      </c>
      <c r="Q1264">
        <v>517120</v>
      </c>
      <c r="R1264" s="16" t="s">
        <v>8445</v>
      </c>
      <c r="S1264" s="16" t="s">
        <v>8149</v>
      </c>
      <c r="T1264" t="s">
        <v>7608</v>
      </c>
      <c r="U1264">
        <v>0</v>
      </c>
    </row>
    <row r="1265" spans="1:21">
      <c r="A1265">
        <v>1261</v>
      </c>
      <c r="B1265" t="s">
        <v>7609</v>
      </c>
      <c r="C1265" t="s">
        <v>201</v>
      </c>
      <c r="D1265">
        <v>1163</v>
      </c>
      <c r="E1265">
        <v>12</v>
      </c>
      <c r="F1265" t="s">
        <v>198</v>
      </c>
      <c r="G1265" t="s">
        <v>1080</v>
      </c>
      <c r="H1265">
        <v>799</v>
      </c>
      <c r="I1265" t="s">
        <v>305</v>
      </c>
      <c r="J1265" t="s">
        <v>8668</v>
      </c>
      <c r="L1265">
        <v>1</v>
      </c>
      <c r="M1265" t="s">
        <v>6366</v>
      </c>
      <c r="N1265" t="s">
        <v>6367</v>
      </c>
      <c r="O1265" t="s">
        <v>12</v>
      </c>
      <c r="P1265">
        <v>-19680</v>
      </c>
      <c r="Q1265">
        <v>517120</v>
      </c>
      <c r="R1265" s="16" t="s">
        <v>8445</v>
      </c>
      <c r="S1265" s="16" t="s">
        <v>8149</v>
      </c>
      <c r="T1265" t="s">
        <v>7609</v>
      </c>
      <c r="U1265">
        <v>0</v>
      </c>
    </row>
    <row r="1266" spans="1:21">
      <c r="A1266">
        <v>1262</v>
      </c>
      <c r="B1266" t="s">
        <v>7610</v>
      </c>
      <c r="C1266" t="s">
        <v>197</v>
      </c>
      <c r="D1266">
        <v>1162</v>
      </c>
      <c r="E1266">
        <v>12</v>
      </c>
      <c r="F1266" t="s">
        <v>198</v>
      </c>
      <c r="G1266" t="s">
        <v>1083</v>
      </c>
      <c r="H1266">
        <v>800</v>
      </c>
      <c r="I1266" t="s">
        <v>306</v>
      </c>
      <c r="J1266" t="s">
        <v>8668</v>
      </c>
      <c r="L1266">
        <v>1</v>
      </c>
      <c r="M1266" t="s">
        <v>6366</v>
      </c>
      <c r="N1266" t="s">
        <v>6367</v>
      </c>
      <c r="O1266" t="s">
        <v>12</v>
      </c>
      <c r="P1266">
        <v>-19680</v>
      </c>
      <c r="Q1266">
        <v>517120</v>
      </c>
      <c r="R1266" s="16" t="s">
        <v>8445</v>
      </c>
      <c r="S1266" s="16" t="s">
        <v>8149</v>
      </c>
      <c r="T1266" t="s">
        <v>7610</v>
      </c>
      <c r="U1266">
        <v>0</v>
      </c>
    </row>
    <row r="1267" spans="1:21">
      <c r="A1267">
        <v>1263</v>
      </c>
      <c r="B1267" t="s">
        <v>7611</v>
      </c>
      <c r="C1267" t="s">
        <v>197</v>
      </c>
      <c r="D1267">
        <v>1162</v>
      </c>
      <c r="E1267">
        <v>12</v>
      </c>
      <c r="F1267" t="s">
        <v>198</v>
      </c>
      <c r="G1267" t="s">
        <v>1084</v>
      </c>
      <c r="H1267">
        <v>801</v>
      </c>
      <c r="I1267" t="s">
        <v>307</v>
      </c>
      <c r="J1267" t="s">
        <v>8668</v>
      </c>
      <c r="L1267">
        <v>1</v>
      </c>
      <c r="M1267" t="s">
        <v>6366</v>
      </c>
      <c r="N1267" t="s">
        <v>6367</v>
      </c>
      <c r="O1267" t="s">
        <v>12</v>
      </c>
      <c r="P1267">
        <v>-19680</v>
      </c>
      <c r="Q1267">
        <v>517120</v>
      </c>
      <c r="R1267" s="16" t="s">
        <v>8445</v>
      </c>
      <c r="S1267" s="16" t="s">
        <v>8149</v>
      </c>
      <c r="T1267" t="s">
        <v>7611</v>
      </c>
      <c r="U1267">
        <v>0</v>
      </c>
    </row>
    <row r="1268" spans="1:21">
      <c r="A1268">
        <v>1264</v>
      </c>
      <c r="B1268" t="s">
        <v>7612</v>
      </c>
      <c r="C1268" t="s">
        <v>201</v>
      </c>
      <c r="D1268">
        <v>1163</v>
      </c>
      <c r="E1268">
        <v>12</v>
      </c>
      <c r="F1268" t="s">
        <v>198</v>
      </c>
      <c r="G1268" t="s">
        <v>1081</v>
      </c>
      <c r="H1268">
        <v>802</v>
      </c>
      <c r="I1268" t="s">
        <v>303</v>
      </c>
      <c r="J1268" t="s">
        <v>8668</v>
      </c>
      <c r="L1268">
        <v>1</v>
      </c>
      <c r="M1268" t="s">
        <v>6366</v>
      </c>
      <c r="N1268" t="s">
        <v>6367</v>
      </c>
      <c r="O1268" t="s">
        <v>12</v>
      </c>
      <c r="P1268">
        <v>-19680</v>
      </c>
      <c r="Q1268">
        <v>517120</v>
      </c>
      <c r="R1268" s="16" t="s">
        <v>8445</v>
      </c>
      <c r="S1268" s="16" t="s">
        <v>8149</v>
      </c>
      <c r="T1268" t="s">
        <v>7612</v>
      </c>
      <c r="U1268">
        <v>0</v>
      </c>
    </row>
    <row r="1269" spans="1:21">
      <c r="A1269">
        <v>1185</v>
      </c>
      <c r="B1269" t="s">
        <v>7534</v>
      </c>
      <c r="C1269" t="s">
        <v>60</v>
      </c>
      <c r="D1269">
        <v>1163</v>
      </c>
      <c r="E1269">
        <v>12</v>
      </c>
      <c r="F1269" t="s">
        <v>61</v>
      </c>
      <c r="G1269" t="s">
        <v>1085</v>
      </c>
      <c r="H1269">
        <v>269</v>
      </c>
      <c r="I1269" t="s">
        <v>308</v>
      </c>
      <c r="J1269" t="s">
        <v>9127</v>
      </c>
      <c r="L1269">
        <v>1</v>
      </c>
      <c r="M1269" t="s">
        <v>61</v>
      </c>
      <c r="N1269" t="s">
        <v>6291</v>
      </c>
      <c r="O1269" t="s">
        <v>3995</v>
      </c>
      <c r="P1269" t="s">
        <v>6814</v>
      </c>
      <c r="Q1269" t="s">
        <v>6815</v>
      </c>
      <c r="R1269" s="16" t="s">
        <v>8508</v>
      </c>
      <c r="S1269" s="16" t="s">
        <v>8214</v>
      </c>
      <c r="T1269" t="s">
        <v>7534</v>
      </c>
      <c r="U1269">
        <v>1</v>
      </c>
    </row>
    <row r="1270" spans="1:21">
      <c r="A1270">
        <v>1266</v>
      </c>
      <c r="B1270" t="s">
        <v>7614</v>
      </c>
      <c r="C1270" t="s">
        <v>210</v>
      </c>
      <c r="D1270">
        <v>1125</v>
      </c>
      <c r="E1270">
        <v>12</v>
      </c>
      <c r="F1270" t="s">
        <v>35</v>
      </c>
      <c r="G1270" t="s">
        <v>1074</v>
      </c>
      <c r="H1270">
        <v>818</v>
      </c>
      <c r="I1270" s="1" t="s">
        <v>294</v>
      </c>
      <c r="J1270" t="s">
        <v>8668</v>
      </c>
      <c r="L1270">
        <v>1</v>
      </c>
      <c r="M1270" t="s">
        <v>6450</v>
      </c>
      <c r="N1270" t="s">
        <v>6451</v>
      </c>
      <c r="O1270" t="s">
        <v>12</v>
      </c>
      <c r="P1270">
        <v>-20390</v>
      </c>
      <c r="Q1270">
        <v>515870</v>
      </c>
      <c r="R1270" s="16" t="s">
        <v>8362</v>
      </c>
      <c r="S1270" s="16" t="s">
        <v>8066</v>
      </c>
      <c r="T1270" t="s">
        <v>7614</v>
      </c>
      <c r="U1270">
        <v>0</v>
      </c>
    </row>
    <row r="1271" spans="1:21">
      <c r="A1271">
        <v>1269</v>
      </c>
      <c r="B1271" t="s">
        <v>7617</v>
      </c>
      <c r="C1271">
        <v>1294</v>
      </c>
      <c r="D1271">
        <v>1294</v>
      </c>
      <c r="E1271">
        <v>13</v>
      </c>
      <c r="F1271" t="s">
        <v>91</v>
      </c>
      <c r="G1271" t="s">
        <v>1139</v>
      </c>
      <c r="H1271">
        <v>842</v>
      </c>
      <c r="I1271" t="s">
        <v>378</v>
      </c>
      <c r="J1271" t="s">
        <v>8668</v>
      </c>
      <c r="L1271">
        <v>1</v>
      </c>
      <c r="M1271" t="s">
        <v>0</v>
      </c>
      <c r="N1271" t="s">
        <v>6399</v>
      </c>
      <c r="O1271" t="s">
        <v>12</v>
      </c>
      <c r="P1271">
        <v>-12570</v>
      </c>
      <c r="Q1271">
        <v>517520</v>
      </c>
      <c r="R1271" s="16" t="s">
        <v>8457</v>
      </c>
      <c r="S1271" s="16" t="s">
        <v>8060</v>
      </c>
      <c r="T1271" t="s">
        <v>7896</v>
      </c>
      <c r="U1271">
        <v>0</v>
      </c>
    </row>
    <row r="1272" spans="1:21">
      <c r="A1272">
        <v>1270</v>
      </c>
      <c r="B1272" t="s">
        <v>7618</v>
      </c>
      <c r="C1272">
        <v>1290</v>
      </c>
      <c r="D1272">
        <v>1290</v>
      </c>
      <c r="E1272">
        <v>13</v>
      </c>
      <c r="F1272" t="s">
        <v>212</v>
      </c>
      <c r="G1272" t="s">
        <v>1135</v>
      </c>
      <c r="H1272">
        <v>844</v>
      </c>
      <c r="I1272" t="s">
        <v>373</v>
      </c>
      <c r="J1272" t="s">
        <v>8668</v>
      </c>
      <c r="L1272">
        <v>1</v>
      </c>
      <c r="M1272" t="s">
        <v>6492</v>
      </c>
      <c r="N1272" t="s">
        <v>6357</v>
      </c>
      <c r="O1272" t="s">
        <v>104</v>
      </c>
      <c r="P1272">
        <v>40830</v>
      </c>
      <c r="Q1272">
        <v>482970</v>
      </c>
      <c r="R1272" s="16" t="s">
        <v>8505</v>
      </c>
      <c r="S1272" s="16" t="s">
        <v>8211</v>
      </c>
      <c r="T1272" t="s">
        <v>7618</v>
      </c>
      <c r="U1272">
        <v>0</v>
      </c>
    </row>
    <row r="1273" spans="1:21">
      <c r="A1273">
        <v>1271</v>
      </c>
      <c r="B1273" t="s">
        <v>7619</v>
      </c>
      <c r="C1273">
        <v>1244</v>
      </c>
      <c r="D1273">
        <v>1244</v>
      </c>
      <c r="E1273">
        <v>13</v>
      </c>
      <c r="F1273" t="s">
        <v>129</v>
      </c>
      <c r="G1273" t="s">
        <v>1112</v>
      </c>
      <c r="H1273">
        <v>866</v>
      </c>
      <c r="I1273" t="s">
        <v>344</v>
      </c>
      <c r="J1273" t="s">
        <v>8668</v>
      </c>
      <c r="L1273">
        <v>0</v>
      </c>
      <c r="R1273" s="16" t="s">
        <v>8064</v>
      </c>
      <c r="S1273" s="16" t="s">
        <v>8064</v>
      </c>
      <c r="T1273" t="s">
        <v>7619</v>
      </c>
      <c r="U1273">
        <v>0</v>
      </c>
    </row>
    <row r="1274" spans="1:21">
      <c r="A1274">
        <v>1186</v>
      </c>
      <c r="B1274" t="s">
        <v>7535</v>
      </c>
      <c r="C1274" t="s">
        <v>63</v>
      </c>
      <c r="D1274">
        <v>1007</v>
      </c>
      <c r="E1274">
        <v>11</v>
      </c>
      <c r="F1274" t="s">
        <v>64</v>
      </c>
      <c r="G1274" t="s">
        <v>1058</v>
      </c>
      <c r="H1274">
        <v>270</v>
      </c>
      <c r="I1274" t="s">
        <v>273</v>
      </c>
      <c r="J1274" t="s">
        <v>9128</v>
      </c>
      <c r="L1274">
        <v>0</v>
      </c>
      <c r="R1274" s="16" t="s">
        <v>8064</v>
      </c>
      <c r="S1274" s="16" t="s">
        <v>8064</v>
      </c>
      <c r="T1274" t="s">
        <v>7535</v>
      </c>
      <c r="U1274">
        <v>1</v>
      </c>
    </row>
    <row r="1275" spans="1:21">
      <c r="A1275">
        <v>1187</v>
      </c>
      <c r="B1275" t="s">
        <v>7536</v>
      </c>
      <c r="C1275" t="s">
        <v>2</v>
      </c>
      <c r="D1275">
        <v>1186</v>
      </c>
      <c r="E1275">
        <v>12</v>
      </c>
      <c r="F1275" t="s">
        <v>65</v>
      </c>
      <c r="G1275" t="s">
        <v>1093</v>
      </c>
      <c r="H1275">
        <v>271</v>
      </c>
      <c r="I1275" t="s">
        <v>320</v>
      </c>
      <c r="J1275" t="s">
        <v>9130</v>
      </c>
      <c r="L1275">
        <v>1</v>
      </c>
      <c r="M1275" t="s">
        <v>6417</v>
      </c>
      <c r="N1275" t="s">
        <v>6418</v>
      </c>
      <c r="O1275" t="s">
        <v>3995</v>
      </c>
      <c r="P1275">
        <v>86330</v>
      </c>
      <c r="Q1275">
        <v>486660</v>
      </c>
      <c r="R1275" s="16" t="s">
        <v>8509</v>
      </c>
      <c r="S1275" s="16" t="s">
        <v>8215</v>
      </c>
      <c r="T1275" t="s">
        <v>7536</v>
      </c>
      <c r="U1275">
        <v>1</v>
      </c>
    </row>
    <row r="1276" spans="1:21">
      <c r="A1276">
        <v>1273</v>
      </c>
      <c r="B1276" t="s">
        <v>7621</v>
      </c>
      <c r="C1276" t="s">
        <v>222</v>
      </c>
      <c r="D1276">
        <v>1163</v>
      </c>
      <c r="E1276">
        <v>12</v>
      </c>
      <c r="F1276" t="s">
        <v>223</v>
      </c>
      <c r="G1276" t="s">
        <v>1086</v>
      </c>
      <c r="H1276">
        <v>870</v>
      </c>
      <c r="I1276" t="s">
        <v>313</v>
      </c>
      <c r="J1276" t="s">
        <v>8668</v>
      </c>
      <c r="L1276">
        <v>0</v>
      </c>
      <c r="R1276" s="16" t="s">
        <v>8064</v>
      </c>
      <c r="S1276" s="16" t="s">
        <v>8064</v>
      </c>
      <c r="T1276" t="s">
        <v>7621</v>
      </c>
      <c r="U1276">
        <v>0</v>
      </c>
    </row>
    <row r="1277" spans="1:21">
      <c r="A1277">
        <v>1188</v>
      </c>
      <c r="B1277" t="s">
        <v>7537</v>
      </c>
      <c r="C1277" t="s">
        <v>66</v>
      </c>
      <c r="D1277">
        <v>1208</v>
      </c>
      <c r="E1277">
        <v>13</v>
      </c>
      <c r="F1277" t="s">
        <v>67</v>
      </c>
      <c r="G1277" t="s">
        <v>1101</v>
      </c>
      <c r="H1277">
        <v>275</v>
      </c>
      <c r="I1277" t="s">
        <v>329</v>
      </c>
      <c r="J1277" t="s">
        <v>9131</v>
      </c>
      <c r="L1277">
        <v>1</v>
      </c>
      <c r="M1277" t="s">
        <v>67</v>
      </c>
      <c r="N1277" t="s">
        <v>6416</v>
      </c>
      <c r="O1277" t="s">
        <v>11</v>
      </c>
      <c r="P1277" t="s">
        <v>6633</v>
      </c>
      <c r="Q1277" t="s">
        <v>6634</v>
      </c>
      <c r="R1277" s="16" t="s">
        <v>8510</v>
      </c>
      <c r="S1277" s="16" t="s">
        <v>8216</v>
      </c>
      <c r="T1277" t="s">
        <v>7537</v>
      </c>
      <c r="U1277">
        <v>1</v>
      </c>
    </row>
    <row r="1278" spans="1:21">
      <c r="A1278">
        <v>1190</v>
      </c>
      <c r="B1278" t="s">
        <v>7698</v>
      </c>
      <c r="C1278" t="s">
        <v>71</v>
      </c>
      <c r="D1278">
        <v>1153</v>
      </c>
      <c r="E1278">
        <v>12</v>
      </c>
      <c r="F1278" t="s">
        <v>72</v>
      </c>
      <c r="G1278" t="s">
        <v>9162</v>
      </c>
      <c r="H1278">
        <v>278</v>
      </c>
      <c r="I1278" t="s">
        <v>296</v>
      </c>
      <c r="J1278" t="s">
        <v>9161</v>
      </c>
      <c r="L1278">
        <v>0</v>
      </c>
      <c r="R1278" s="16" t="s">
        <v>8064</v>
      </c>
      <c r="S1278" s="16" t="s">
        <v>8064</v>
      </c>
      <c r="T1278" t="s">
        <v>7698</v>
      </c>
      <c r="U1278">
        <v>1</v>
      </c>
    </row>
    <row r="1279" spans="1:21">
      <c r="A1279">
        <v>1274</v>
      </c>
      <c r="B1279" t="s">
        <v>7622</v>
      </c>
      <c r="C1279">
        <v>1244</v>
      </c>
      <c r="D1279">
        <v>1244</v>
      </c>
      <c r="E1279">
        <v>13</v>
      </c>
      <c r="F1279" t="s">
        <v>22</v>
      </c>
      <c r="G1279" t="s">
        <v>1113</v>
      </c>
      <c r="H1279">
        <v>878</v>
      </c>
      <c r="I1279" t="s">
        <v>345</v>
      </c>
      <c r="J1279" t="s">
        <v>8668</v>
      </c>
      <c r="L1279">
        <v>1</v>
      </c>
      <c r="M1279" t="s">
        <v>4502</v>
      </c>
      <c r="N1279" t="s">
        <v>6456</v>
      </c>
      <c r="O1279" t="s">
        <v>104</v>
      </c>
      <c r="P1279">
        <v>23522</v>
      </c>
      <c r="Q1279">
        <v>488566</v>
      </c>
      <c r="R1279" s="16" t="s">
        <v>8364</v>
      </c>
      <c r="S1279" s="16" t="s">
        <v>8069</v>
      </c>
      <c r="T1279" t="s">
        <v>7622</v>
      </c>
      <c r="U1279">
        <v>0</v>
      </c>
    </row>
    <row r="1280" spans="1:21">
      <c r="A1280">
        <v>1204</v>
      </c>
      <c r="B1280" t="s">
        <v>7552</v>
      </c>
      <c r="C1280" t="s">
        <v>84</v>
      </c>
      <c r="D1280">
        <v>1277</v>
      </c>
      <c r="E1280">
        <v>13</v>
      </c>
      <c r="F1280" t="s">
        <v>85</v>
      </c>
      <c r="G1280" t="s">
        <v>1127</v>
      </c>
      <c r="H1280">
        <v>422</v>
      </c>
      <c r="I1280" t="s">
        <v>362</v>
      </c>
      <c r="J1280" t="s">
        <v>9090</v>
      </c>
      <c r="L1280">
        <v>1</v>
      </c>
      <c r="M1280" t="s">
        <v>6384</v>
      </c>
      <c r="N1280" t="s">
        <v>6385</v>
      </c>
      <c r="O1280" t="s">
        <v>12</v>
      </c>
      <c r="P1280">
        <v>-22210</v>
      </c>
      <c r="Q1280">
        <v>521920</v>
      </c>
      <c r="R1280" s="16" t="s">
        <v>8358</v>
      </c>
      <c r="S1280" s="16" t="s">
        <v>8061</v>
      </c>
      <c r="T1280" t="s">
        <v>7552</v>
      </c>
      <c r="U1280">
        <v>1</v>
      </c>
    </row>
    <row r="1281" spans="1:21">
      <c r="A1281">
        <v>1173</v>
      </c>
      <c r="B1281" t="s">
        <v>7522</v>
      </c>
      <c r="C1281" t="s">
        <v>24</v>
      </c>
      <c r="D1281">
        <v>1167</v>
      </c>
      <c r="E1281">
        <v>12</v>
      </c>
      <c r="F1281" t="s">
        <v>25</v>
      </c>
      <c r="G1281" t="s">
        <v>1087</v>
      </c>
      <c r="H1281">
        <v>1173</v>
      </c>
      <c r="I1281" t="s">
        <v>314</v>
      </c>
      <c r="J1281" t="s">
        <v>8668</v>
      </c>
      <c r="L1281">
        <v>1</v>
      </c>
      <c r="M1281" t="s">
        <v>6419</v>
      </c>
      <c r="N1281" t="s">
        <v>6420</v>
      </c>
      <c r="O1281" t="s">
        <v>12</v>
      </c>
      <c r="P1281">
        <v>-13160</v>
      </c>
      <c r="Q1281">
        <v>510600</v>
      </c>
      <c r="R1281" s="16" t="s">
        <v>8408</v>
      </c>
      <c r="S1281" s="16" t="s">
        <v>8059</v>
      </c>
      <c r="T1281" t="s">
        <v>7873</v>
      </c>
      <c r="U1281">
        <v>0</v>
      </c>
    </row>
    <row r="1282" spans="1:21">
      <c r="A1282">
        <v>1211</v>
      </c>
      <c r="B1282" t="s">
        <v>7559</v>
      </c>
      <c r="C1282" t="s">
        <v>93</v>
      </c>
      <c r="D1282">
        <v>1263</v>
      </c>
      <c r="E1282">
        <v>13</v>
      </c>
      <c r="F1282" t="s">
        <v>12</v>
      </c>
      <c r="G1282" t="s">
        <v>1116</v>
      </c>
      <c r="H1282">
        <v>464</v>
      </c>
      <c r="I1282" t="s">
        <v>348</v>
      </c>
      <c r="J1282" t="s">
        <v>8869</v>
      </c>
      <c r="L1282">
        <v>0</v>
      </c>
      <c r="R1282" s="16" t="s">
        <v>8064</v>
      </c>
      <c r="S1282" s="16" t="s">
        <v>8064</v>
      </c>
      <c r="T1282" t="s">
        <v>7559</v>
      </c>
      <c r="U1282">
        <v>1</v>
      </c>
    </row>
    <row r="1283" spans="1:21">
      <c r="A1283">
        <v>1227</v>
      </c>
      <c r="B1283" t="s">
        <v>7575</v>
      </c>
      <c r="C1283">
        <v>1294</v>
      </c>
      <c r="D1283">
        <v>1294</v>
      </c>
      <c r="E1283">
        <v>13</v>
      </c>
      <c r="F1283" t="s">
        <v>109</v>
      </c>
      <c r="G1283" t="s">
        <v>1138</v>
      </c>
      <c r="H1283">
        <v>602</v>
      </c>
      <c r="I1283" t="s">
        <v>377</v>
      </c>
      <c r="J1283" t="s">
        <v>9133</v>
      </c>
      <c r="L1283">
        <v>1</v>
      </c>
      <c r="M1283" t="s">
        <v>6292</v>
      </c>
      <c r="N1283" t="s">
        <v>6293</v>
      </c>
      <c r="O1283" t="s">
        <v>3995</v>
      </c>
      <c r="P1283">
        <v>81667</v>
      </c>
      <c r="Q1283">
        <v>497333</v>
      </c>
      <c r="R1283" s="16" t="s">
        <v>8520</v>
      </c>
      <c r="S1283" s="16" t="s">
        <v>8225</v>
      </c>
      <c r="T1283" t="s">
        <v>7575</v>
      </c>
      <c r="U1283">
        <v>1</v>
      </c>
    </row>
    <row r="1284" spans="1:21">
      <c r="A1284">
        <v>1229</v>
      </c>
      <c r="B1284" t="s">
        <v>7577</v>
      </c>
      <c r="C1284" t="s">
        <v>110</v>
      </c>
      <c r="D1284">
        <v>1182</v>
      </c>
      <c r="E1284">
        <v>12</v>
      </c>
      <c r="F1284" t="s">
        <v>111</v>
      </c>
      <c r="G1284" t="s">
        <v>1095</v>
      </c>
      <c r="H1284">
        <v>619</v>
      </c>
      <c r="I1284" t="s">
        <v>323</v>
      </c>
      <c r="J1284" t="s">
        <v>9134</v>
      </c>
      <c r="L1284">
        <v>1</v>
      </c>
      <c r="M1284" t="s">
        <v>6696</v>
      </c>
      <c r="N1284" t="s">
        <v>6455</v>
      </c>
      <c r="O1284" t="s">
        <v>3995</v>
      </c>
      <c r="P1284" t="s">
        <v>6697</v>
      </c>
      <c r="Q1284" t="s">
        <v>6698</v>
      </c>
      <c r="R1284" s="16" t="s">
        <v>8521</v>
      </c>
      <c r="S1284" s="16" t="s">
        <v>8226</v>
      </c>
      <c r="T1284" t="s">
        <v>7884</v>
      </c>
      <c r="U1284">
        <v>1</v>
      </c>
    </row>
    <row r="1285" spans="1:21">
      <c r="A1285">
        <v>1230</v>
      </c>
      <c r="B1285" t="s">
        <v>7578</v>
      </c>
      <c r="C1285" t="s">
        <v>311</v>
      </c>
      <c r="D1285">
        <v>1124</v>
      </c>
      <c r="E1285">
        <v>12</v>
      </c>
      <c r="F1285" t="s">
        <v>112</v>
      </c>
      <c r="G1285" t="s">
        <v>1072</v>
      </c>
      <c r="H1285">
        <v>620</v>
      </c>
      <c r="I1285" t="s">
        <v>290</v>
      </c>
      <c r="J1285" t="s">
        <v>9091</v>
      </c>
      <c r="L1285">
        <v>1</v>
      </c>
      <c r="M1285" t="s">
        <v>6684</v>
      </c>
      <c r="N1285" t="s">
        <v>6346</v>
      </c>
      <c r="O1285" t="s">
        <v>12</v>
      </c>
      <c r="P1285" t="s">
        <v>6685</v>
      </c>
      <c r="Q1285" t="s">
        <v>6686</v>
      </c>
      <c r="R1285" s="16" t="s">
        <v>8420</v>
      </c>
      <c r="S1285" s="16" t="s">
        <v>8124</v>
      </c>
      <c r="T1285" t="s">
        <v>7885</v>
      </c>
      <c r="U1285">
        <v>1</v>
      </c>
    </row>
    <row r="1286" spans="1:21">
      <c r="A1286">
        <v>1231</v>
      </c>
      <c r="B1286" t="s">
        <v>7579</v>
      </c>
      <c r="C1286" t="s">
        <v>309</v>
      </c>
      <c r="D1286">
        <v>1136</v>
      </c>
      <c r="E1286">
        <v>12</v>
      </c>
      <c r="F1286" t="s">
        <v>112</v>
      </c>
      <c r="G1286" t="s">
        <v>1072</v>
      </c>
      <c r="H1286">
        <v>620</v>
      </c>
      <c r="I1286" t="s">
        <v>310</v>
      </c>
      <c r="J1286" t="s">
        <v>9091</v>
      </c>
      <c r="L1286">
        <v>1</v>
      </c>
      <c r="M1286" t="s">
        <v>6684</v>
      </c>
      <c r="N1286" t="s">
        <v>6346</v>
      </c>
      <c r="O1286" t="s">
        <v>12</v>
      </c>
      <c r="P1286" t="s">
        <v>6685</v>
      </c>
      <c r="Q1286" t="s">
        <v>6686</v>
      </c>
      <c r="R1286" s="16" t="s">
        <v>8420</v>
      </c>
      <c r="S1286" s="16" t="s">
        <v>8124</v>
      </c>
      <c r="T1286" t="s">
        <v>7885</v>
      </c>
      <c r="U1286">
        <v>1</v>
      </c>
    </row>
    <row r="1287" spans="1:21">
      <c r="A1287">
        <v>1265</v>
      </c>
      <c r="B1287" t="s">
        <v>7613</v>
      </c>
      <c r="C1287" t="s">
        <v>207</v>
      </c>
      <c r="D1287">
        <v>1271</v>
      </c>
      <c r="E1287">
        <v>13</v>
      </c>
      <c r="F1287" t="s">
        <v>208</v>
      </c>
      <c r="G1287" t="s">
        <v>1125</v>
      </c>
      <c r="H1287">
        <v>813</v>
      </c>
      <c r="I1287" t="s">
        <v>360</v>
      </c>
      <c r="J1287" t="s">
        <v>9135</v>
      </c>
      <c r="L1287">
        <v>1</v>
      </c>
      <c r="M1287" t="s">
        <v>5620</v>
      </c>
      <c r="N1287" t="s">
        <v>6291</v>
      </c>
      <c r="O1287" t="s">
        <v>3995</v>
      </c>
      <c r="P1287">
        <v>120970</v>
      </c>
      <c r="Q1287">
        <v>490150</v>
      </c>
      <c r="R1287" s="16" t="s">
        <v>8525</v>
      </c>
      <c r="S1287" s="16" t="s">
        <v>8230</v>
      </c>
      <c r="T1287" t="s">
        <v>7613</v>
      </c>
      <c r="U1287">
        <v>1</v>
      </c>
    </row>
    <row r="1288" spans="1:21">
      <c r="A1288">
        <v>1272</v>
      </c>
      <c r="B1288" t="s">
        <v>7620</v>
      </c>
      <c r="C1288" t="s">
        <v>219</v>
      </c>
      <c r="D1288">
        <v>1087</v>
      </c>
      <c r="E1288">
        <v>11</v>
      </c>
      <c r="F1288" t="s">
        <v>220</v>
      </c>
      <c r="G1288" t="s">
        <v>1068</v>
      </c>
      <c r="H1288">
        <v>867</v>
      </c>
      <c r="I1288" t="s">
        <v>284</v>
      </c>
      <c r="J1288" t="s">
        <v>9092</v>
      </c>
      <c r="L1288">
        <v>1</v>
      </c>
      <c r="M1288" t="s">
        <v>6725</v>
      </c>
      <c r="N1288" t="s">
        <v>6726</v>
      </c>
      <c r="O1288" t="s">
        <v>12</v>
      </c>
      <c r="P1288" t="s">
        <v>6727</v>
      </c>
      <c r="Q1288" t="s">
        <v>6728</v>
      </c>
      <c r="R1288" s="16" t="s">
        <v>8402</v>
      </c>
      <c r="S1288" s="16" t="s">
        <v>8117</v>
      </c>
      <c r="T1288" t="s">
        <v>7620</v>
      </c>
      <c r="U1288">
        <v>1</v>
      </c>
    </row>
    <row r="1289" spans="1:21">
      <c r="A1289">
        <v>1278</v>
      </c>
      <c r="B1289" t="s">
        <v>8870</v>
      </c>
      <c r="C1289" t="s">
        <v>2560</v>
      </c>
      <c r="D1289">
        <v>1239</v>
      </c>
      <c r="E1289">
        <v>13</v>
      </c>
      <c r="F1289" t="s">
        <v>104</v>
      </c>
      <c r="G1289" t="s">
        <v>5176</v>
      </c>
      <c r="I1289" t="s">
        <v>5175</v>
      </c>
      <c r="J1289" t="s">
        <v>8668</v>
      </c>
      <c r="K1289" t="s">
        <v>2377</v>
      </c>
      <c r="L1289">
        <v>0</v>
      </c>
      <c r="R1289" s="16" t="s">
        <v>8064</v>
      </c>
      <c r="S1289" s="16" t="s">
        <v>8064</v>
      </c>
      <c r="T1289" t="s">
        <v>2563</v>
      </c>
      <c r="U1289">
        <v>0</v>
      </c>
    </row>
    <row r="1290" spans="1:21">
      <c r="A1290">
        <v>1280</v>
      </c>
      <c r="B1290" t="s">
        <v>2375</v>
      </c>
      <c r="C1290" t="s">
        <v>5177</v>
      </c>
      <c r="D1290">
        <v>1282</v>
      </c>
      <c r="E1290">
        <v>13</v>
      </c>
      <c r="F1290" t="s">
        <v>104</v>
      </c>
      <c r="G1290" t="s">
        <v>5176</v>
      </c>
      <c r="I1290" t="s">
        <v>5178</v>
      </c>
      <c r="J1290" t="s">
        <v>8668</v>
      </c>
      <c r="K1290" t="s">
        <v>2376</v>
      </c>
      <c r="L1290">
        <v>0</v>
      </c>
      <c r="R1290" s="16" t="s">
        <v>8064</v>
      </c>
      <c r="S1290" s="16" t="s">
        <v>8064</v>
      </c>
      <c r="T1290" t="s">
        <v>2375</v>
      </c>
      <c r="U1290">
        <v>0</v>
      </c>
    </row>
    <row r="1291" spans="1:21">
      <c r="A1291">
        <v>1279</v>
      </c>
      <c r="B1291" t="s">
        <v>2565</v>
      </c>
      <c r="C1291" t="s">
        <v>2561</v>
      </c>
      <c r="D1291">
        <v>1264</v>
      </c>
      <c r="E1291">
        <v>13</v>
      </c>
      <c r="F1291" t="s">
        <v>11</v>
      </c>
      <c r="G1291" t="s">
        <v>5176</v>
      </c>
      <c r="I1291" t="s">
        <v>5179</v>
      </c>
      <c r="J1291" t="s">
        <v>8668</v>
      </c>
      <c r="K1291" t="s">
        <v>2568</v>
      </c>
      <c r="L1291">
        <v>0</v>
      </c>
      <c r="R1291" s="16" t="s">
        <v>8064</v>
      </c>
      <c r="S1291" s="16" t="s">
        <v>8064</v>
      </c>
      <c r="T1291" t="s">
        <v>2565</v>
      </c>
      <c r="U1291">
        <v>0</v>
      </c>
    </row>
    <row r="1292" spans="1:21">
      <c r="A1292">
        <v>1277</v>
      </c>
      <c r="B1292" t="s">
        <v>2373</v>
      </c>
      <c r="C1292" t="s">
        <v>2559</v>
      </c>
      <c r="D1292">
        <v>1087</v>
      </c>
      <c r="E1292">
        <v>11</v>
      </c>
      <c r="F1292" t="s">
        <v>11</v>
      </c>
      <c r="G1292" t="s">
        <v>5176</v>
      </c>
      <c r="I1292" t="s">
        <v>3046</v>
      </c>
      <c r="J1292" t="s">
        <v>8668</v>
      </c>
      <c r="K1292" t="s">
        <v>2374</v>
      </c>
      <c r="L1292">
        <v>0</v>
      </c>
      <c r="R1292" s="16" t="s">
        <v>8064</v>
      </c>
      <c r="S1292" s="16" t="s">
        <v>8064</v>
      </c>
      <c r="T1292" t="s">
        <v>2373</v>
      </c>
      <c r="U1292">
        <v>0</v>
      </c>
    </row>
    <row r="1293" spans="1:21">
      <c r="A1293">
        <v>1276</v>
      </c>
      <c r="B1293" t="s">
        <v>2564</v>
      </c>
      <c r="C1293" t="s">
        <v>2557</v>
      </c>
      <c r="D1293">
        <v>1053</v>
      </c>
      <c r="E1293">
        <v>11</v>
      </c>
      <c r="F1293" t="s">
        <v>2558</v>
      </c>
      <c r="G1293" t="s">
        <v>5176</v>
      </c>
      <c r="I1293" t="s">
        <v>5174</v>
      </c>
      <c r="J1293" t="s">
        <v>8668</v>
      </c>
      <c r="K1293" t="s">
        <v>2567</v>
      </c>
      <c r="L1293">
        <v>1</v>
      </c>
      <c r="M1293" t="s">
        <v>6389</v>
      </c>
      <c r="N1293" t="s">
        <v>6389</v>
      </c>
      <c r="O1293" t="s">
        <v>6390</v>
      </c>
      <c r="P1293">
        <v>64790</v>
      </c>
      <c r="Q1293">
        <v>498110</v>
      </c>
      <c r="R1293" s="16" t="s">
        <v>8576</v>
      </c>
      <c r="S1293" s="16" t="s">
        <v>8281</v>
      </c>
      <c r="T1293" t="s">
        <v>2564</v>
      </c>
      <c r="U1293">
        <v>0</v>
      </c>
    </row>
    <row r="1294" spans="1:21">
      <c r="A1294">
        <v>1281</v>
      </c>
      <c r="B1294" t="s">
        <v>5180</v>
      </c>
      <c r="C1294">
        <v>1293</v>
      </c>
      <c r="D1294">
        <v>1293</v>
      </c>
      <c r="E1294">
        <v>13</v>
      </c>
      <c r="F1294" t="s">
        <v>1444</v>
      </c>
      <c r="G1294" t="s">
        <v>5176</v>
      </c>
      <c r="I1294" t="s">
        <v>5181</v>
      </c>
      <c r="J1294" t="s">
        <v>8668</v>
      </c>
      <c r="L1294">
        <v>0</v>
      </c>
      <c r="R1294" s="16" t="s">
        <v>8064</v>
      </c>
      <c r="S1294" s="16" t="s">
        <v>8064</v>
      </c>
      <c r="T1294" t="s">
        <v>5180</v>
      </c>
      <c r="U1294">
        <v>0</v>
      </c>
    </row>
    <row r="1295" spans="1:21">
      <c r="A1295">
        <v>1283</v>
      </c>
      <c r="B1295" t="s">
        <v>2372</v>
      </c>
      <c r="C1295">
        <v>1299</v>
      </c>
      <c r="D1295">
        <v>1299</v>
      </c>
      <c r="E1295">
        <v>13</v>
      </c>
      <c r="F1295" t="s">
        <v>5187</v>
      </c>
      <c r="G1295" t="s">
        <v>5186</v>
      </c>
      <c r="I1295" t="s">
        <v>5188</v>
      </c>
      <c r="J1295" t="s">
        <v>8668</v>
      </c>
      <c r="K1295" s="5" t="s">
        <v>2371</v>
      </c>
      <c r="L1295">
        <v>1</v>
      </c>
      <c r="M1295" t="s">
        <v>6405</v>
      </c>
      <c r="N1295" t="s">
        <v>6369</v>
      </c>
      <c r="O1295" t="s">
        <v>104</v>
      </c>
      <c r="P1295">
        <v>43890</v>
      </c>
      <c r="Q1295">
        <v>476360</v>
      </c>
      <c r="R1295" s="16" t="s">
        <v>8496</v>
      </c>
      <c r="S1295" s="16" t="s">
        <v>8202</v>
      </c>
      <c r="T1295" t="s">
        <v>2372</v>
      </c>
      <c r="U1295">
        <v>0</v>
      </c>
    </row>
    <row r="1296" spans="1:21">
      <c r="A1296">
        <v>1282</v>
      </c>
      <c r="B1296" t="s">
        <v>5183</v>
      </c>
      <c r="C1296" t="s">
        <v>5184</v>
      </c>
      <c r="D1296">
        <v>1198</v>
      </c>
      <c r="E1296">
        <v>12</v>
      </c>
      <c r="F1296" t="s">
        <v>5185</v>
      </c>
      <c r="G1296" t="s">
        <v>5186</v>
      </c>
      <c r="I1296" t="s">
        <v>3794</v>
      </c>
      <c r="J1296" t="s">
        <v>8668</v>
      </c>
      <c r="L1296">
        <v>0</v>
      </c>
      <c r="R1296" s="16" t="s">
        <v>8064</v>
      </c>
      <c r="S1296" s="16" t="s">
        <v>8064</v>
      </c>
      <c r="T1296" t="s">
        <v>5183</v>
      </c>
      <c r="U1296">
        <v>0</v>
      </c>
    </row>
    <row r="1297" spans="1:21">
      <c r="A1297">
        <v>1284</v>
      </c>
      <c r="B1297" t="s">
        <v>5798</v>
      </c>
      <c r="C1297">
        <v>1236</v>
      </c>
      <c r="D1297">
        <v>1236</v>
      </c>
      <c r="E1297">
        <v>13</v>
      </c>
      <c r="F1297" t="s">
        <v>1444</v>
      </c>
      <c r="G1297" t="s">
        <v>5795</v>
      </c>
      <c r="H1297">
        <v>455</v>
      </c>
      <c r="I1297" t="s">
        <v>5830</v>
      </c>
      <c r="J1297" t="s">
        <v>8668</v>
      </c>
      <c r="L1297">
        <v>0</v>
      </c>
      <c r="R1297" s="16" t="s">
        <v>8064</v>
      </c>
      <c r="S1297" s="16" t="s">
        <v>8064</v>
      </c>
      <c r="T1297" t="s">
        <v>5798</v>
      </c>
      <c r="U1297">
        <v>0</v>
      </c>
    </row>
    <row r="1298" spans="1:21">
      <c r="A1298">
        <v>1285</v>
      </c>
      <c r="B1298" t="s">
        <v>5799</v>
      </c>
      <c r="C1298" t="s">
        <v>5796</v>
      </c>
      <c r="D1298">
        <v>1282</v>
      </c>
      <c r="E1298">
        <v>13</v>
      </c>
      <c r="F1298" t="s">
        <v>5801</v>
      </c>
      <c r="G1298" t="s">
        <v>5797</v>
      </c>
      <c r="H1298">
        <v>615</v>
      </c>
      <c r="I1298" t="s">
        <v>6003</v>
      </c>
      <c r="J1298" t="s">
        <v>8668</v>
      </c>
      <c r="L1298">
        <v>1</v>
      </c>
      <c r="M1298" t="s">
        <v>6749</v>
      </c>
      <c r="N1298" t="s">
        <v>6604</v>
      </c>
      <c r="O1298" t="s">
        <v>3995</v>
      </c>
      <c r="P1298" t="s">
        <v>6750</v>
      </c>
      <c r="Q1298" t="s">
        <v>6751</v>
      </c>
      <c r="R1298" s="16" t="s">
        <v>8630</v>
      </c>
      <c r="S1298" s="16" t="s">
        <v>8335</v>
      </c>
      <c r="T1298" t="s">
        <v>5799</v>
      </c>
      <c r="U1298">
        <v>0</v>
      </c>
    </row>
    <row r="1299" spans="1:21">
      <c r="A1299">
        <v>1286</v>
      </c>
      <c r="B1299" t="s">
        <v>5800</v>
      </c>
      <c r="C1299">
        <v>1286</v>
      </c>
      <c r="D1299">
        <v>1286</v>
      </c>
      <c r="E1299">
        <v>13</v>
      </c>
      <c r="F1299" t="s">
        <v>1444</v>
      </c>
      <c r="G1299" t="s">
        <v>5802</v>
      </c>
      <c r="H1299">
        <v>633</v>
      </c>
      <c r="I1299" t="s">
        <v>6004</v>
      </c>
      <c r="J1299" t="s">
        <v>8668</v>
      </c>
      <c r="L1299">
        <v>0</v>
      </c>
      <c r="R1299" s="16" t="s">
        <v>8064</v>
      </c>
      <c r="S1299" s="16" t="s">
        <v>8064</v>
      </c>
      <c r="T1299" t="s">
        <v>5800</v>
      </c>
      <c r="U1299">
        <v>0</v>
      </c>
    </row>
    <row r="1300" spans="1:21">
      <c r="A1300">
        <v>1336</v>
      </c>
      <c r="B1300" t="s">
        <v>5832</v>
      </c>
      <c r="C1300" s="4" t="s">
        <v>4375</v>
      </c>
      <c r="D1300" s="4">
        <v>996</v>
      </c>
      <c r="E1300" s="4">
        <v>10</v>
      </c>
      <c r="F1300" t="s">
        <v>1444</v>
      </c>
      <c r="G1300" t="s">
        <v>5892</v>
      </c>
      <c r="H1300">
        <v>36</v>
      </c>
      <c r="I1300" s="13" t="s">
        <v>6001</v>
      </c>
      <c r="J1300" t="s">
        <v>8668</v>
      </c>
      <c r="L1300">
        <v>0</v>
      </c>
      <c r="R1300" s="16" t="s">
        <v>8064</v>
      </c>
      <c r="S1300" s="16" t="s">
        <v>8064</v>
      </c>
      <c r="T1300" t="s">
        <v>5832</v>
      </c>
      <c r="U1300">
        <v>0</v>
      </c>
    </row>
    <row r="1301" spans="1:21">
      <c r="A1301">
        <v>1337</v>
      </c>
      <c r="B1301" t="s">
        <v>5833</v>
      </c>
      <c r="C1301" s="4">
        <v>1279</v>
      </c>
      <c r="D1301" s="4">
        <v>1279</v>
      </c>
      <c r="E1301" s="4">
        <v>13</v>
      </c>
      <c r="F1301" t="s">
        <v>1444</v>
      </c>
      <c r="G1301" t="s">
        <v>5893</v>
      </c>
      <c r="H1301">
        <v>40</v>
      </c>
      <c r="I1301" t="s">
        <v>5948</v>
      </c>
      <c r="J1301" t="s">
        <v>8668</v>
      </c>
      <c r="L1301">
        <v>0</v>
      </c>
      <c r="R1301" s="16" t="s">
        <v>8064</v>
      </c>
      <c r="S1301" s="16" t="s">
        <v>8064</v>
      </c>
      <c r="T1301" t="s">
        <v>8016</v>
      </c>
      <c r="U1301">
        <v>0</v>
      </c>
    </row>
    <row r="1302" spans="1:21">
      <c r="A1302">
        <v>1338</v>
      </c>
      <c r="B1302" t="s">
        <v>5834</v>
      </c>
      <c r="C1302" s="4" t="s">
        <v>5815</v>
      </c>
      <c r="D1302" s="4">
        <v>1143</v>
      </c>
      <c r="E1302" s="4">
        <v>12</v>
      </c>
      <c r="F1302" t="s">
        <v>5835</v>
      </c>
      <c r="G1302" t="s">
        <v>5894</v>
      </c>
      <c r="H1302">
        <v>44</v>
      </c>
      <c r="I1302" t="s">
        <v>5949</v>
      </c>
      <c r="J1302" t="s">
        <v>8668</v>
      </c>
      <c r="L1302">
        <v>1</v>
      </c>
      <c r="M1302" t="s">
        <v>5835</v>
      </c>
      <c r="N1302" t="s">
        <v>6293</v>
      </c>
      <c r="O1302" t="s">
        <v>3995</v>
      </c>
      <c r="P1302" t="s">
        <v>6518</v>
      </c>
      <c r="Q1302" t="s">
        <v>6519</v>
      </c>
      <c r="R1302" s="16" t="s">
        <v>8632</v>
      </c>
      <c r="S1302" s="16" t="s">
        <v>8300</v>
      </c>
      <c r="T1302" t="s">
        <v>5834</v>
      </c>
      <c r="U1302">
        <v>0</v>
      </c>
    </row>
    <row r="1303" spans="1:21">
      <c r="A1303">
        <v>1340</v>
      </c>
      <c r="B1303" t="s">
        <v>5836</v>
      </c>
      <c r="C1303" s="4">
        <v>911</v>
      </c>
      <c r="D1303" s="4">
        <v>911</v>
      </c>
      <c r="E1303" s="4">
        <v>10</v>
      </c>
      <c r="F1303" t="s">
        <v>1444</v>
      </c>
      <c r="G1303" t="s">
        <v>5895</v>
      </c>
      <c r="H1303">
        <v>45</v>
      </c>
      <c r="I1303" t="s">
        <v>6002</v>
      </c>
      <c r="J1303" t="s">
        <v>8668</v>
      </c>
      <c r="L1303">
        <v>0</v>
      </c>
      <c r="R1303" s="16" t="s">
        <v>8064</v>
      </c>
      <c r="S1303" s="16" t="s">
        <v>8064</v>
      </c>
      <c r="T1303" t="s">
        <v>8017</v>
      </c>
      <c r="U1303">
        <v>0</v>
      </c>
    </row>
    <row r="1304" spans="1:21">
      <c r="A1304">
        <v>1341</v>
      </c>
      <c r="B1304" t="s">
        <v>5837</v>
      </c>
      <c r="C1304" s="4" t="s">
        <v>5814</v>
      </c>
      <c r="D1304" s="4">
        <v>911</v>
      </c>
      <c r="E1304" s="4">
        <v>10</v>
      </c>
      <c r="F1304" t="s">
        <v>1444</v>
      </c>
      <c r="G1304" t="s">
        <v>5895</v>
      </c>
      <c r="H1304">
        <v>45</v>
      </c>
      <c r="I1304" t="s">
        <v>6002</v>
      </c>
      <c r="J1304" t="s">
        <v>8668</v>
      </c>
      <c r="L1304">
        <v>0</v>
      </c>
      <c r="R1304" s="16" t="s">
        <v>8064</v>
      </c>
      <c r="S1304" s="16" t="s">
        <v>8064</v>
      </c>
      <c r="T1304" t="s">
        <v>8017</v>
      </c>
      <c r="U1304">
        <v>0</v>
      </c>
    </row>
    <row r="1305" spans="1:21">
      <c r="A1305">
        <v>1342</v>
      </c>
      <c r="B1305" t="s">
        <v>5838</v>
      </c>
      <c r="C1305" s="4">
        <v>1285</v>
      </c>
      <c r="D1305" s="4">
        <v>1285</v>
      </c>
      <c r="E1305" s="4">
        <v>13</v>
      </c>
      <c r="F1305" t="s">
        <v>1444</v>
      </c>
      <c r="G1305" t="s">
        <v>5896</v>
      </c>
      <c r="H1305">
        <v>49</v>
      </c>
      <c r="I1305" t="s">
        <v>5950</v>
      </c>
      <c r="J1305" t="s">
        <v>8668</v>
      </c>
      <c r="L1305">
        <v>0</v>
      </c>
      <c r="R1305" s="16" t="s">
        <v>8064</v>
      </c>
      <c r="S1305" s="16" t="s">
        <v>8064</v>
      </c>
      <c r="T1305" t="s">
        <v>5838</v>
      </c>
      <c r="U1305">
        <v>0</v>
      </c>
    </row>
    <row r="1306" spans="1:21">
      <c r="A1306">
        <v>1343</v>
      </c>
      <c r="B1306" t="s">
        <v>5839</v>
      </c>
      <c r="C1306" s="4">
        <v>1289</v>
      </c>
      <c r="D1306" s="4">
        <v>1289</v>
      </c>
      <c r="E1306" s="4">
        <v>13</v>
      </c>
      <c r="F1306" t="s">
        <v>1444</v>
      </c>
      <c r="G1306" t="s">
        <v>5897</v>
      </c>
      <c r="H1306">
        <v>54</v>
      </c>
      <c r="I1306" t="s">
        <v>5951</v>
      </c>
      <c r="J1306" t="s">
        <v>8668</v>
      </c>
      <c r="L1306">
        <v>0</v>
      </c>
      <c r="R1306" s="16" t="s">
        <v>8064</v>
      </c>
      <c r="S1306" s="16" t="s">
        <v>8064</v>
      </c>
      <c r="T1306" t="s">
        <v>8037</v>
      </c>
      <c r="U1306">
        <v>0</v>
      </c>
    </row>
    <row r="1307" spans="1:21">
      <c r="A1307">
        <v>1297</v>
      </c>
      <c r="B1307" t="s">
        <v>5877</v>
      </c>
      <c r="C1307" s="4" t="s">
        <v>5111</v>
      </c>
      <c r="D1307" s="4">
        <v>1190</v>
      </c>
      <c r="E1307" s="4">
        <v>12</v>
      </c>
      <c r="F1307" t="s">
        <v>1444</v>
      </c>
      <c r="G1307" t="s">
        <v>5907</v>
      </c>
      <c r="H1307">
        <v>226</v>
      </c>
      <c r="I1307" t="s">
        <v>5962</v>
      </c>
      <c r="J1307" t="s">
        <v>8668</v>
      </c>
      <c r="L1307">
        <v>0</v>
      </c>
      <c r="R1307" s="16" t="s">
        <v>8064</v>
      </c>
      <c r="S1307" s="16" t="s">
        <v>8064</v>
      </c>
      <c r="T1307" t="s">
        <v>8014</v>
      </c>
      <c r="U1307">
        <v>0</v>
      </c>
    </row>
    <row r="1308" spans="1:21">
      <c r="A1308">
        <v>1310</v>
      </c>
      <c r="B1308" t="s">
        <v>5859</v>
      </c>
      <c r="C1308" s="4" t="s">
        <v>5817</v>
      </c>
      <c r="D1308" s="4">
        <v>1187</v>
      </c>
      <c r="E1308" s="4">
        <v>12</v>
      </c>
      <c r="F1308" t="s">
        <v>1444</v>
      </c>
      <c r="G1308" t="s">
        <v>5920</v>
      </c>
      <c r="H1308">
        <v>240</v>
      </c>
      <c r="I1308" t="s">
        <v>5975</v>
      </c>
      <c r="J1308" t="s">
        <v>8668</v>
      </c>
      <c r="L1308">
        <v>0</v>
      </c>
      <c r="R1308" s="16" t="s">
        <v>8064</v>
      </c>
      <c r="S1308" s="16" t="s">
        <v>8064</v>
      </c>
      <c r="T1308" t="s">
        <v>5859</v>
      </c>
      <c r="U1308">
        <v>0</v>
      </c>
    </row>
    <row r="1309" spans="1:21">
      <c r="A1309">
        <v>1312</v>
      </c>
      <c r="B1309" t="s">
        <v>5861</v>
      </c>
      <c r="C1309" s="4" t="s">
        <v>207</v>
      </c>
      <c r="D1309" s="4">
        <v>1271</v>
      </c>
      <c r="E1309" s="4">
        <v>13</v>
      </c>
      <c r="F1309" t="s">
        <v>1444</v>
      </c>
      <c r="G1309" t="s">
        <v>5922</v>
      </c>
      <c r="H1309">
        <v>242</v>
      </c>
      <c r="I1309" t="s">
        <v>5977</v>
      </c>
      <c r="J1309" t="s">
        <v>8668</v>
      </c>
      <c r="L1309">
        <v>0</v>
      </c>
      <c r="R1309" s="16" t="s">
        <v>8064</v>
      </c>
      <c r="S1309" s="16" t="s">
        <v>8064</v>
      </c>
      <c r="T1309" t="s">
        <v>5861</v>
      </c>
      <c r="U1309">
        <v>0</v>
      </c>
    </row>
    <row r="1310" spans="1:21">
      <c r="A1310">
        <v>1323</v>
      </c>
      <c r="B1310" t="s">
        <v>5872</v>
      </c>
      <c r="C1310" s="4">
        <v>1277</v>
      </c>
      <c r="D1310" s="4">
        <v>1277</v>
      </c>
      <c r="E1310" s="4">
        <v>13</v>
      </c>
      <c r="F1310" t="s">
        <v>1444</v>
      </c>
      <c r="G1310" t="s">
        <v>5933</v>
      </c>
      <c r="H1310">
        <v>253</v>
      </c>
      <c r="I1310" t="s">
        <v>5988</v>
      </c>
      <c r="J1310" t="s">
        <v>8668</v>
      </c>
      <c r="L1310">
        <v>0</v>
      </c>
      <c r="R1310" s="16" t="s">
        <v>8064</v>
      </c>
      <c r="S1310" s="16" t="s">
        <v>8064</v>
      </c>
      <c r="T1310" t="s">
        <v>5872</v>
      </c>
      <c r="U1310">
        <v>0</v>
      </c>
    </row>
    <row r="1311" spans="1:21">
      <c r="A1311">
        <v>1329</v>
      </c>
      <c r="B1311" t="s">
        <v>5884</v>
      </c>
      <c r="C1311" s="4" t="s">
        <v>5816</v>
      </c>
      <c r="D1311" s="4">
        <v>1162</v>
      </c>
      <c r="E1311" s="4">
        <v>12</v>
      </c>
      <c r="F1311" t="s">
        <v>1444</v>
      </c>
      <c r="G1311" t="s">
        <v>5940</v>
      </c>
      <c r="H1311">
        <v>266</v>
      </c>
      <c r="I1311" t="s">
        <v>5995</v>
      </c>
      <c r="J1311" t="s">
        <v>8668</v>
      </c>
      <c r="L1311">
        <v>0</v>
      </c>
      <c r="R1311" s="16" t="s">
        <v>8064</v>
      </c>
      <c r="S1311" s="16" t="s">
        <v>8064</v>
      </c>
      <c r="T1311" t="s">
        <v>5884</v>
      </c>
      <c r="U1311">
        <v>0</v>
      </c>
    </row>
    <row r="1312" spans="1:21">
      <c r="A1312">
        <v>1339</v>
      </c>
      <c r="B1312" t="s">
        <v>5889</v>
      </c>
      <c r="C1312" s="4" t="s">
        <v>5821</v>
      </c>
      <c r="D1312" s="4">
        <v>1238</v>
      </c>
      <c r="E1312" s="4">
        <v>13</v>
      </c>
      <c r="F1312" t="s">
        <v>1444</v>
      </c>
      <c r="G1312" t="s">
        <v>5945</v>
      </c>
      <c r="H1312">
        <v>447</v>
      </c>
      <c r="I1312" t="s">
        <v>6000</v>
      </c>
      <c r="J1312" t="s">
        <v>8668</v>
      </c>
      <c r="L1312">
        <v>0</v>
      </c>
      <c r="R1312" s="16" t="s">
        <v>8064</v>
      </c>
      <c r="S1312" s="16" t="s">
        <v>8064</v>
      </c>
      <c r="T1312" t="s">
        <v>5889</v>
      </c>
      <c r="U1312">
        <v>0</v>
      </c>
    </row>
    <row r="1313" spans="1:21">
      <c r="A1313">
        <v>1287</v>
      </c>
      <c r="B1313" t="s">
        <v>5840</v>
      </c>
      <c r="C1313" s="4">
        <v>1071</v>
      </c>
      <c r="D1313" s="4">
        <v>1071</v>
      </c>
      <c r="E1313" s="4">
        <v>11</v>
      </c>
      <c r="F1313" t="s">
        <v>1444</v>
      </c>
      <c r="G1313" t="s">
        <v>5898</v>
      </c>
      <c r="H1313">
        <v>111</v>
      </c>
      <c r="I1313" t="s">
        <v>5952</v>
      </c>
      <c r="J1313" s="5" t="s">
        <v>8871</v>
      </c>
      <c r="K1313" t="s">
        <v>2302</v>
      </c>
      <c r="L1313">
        <v>0</v>
      </c>
      <c r="R1313" s="16" t="s">
        <v>8064</v>
      </c>
      <c r="S1313" s="16" t="s">
        <v>8064</v>
      </c>
      <c r="T1313" t="s">
        <v>5840</v>
      </c>
      <c r="U1313">
        <v>1</v>
      </c>
    </row>
    <row r="1314" spans="1:21">
      <c r="A1314">
        <v>1288</v>
      </c>
      <c r="B1314" t="s">
        <v>5841</v>
      </c>
      <c r="C1314" s="4">
        <v>1280</v>
      </c>
      <c r="D1314" s="4">
        <v>1280</v>
      </c>
      <c r="E1314" s="4">
        <v>13</v>
      </c>
      <c r="F1314" t="s">
        <v>1444</v>
      </c>
      <c r="G1314" t="s">
        <v>5899</v>
      </c>
      <c r="H1314">
        <v>122</v>
      </c>
      <c r="I1314" t="s">
        <v>5953</v>
      </c>
      <c r="J1314" s="5" t="s">
        <v>8872</v>
      </c>
      <c r="K1314" s="5" t="s">
        <v>2357</v>
      </c>
      <c r="L1314">
        <v>0</v>
      </c>
      <c r="R1314" s="16" t="s">
        <v>8064</v>
      </c>
      <c r="S1314" s="16" t="s">
        <v>8064</v>
      </c>
      <c r="T1314" t="s">
        <v>5841</v>
      </c>
      <c r="U1314">
        <v>1</v>
      </c>
    </row>
    <row r="1315" spans="1:21">
      <c r="A1315">
        <v>1289</v>
      </c>
      <c r="B1315" t="s">
        <v>5842</v>
      </c>
      <c r="C1315" s="4" t="s">
        <v>5816</v>
      </c>
      <c r="D1315" s="4">
        <v>1162</v>
      </c>
      <c r="E1315" s="4">
        <v>12</v>
      </c>
      <c r="F1315" t="s">
        <v>1444</v>
      </c>
      <c r="G1315" t="s">
        <v>5900</v>
      </c>
      <c r="H1315">
        <v>140</v>
      </c>
      <c r="I1315" t="s">
        <v>5954</v>
      </c>
      <c r="J1315" s="5" t="s">
        <v>8873</v>
      </c>
      <c r="L1315">
        <v>0</v>
      </c>
      <c r="R1315" s="16" t="s">
        <v>8064</v>
      </c>
      <c r="S1315" s="16" t="s">
        <v>8064</v>
      </c>
      <c r="T1315" t="s">
        <v>5842</v>
      </c>
      <c r="U1315">
        <v>1</v>
      </c>
    </row>
    <row r="1316" spans="1:21">
      <c r="A1316">
        <v>1290</v>
      </c>
      <c r="B1316" t="s">
        <v>5843</v>
      </c>
      <c r="C1316" s="4" t="s">
        <v>5816</v>
      </c>
      <c r="D1316" s="4">
        <v>1162</v>
      </c>
      <c r="E1316" s="4">
        <v>12</v>
      </c>
      <c r="F1316" t="s">
        <v>1444</v>
      </c>
      <c r="G1316" t="s">
        <v>5901</v>
      </c>
      <c r="H1316">
        <v>156</v>
      </c>
      <c r="I1316" t="s">
        <v>5955</v>
      </c>
      <c r="J1316" s="5" t="s">
        <v>8874</v>
      </c>
      <c r="L1316">
        <v>0</v>
      </c>
      <c r="R1316" s="16" t="s">
        <v>8064</v>
      </c>
      <c r="S1316" s="16" t="s">
        <v>8064</v>
      </c>
      <c r="T1316" t="s">
        <v>5843</v>
      </c>
      <c r="U1316">
        <v>1</v>
      </c>
    </row>
    <row r="1317" spans="1:21">
      <c r="A1317">
        <v>1291</v>
      </c>
      <c r="B1317" t="s">
        <v>5844</v>
      </c>
      <c r="C1317" s="4" t="s">
        <v>5816</v>
      </c>
      <c r="D1317" s="4">
        <v>1162</v>
      </c>
      <c r="E1317" s="4">
        <v>12</v>
      </c>
      <c r="F1317" t="s">
        <v>1444</v>
      </c>
      <c r="G1317" t="s">
        <v>5902</v>
      </c>
      <c r="H1317">
        <v>175</v>
      </c>
      <c r="I1317" t="s">
        <v>5956</v>
      </c>
      <c r="J1317" s="5" t="s">
        <v>8875</v>
      </c>
      <c r="L1317">
        <v>0</v>
      </c>
      <c r="R1317" s="16" t="s">
        <v>8064</v>
      </c>
      <c r="S1317" s="16" t="s">
        <v>8064</v>
      </c>
      <c r="T1317" t="s">
        <v>8012</v>
      </c>
      <c r="U1317">
        <v>1</v>
      </c>
    </row>
    <row r="1318" spans="1:21">
      <c r="A1318">
        <v>1292</v>
      </c>
      <c r="B1318" t="s">
        <v>5845</v>
      </c>
      <c r="C1318" s="4">
        <v>1288</v>
      </c>
      <c r="D1318" s="4">
        <v>1288</v>
      </c>
      <c r="E1318" s="4">
        <v>13</v>
      </c>
      <c r="F1318" t="s">
        <v>1444</v>
      </c>
      <c r="G1318" t="s">
        <v>5903</v>
      </c>
      <c r="H1318">
        <v>184</v>
      </c>
      <c r="I1318" t="s">
        <v>5957</v>
      </c>
      <c r="J1318" s="5" t="s">
        <v>8876</v>
      </c>
      <c r="K1318" t="s">
        <v>2358</v>
      </c>
      <c r="L1318">
        <v>0</v>
      </c>
      <c r="R1318" s="16" t="s">
        <v>8064</v>
      </c>
      <c r="S1318" s="16" t="s">
        <v>8064</v>
      </c>
      <c r="T1318" t="s">
        <v>5845</v>
      </c>
      <c r="U1318">
        <v>1</v>
      </c>
    </row>
    <row r="1319" spans="1:21">
      <c r="A1319">
        <v>1293</v>
      </c>
      <c r="B1319" t="s">
        <v>5846</v>
      </c>
      <c r="C1319" s="4" t="s">
        <v>5816</v>
      </c>
      <c r="D1319" s="4">
        <v>1162</v>
      </c>
      <c r="E1319" s="4">
        <v>12</v>
      </c>
      <c r="F1319" t="s">
        <v>1444</v>
      </c>
      <c r="G1319" t="s">
        <v>5904</v>
      </c>
      <c r="H1319">
        <v>223</v>
      </c>
      <c r="I1319" t="s">
        <v>5958</v>
      </c>
      <c r="J1319" s="5" t="s">
        <v>8877</v>
      </c>
      <c r="L1319">
        <v>0</v>
      </c>
      <c r="R1319" s="16" t="s">
        <v>8064</v>
      </c>
      <c r="S1319" s="16" t="s">
        <v>8064</v>
      </c>
      <c r="T1319" t="s">
        <v>5846</v>
      </c>
      <c r="U1319">
        <v>1</v>
      </c>
    </row>
    <row r="1320" spans="1:21">
      <c r="A1320">
        <v>1294</v>
      </c>
      <c r="B1320" t="s">
        <v>5876</v>
      </c>
      <c r="C1320" s="4" t="s">
        <v>5816</v>
      </c>
      <c r="D1320" s="4">
        <v>1162</v>
      </c>
      <c r="E1320" s="4">
        <v>12</v>
      </c>
      <c r="F1320" t="s">
        <v>1444</v>
      </c>
      <c r="G1320" t="s">
        <v>5905</v>
      </c>
      <c r="H1320">
        <v>224</v>
      </c>
      <c r="I1320" t="s">
        <v>5960</v>
      </c>
      <c r="J1320" s="5" t="s">
        <v>8878</v>
      </c>
      <c r="L1320">
        <v>0</v>
      </c>
      <c r="R1320" s="16" t="s">
        <v>8064</v>
      </c>
      <c r="S1320" s="16" t="s">
        <v>8064</v>
      </c>
      <c r="T1320" t="s">
        <v>8013</v>
      </c>
      <c r="U1320">
        <v>1</v>
      </c>
    </row>
    <row r="1321" spans="1:21">
      <c r="A1321">
        <v>1295</v>
      </c>
      <c r="B1321" t="s">
        <v>5875</v>
      </c>
      <c r="C1321" s="4" t="s">
        <v>5816</v>
      </c>
      <c r="D1321" s="4">
        <v>1162</v>
      </c>
      <c r="E1321" s="4">
        <v>12</v>
      </c>
      <c r="F1321" t="s">
        <v>1444</v>
      </c>
      <c r="G1321" t="s">
        <v>5905</v>
      </c>
      <c r="H1321">
        <v>224</v>
      </c>
      <c r="I1321" t="s">
        <v>5959</v>
      </c>
      <c r="J1321" s="5" t="s">
        <v>8878</v>
      </c>
      <c r="L1321">
        <v>0</v>
      </c>
      <c r="R1321" s="16" t="s">
        <v>8064</v>
      </c>
      <c r="S1321" s="16" t="s">
        <v>8064</v>
      </c>
      <c r="T1321" t="s">
        <v>8013</v>
      </c>
      <c r="U1321">
        <v>1</v>
      </c>
    </row>
    <row r="1322" spans="1:21">
      <c r="A1322">
        <v>1296</v>
      </c>
      <c r="B1322" t="s">
        <v>5847</v>
      </c>
      <c r="C1322" s="4" t="s">
        <v>5816</v>
      </c>
      <c r="D1322" s="4">
        <v>1162</v>
      </c>
      <c r="E1322" s="4">
        <v>12</v>
      </c>
      <c r="F1322" t="s">
        <v>1444</v>
      </c>
      <c r="G1322" t="s">
        <v>5906</v>
      </c>
      <c r="H1322">
        <v>225</v>
      </c>
      <c r="I1322" t="s">
        <v>5961</v>
      </c>
      <c r="J1322" t="s">
        <v>8879</v>
      </c>
      <c r="L1322">
        <v>0</v>
      </c>
      <c r="R1322" s="16" t="s">
        <v>8064</v>
      </c>
      <c r="S1322" s="16" t="s">
        <v>8064</v>
      </c>
      <c r="T1322" t="s">
        <v>5847</v>
      </c>
      <c r="U1322">
        <v>1</v>
      </c>
    </row>
    <row r="1323" spans="1:21">
      <c r="A1323">
        <v>1298</v>
      </c>
      <c r="B1323" t="s">
        <v>5878</v>
      </c>
      <c r="C1323" s="4" t="s">
        <v>5816</v>
      </c>
      <c r="D1323" s="4">
        <v>1162</v>
      </c>
      <c r="E1323" s="4">
        <v>12</v>
      </c>
      <c r="F1323" t="s">
        <v>1444</v>
      </c>
      <c r="G1323" t="s">
        <v>5908</v>
      </c>
      <c r="H1323">
        <v>227</v>
      </c>
      <c r="I1323" t="s">
        <v>5963</v>
      </c>
      <c r="J1323" s="5" t="s">
        <v>8880</v>
      </c>
      <c r="L1323">
        <v>0</v>
      </c>
      <c r="R1323" s="16" t="s">
        <v>8064</v>
      </c>
      <c r="S1323" s="16" t="s">
        <v>8064</v>
      </c>
      <c r="T1323" t="s">
        <v>8015</v>
      </c>
      <c r="U1323">
        <v>1</v>
      </c>
    </row>
    <row r="1324" spans="1:21">
      <c r="A1324">
        <v>1299</v>
      </c>
      <c r="B1324" t="s">
        <v>5848</v>
      </c>
      <c r="C1324" s="4" t="s">
        <v>5816</v>
      </c>
      <c r="D1324" s="4">
        <v>1162</v>
      </c>
      <c r="E1324" s="4">
        <v>12</v>
      </c>
      <c r="F1324" t="s">
        <v>1444</v>
      </c>
      <c r="G1324" t="s">
        <v>5909</v>
      </c>
      <c r="H1324">
        <v>228</v>
      </c>
      <c r="I1324" t="s">
        <v>5964</v>
      </c>
      <c r="J1324" s="5" t="s">
        <v>8881</v>
      </c>
      <c r="L1324">
        <v>0</v>
      </c>
      <c r="R1324" s="16" t="s">
        <v>8064</v>
      </c>
      <c r="S1324" s="16" t="s">
        <v>8064</v>
      </c>
      <c r="T1324" t="s">
        <v>5848</v>
      </c>
      <c r="U1324">
        <v>1</v>
      </c>
    </row>
    <row r="1325" spans="1:21">
      <c r="A1325">
        <v>1300</v>
      </c>
      <c r="B1325" t="s">
        <v>5849</v>
      </c>
      <c r="C1325" s="4" t="s">
        <v>5818</v>
      </c>
      <c r="D1325" s="4">
        <v>1200</v>
      </c>
      <c r="E1325" s="4">
        <v>13</v>
      </c>
      <c r="F1325" t="s">
        <v>1444</v>
      </c>
      <c r="G1325" t="s">
        <v>5910</v>
      </c>
      <c r="H1325">
        <v>229</v>
      </c>
      <c r="I1325" t="s">
        <v>5965</v>
      </c>
      <c r="J1325" s="5" t="s">
        <v>8882</v>
      </c>
      <c r="L1325">
        <v>0</v>
      </c>
      <c r="R1325" s="16" t="s">
        <v>8064</v>
      </c>
      <c r="S1325" s="16" t="s">
        <v>8064</v>
      </c>
      <c r="T1325" t="s">
        <v>5849</v>
      </c>
      <c r="U1325">
        <v>1</v>
      </c>
    </row>
    <row r="1326" spans="1:21">
      <c r="A1326">
        <v>1301</v>
      </c>
      <c r="B1326" t="s">
        <v>5850</v>
      </c>
      <c r="C1326" s="4" t="s">
        <v>5816</v>
      </c>
      <c r="D1326" s="4">
        <v>1162</v>
      </c>
      <c r="E1326" s="4">
        <v>12</v>
      </c>
      <c r="F1326" t="s">
        <v>1444</v>
      </c>
      <c r="G1326" t="s">
        <v>5911</v>
      </c>
      <c r="H1326">
        <v>230</v>
      </c>
      <c r="I1326" t="s">
        <v>5966</v>
      </c>
      <c r="J1326" s="5" t="s">
        <v>8883</v>
      </c>
      <c r="L1326">
        <v>0</v>
      </c>
      <c r="R1326" s="16" t="s">
        <v>8064</v>
      </c>
      <c r="S1326" s="16" t="s">
        <v>8064</v>
      </c>
      <c r="T1326" t="s">
        <v>5850</v>
      </c>
      <c r="U1326">
        <v>1</v>
      </c>
    </row>
    <row r="1327" spans="1:21">
      <c r="A1327">
        <v>1302</v>
      </c>
      <c r="B1327" t="s">
        <v>5851</v>
      </c>
      <c r="C1327" s="4" t="s">
        <v>5816</v>
      </c>
      <c r="D1327" s="4">
        <v>1162</v>
      </c>
      <c r="E1327" s="4">
        <v>12</v>
      </c>
      <c r="F1327" t="s">
        <v>1444</v>
      </c>
      <c r="G1327" t="s">
        <v>5912</v>
      </c>
      <c r="H1327">
        <v>231</v>
      </c>
      <c r="I1327" t="s">
        <v>5967</v>
      </c>
      <c r="J1327" s="5" t="s">
        <v>8884</v>
      </c>
      <c r="L1327">
        <v>0</v>
      </c>
      <c r="R1327" s="16" t="s">
        <v>8064</v>
      </c>
      <c r="S1327" s="16" t="s">
        <v>8064</v>
      </c>
      <c r="T1327" t="s">
        <v>5851</v>
      </c>
      <c r="U1327">
        <v>1</v>
      </c>
    </row>
    <row r="1328" spans="1:21">
      <c r="A1328">
        <v>1303</v>
      </c>
      <c r="B1328" t="s">
        <v>5852</v>
      </c>
      <c r="C1328" s="4" t="s">
        <v>5816</v>
      </c>
      <c r="D1328" s="4">
        <v>1162</v>
      </c>
      <c r="E1328" s="4">
        <v>12</v>
      </c>
      <c r="F1328" t="s">
        <v>1444</v>
      </c>
      <c r="G1328" t="s">
        <v>5913</v>
      </c>
      <c r="H1328">
        <v>232</v>
      </c>
      <c r="I1328" t="s">
        <v>5968</v>
      </c>
      <c r="J1328" s="5" t="s">
        <v>8885</v>
      </c>
      <c r="L1328">
        <v>0</v>
      </c>
      <c r="R1328" s="16" t="s">
        <v>8064</v>
      </c>
      <c r="S1328" s="16" t="s">
        <v>8064</v>
      </c>
      <c r="T1328" t="s">
        <v>5852</v>
      </c>
      <c r="U1328">
        <v>1</v>
      </c>
    </row>
    <row r="1329" spans="1:21">
      <c r="A1329">
        <v>1304</v>
      </c>
      <c r="B1329" t="s">
        <v>5853</v>
      </c>
      <c r="C1329" s="4" t="s">
        <v>5816</v>
      </c>
      <c r="D1329" s="4">
        <v>1162</v>
      </c>
      <c r="E1329" s="4">
        <v>12</v>
      </c>
      <c r="F1329" t="s">
        <v>1444</v>
      </c>
      <c r="G1329" t="s">
        <v>5914</v>
      </c>
      <c r="H1329">
        <v>233</v>
      </c>
      <c r="I1329" t="s">
        <v>5969</v>
      </c>
      <c r="J1329" s="5" t="s">
        <v>8886</v>
      </c>
      <c r="L1329">
        <v>0</v>
      </c>
      <c r="R1329" s="16" t="s">
        <v>8064</v>
      </c>
      <c r="S1329" s="16" t="s">
        <v>8064</v>
      </c>
      <c r="T1329" t="s">
        <v>5853</v>
      </c>
      <c r="U1329">
        <v>1</v>
      </c>
    </row>
    <row r="1330" spans="1:21">
      <c r="A1330">
        <v>1305</v>
      </c>
      <c r="B1330" t="s">
        <v>5854</v>
      </c>
      <c r="C1330" s="4" t="s">
        <v>5816</v>
      </c>
      <c r="D1330" s="4">
        <v>1162</v>
      </c>
      <c r="E1330" s="4">
        <v>12</v>
      </c>
      <c r="F1330" t="s">
        <v>1444</v>
      </c>
      <c r="G1330" t="s">
        <v>5915</v>
      </c>
      <c r="H1330">
        <v>234</v>
      </c>
      <c r="I1330" t="s">
        <v>5970</v>
      </c>
      <c r="J1330" s="5" t="s">
        <v>8887</v>
      </c>
      <c r="L1330">
        <v>0</v>
      </c>
      <c r="R1330" s="16" t="s">
        <v>8064</v>
      </c>
      <c r="S1330" s="16" t="s">
        <v>8064</v>
      </c>
      <c r="T1330" t="s">
        <v>5854</v>
      </c>
      <c r="U1330">
        <v>1</v>
      </c>
    </row>
    <row r="1331" spans="1:21">
      <c r="A1331">
        <v>1306</v>
      </c>
      <c r="B1331" t="s">
        <v>5855</v>
      </c>
      <c r="C1331" s="4" t="s">
        <v>5816</v>
      </c>
      <c r="D1331" s="4">
        <v>1162</v>
      </c>
      <c r="E1331" s="4">
        <v>12</v>
      </c>
      <c r="F1331" t="s">
        <v>1444</v>
      </c>
      <c r="G1331" t="s">
        <v>5916</v>
      </c>
      <c r="H1331">
        <v>235</v>
      </c>
      <c r="I1331" t="s">
        <v>5971</v>
      </c>
      <c r="J1331" s="5" t="s">
        <v>8888</v>
      </c>
      <c r="L1331">
        <v>0</v>
      </c>
      <c r="R1331" s="16" t="s">
        <v>8064</v>
      </c>
      <c r="S1331" s="16" t="s">
        <v>8064</v>
      </c>
      <c r="T1331" t="s">
        <v>5855</v>
      </c>
      <c r="U1331">
        <v>1</v>
      </c>
    </row>
    <row r="1332" spans="1:21">
      <c r="A1332">
        <v>1307</v>
      </c>
      <c r="B1332" t="s">
        <v>5856</v>
      </c>
      <c r="C1332" s="4" t="s">
        <v>5816</v>
      </c>
      <c r="D1332" s="4">
        <v>1162</v>
      </c>
      <c r="E1332" s="4">
        <v>12</v>
      </c>
      <c r="F1332" t="s">
        <v>1444</v>
      </c>
      <c r="G1332" t="s">
        <v>5917</v>
      </c>
      <c r="H1332">
        <v>236</v>
      </c>
      <c r="I1332" t="s">
        <v>5972</v>
      </c>
      <c r="J1332" s="5" t="s">
        <v>8889</v>
      </c>
      <c r="L1332">
        <v>0</v>
      </c>
      <c r="R1332" s="16" t="s">
        <v>8064</v>
      </c>
      <c r="S1332" s="16" t="s">
        <v>8064</v>
      </c>
      <c r="T1332" t="s">
        <v>5856</v>
      </c>
      <c r="U1332">
        <v>1</v>
      </c>
    </row>
    <row r="1333" spans="1:21">
      <c r="A1333">
        <v>1308</v>
      </c>
      <c r="B1333" t="s">
        <v>5857</v>
      </c>
      <c r="C1333" s="4" t="s">
        <v>5816</v>
      </c>
      <c r="D1333" s="4">
        <v>1162</v>
      </c>
      <c r="E1333" s="4">
        <v>12</v>
      </c>
      <c r="F1333" t="s">
        <v>1444</v>
      </c>
      <c r="G1333" t="s">
        <v>5918</v>
      </c>
      <c r="H1333">
        <v>237</v>
      </c>
      <c r="I1333" t="s">
        <v>5973</v>
      </c>
      <c r="J1333" s="5" t="s">
        <v>8890</v>
      </c>
      <c r="L1333">
        <v>0</v>
      </c>
      <c r="R1333" s="16" t="s">
        <v>8064</v>
      </c>
      <c r="S1333" s="16" t="s">
        <v>8064</v>
      </c>
      <c r="T1333" t="s">
        <v>5857</v>
      </c>
      <c r="U1333">
        <v>1</v>
      </c>
    </row>
    <row r="1334" spans="1:21">
      <c r="A1334">
        <v>1309</v>
      </c>
      <c r="B1334" t="s">
        <v>5858</v>
      </c>
      <c r="C1334" s="4" t="s">
        <v>5816</v>
      </c>
      <c r="D1334" s="4">
        <v>1162</v>
      </c>
      <c r="E1334" s="4">
        <v>12</v>
      </c>
      <c r="F1334" t="s">
        <v>1444</v>
      </c>
      <c r="G1334" t="s">
        <v>5919</v>
      </c>
      <c r="H1334">
        <v>239</v>
      </c>
      <c r="I1334" t="s">
        <v>5974</v>
      </c>
      <c r="J1334" s="5" t="s">
        <v>8891</v>
      </c>
      <c r="L1334">
        <v>0</v>
      </c>
      <c r="R1334" s="16" t="s">
        <v>8064</v>
      </c>
      <c r="S1334" s="16" t="s">
        <v>8064</v>
      </c>
      <c r="T1334" t="s">
        <v>5858</v>
      </c>
      <c r="U1334">
        <v>1</v>
      </c>
    </row>
    <row r="1335" spans="1:21">
      <c r="A1335">
        <v>1311</v>
      </c>
      <c r="B1335" t="s">
        <v>5860</v>
      </c>
      <c r="C1335" s="4" t="s">
        <v>5817</v>
      </c>
      <c r="D1335" s="4">
        <v>1187</v>
      </c>
      <c r="E1335" s="4">
        <v>12</v>
      </c>
      <c r="F1335" t="s">
        <v>1444</v>
      </c>
      <c r="G1335" t="s">
        <v>5921</v>
      </c>
      <c r="H1335">
        <v>241</v>
      </c>
      <c r="I1335" t="s">
        <v>5976</v>
      </c>
      <c r="J1335" s="5" t="s">
        <v>8892</v>
      </c>
      <c r="L1335">
        <v>0</v>
      </c>
      <c r="R1335" s="16" t="s">
        <v>8064</v>
      </c>
      <c r="S1335" s="16" t="s">
        <v>8064</v>
      </c>
      <c r="T1335" t="s">
        <v>5860</v>
      </c>
      <c r="U1335">
        <v>1</v>
      </c>
    </row>
    <row r="1336" spans="1:21">
      <c r="A1336">
        <v>1313</v>
      </c>
      <c r="B1336" t="s">
        <v>5862</v>
      </c>
      <c r="C1336" s="4" t="s">
        <v>5816</v>
      </c>
      <c r="D1336" s="4">
        <v>1162</v>
      </c>
      <c r="E1336" s="4">
        <v>12</v>
      </c>
      <c r="F1336" t="s">
        <v>1444</v>
      </c>
      <c r="G1336" t="s">
        <v>5923</v>
      </c>
      <c r="H1336">
        <v>243</v>
      </c>
      <c r="I1336" t="s">
        <v>5978</v>
      </c>
      <c r="J1336" s="5" t="s">
        <v>8893</v>
      </c>
      <c r="L1336">
        <v>0</v>
      </c>
      <c r="R1336" s="16" t="s">
        <v>8064</v>
      </c>
      <c r="S1336" s="16" t="s">
        <v>8064</v>
      </c>
      <c r="T1336" t="s">
        <v>5862</v>
      </c>
      <c r="U1336">
        <v>1</v>
      </c>
    </row>
    <row r="1337" spans="1:21">
      <c r="A1337">
        <v>1314</v>
      </c>
      <c r="B1337" t="s">
        <v>5863</v>
      </c>
      <c r="C1337" s="4" t="s">
        <v>5816</v>
      </c>
      <c r="D1337" s="4">
        <v>1162</v>
      </c>
      <c r="E1337" s="4">
        <v>12</v>
      </c>
      <c r="F1337" t="s">
        <v>1444</v>
      </c>
      <c r="G1337" t="s">
        <v>5924</v>
      </c>
      <c r="H1337">
        <v>244</v>
      </c>
      <c r="I1337" t="s">
        <v>5979</v>
      </c>
      <c r="J1337" s="5" t="s">
        <v>8894</v>
      </c>
      <c r="L1337">
        <v>0</v>
      </c>
      <c r="R1337" s="16" t="s">
        <v>8064</v>
      </c>
      <c r="S1337" s="16" t="s">
        <v>8064</v>
      </c>
      <c r="T1337" t="s">
        <v>5863</v>
      </c>
      <c r="U1337">
        <v>1</v>
      </c>
    </row>
    <row r="1338" spans="1:21">
      <c r="A1338">
        <v>1315</v>
      </c>
      <c r="B1338" t="s">
        <v>5864</v>
      </c>
      <c r="C1338" s="4" t="s">
        <v>5816</v>
      </c>
      <c r="D1338" s="4">
        <v>1162</v>
      </c>
      <c r="E1338" s="4">
        <v>12</v>
      </c>
      <c r="F1338" t="s">
        <v>1444</v>
      </c>
      <c r="G1338" t="s">
        <v>5925</v>
      </c>
      <c r="H1338">
        <v>245</v>
      </c>
      <c r="I1338" t="s">
        <v>5980</v>
      </c>
      <c r="J1338" s="5" t="s">
        <v>8895</v>
      </c>
      <c r="L1338">
        <v>0</v>
      </c>
      <c r="R1338" s="16" t="s">
        <v>8064</v>
      </c>
      <c r="S1338" s="16" t="s">
        <v>8064</v>
      </c>
      <c r="T1338" t="s">
        <v>5864</v>
      </c>
      <c r="U1338">
        <v>1</v>
      </c>
    </row>
    <row r="1339" spans="1:21">
      <c r="A1339">
        <v>1316</v>
      </c>
      <c r="B1339" t="s">
        <v>5865</v>
      </c>
      <c r="C1339" s="4" t="s">
        <v>5816</v>
      </c>
      <c r="D1339" s="4">
        <v>1162</v>
      </c>
      <c r="E1339" s="4">
        <v>12</v>
      </c>
      <c r="F1339" t="s">
        <v>1444</v>
      </c>
      <c r="G1339" t="s">
        <v>5926</v>
      </c>
      <c r="H1339">
        <v>246</v>
      </c>
      <c r="I1339" t="s">
        <v>5981</v>
      </c>
      <c r="J1339" s="5" t="s">
        <v>8896</v>
      </c>
      <c r="L1339">
        <v>0</v>
      </c>
      <c r="R1339" s="16" t="s">
        <v>8064</v>
      </c>
      <c r="S1339" s="16" t="s">
        <v>8064</v>
      </c>
      <c r="T1339" t="s">
        <v>5865</v>
      </c>
      <c r="U1339">
        <v>1</v>
      </c>
    </row>
    <row r="1340" spans="1:21">
      <c r="A1340">
        <v>1317</v>
      </c>
      <c r="B1340" t="s">
        <v>5866</v>
      </c>
      <c r="C1340" s="4" t="s">
        <v>5816</v>
      </c>
      <c r="D1340" s="4">
        <v>1162</v>
      </c>
      <c r="E1340" s="4">
        <v>12</v>
      </c>
      <c r="F1340" t="s">
        <v>1444</v>
      </c>
      <c r="G1340" t="s">
        <v>5927</v>
      </c>
      <c r="H1340">
        <v>247</v>
      </c>
      <c r="I1340" t="s">
        <v>5982</v>
      </c>
      <c r="J1340" s="5" t="s">
        <v>8897</v>
      </c>
      <c r="L1340">
        <v>0</v>
      </c>
      <c r="R1340" s="16" t="s">
        <v>8064</v>
      </c>
      <c r="S1340" s="16" t="s">
        <v>8064</v>
      </c>
      <c r="T1340" t="s">
        <v>5866</v>
      </c>
      <c r="U1340">
        <v>1</v>
      </c>
    </row>
    <row r="1341" spans="1:21">
      <c r="A1341">
        <v>1318</v>
      </c>
      <c r="B1341" t="s">
        <v>5867</v>
      </c>
      <c r="C1341" s="4" t="s">
        <v>5816</v>
      </c>
      <c r="D1341" s="4">
        <v>1162</v>
      </c>
      <c r="E1341" s="4">
        <v>12</v>
      </c>
      <c r="F1341" t="s">
        <v>1444</v>
      </c>
      <c r="G1341" t="s">
        <v>5928</v>
      </c>
      <c r="H1341">
        <v>248</v>
      </c>
      <c r="I1341" t="s">
        <v>5983</v>
      </c>
      <c r="J1341" s="5" t="s">
        <v>8898</v>
      </c>
      <c r="L1341">
        <v>0</v>
      </c>
      <c r="R1341" s="16" t="s">
        <v>8064</v>
      </c>
      <c r="S1341" s="16" t="s">
        <v>8064</v>
      </c>
      <c r="T1341" t="s">
        <v>5867</v>
      </c>
      <c r="U1341">
        <v>1</v>
      </c>
    </row>
    <row r="1342" spans="1:21">
      <c r="A1342">
        <v>1319</v>
      </c>
      <c r="B1342" t="s">
        <v>5868</v>
      </c>
      <c r="C1342" s="4" t="s">
        <v>5820</v>
      </c>
      <c r="D1342" s="4">
        <v>1210</v>
      </c>
      <c r="E1342" s="4">
        <v>13</v>
      </c>
      <c r="F1342" t="s">
        <v>1444</v>
      </c>
      <c r="G1342" t="s">
        <v>5929</v>
      </c>
      <c r="H1342">
        <v>249</v>
      </c>
      <c r="I1342" t="s">
        <v>5984</v>
      </c>
      <c r="J1342" s="5" t="s">
        <v>8899</v>
      </c>
      <c r="L1342">
        <v>0</v>
      </c>
      <c r="R1342" s="16" t="s">
        <v>8064</v>
      </c>
      <c r="S1342" s="16" t="s">
        <v>8064</v>
      </c>
      <c r="T1342" t="s">
        <v>5868</v>
      </c>
      <c r="U1342">
        <v>1</v>
      </c>
    </row>
    <row r="1343" spans="1:21">
      <c r="A1343">
        <v>1320</v>
      </c>
      <c r="B1343" t="s">
        <v>5869</v>
      </c>
      <c r="C1343" s="4" t="s">
        <v>5817</v>
      </c>
      <c r="D1343" s="4">
        <v>1187</v>
      </c>
      <c r="E1343" s="4">
        <v>12</v>
      </c>
      <c r="F1343" t="s">
        <v>1444</v>
      </c>
      <c r="G1343" t="s">
        <v>5930</v>
      </c>
      <c r="H1343">
        <v>250</v>
      </c>
      <c r="I1343" t="s">
        <v>5985</v>
      </c>
      <c r="J1343" s="5" t="s">
        <v>8900</v>
      </c>
      <c r="L1343">
        <v>0</v>
      </c>
      <c r="R1343" s="16" t="s">
        <v>8064</v>
      </c>
      <c r="S1343" s="16" t="s">
        <v>8064</v>
      </c>
      <c r="T1343" t="s">
        <v>5869</v>
      </c>
      <c r="U1343">
        <v>1</v>
      </c>
    </row>
    <row r="1344" spans="1:21">
      <c r="A1344">
        <v>1321</v>
      </c>
      <c r="B1344" t="s">
        <v>5870</v>
      </c>
      <c r="C1344" s="4" t="s">
        <v>5822</v>
      </c>
      <c r="D1344" s="4">
        <v>1263</v>
      </c>
      <c r="E1344" s="4">
        <v>13</v>
      </c>
      <c r="F1344" t="s">
        <v>1444</v>
      </c>
      <c r="G1344" t="s">
        <v>5931</v>
      </c>
      <c r="H1344">
        <v>251</v>
      </c>
      <c r="I1344" t="s">
        <v>5986</v>
      </c>
      <c r="J1344" s="5" t="s">
        <v>8901</v>
      </c>
      <c r="L1344">
        <v>0</v>
      </c>
      <c r="R1344" s="16" t="s">
        <v>8064</v>
      </c>
      <c r="S1344" s="16" t="s">
        <v>8064</v>
      </c>
      <c r="T1344" t="s">
        <v>5870</v>
      </c>
      <c r="U1344">
        <v>1</v>
      </c>
    </row>
    <row r="1345" spans="1:21">
      <c r="A1345">
        <v>1322</v>
      </c>
      <c r="B1345" t="s">
        <v>5871</v>
      </c>
      <c r="C1345" s="4" t="s">
        <v>5816</v>
      </c>
      <c r="D1345" s="4">
        <v>1162</v>
      </c>
      <c r="E1345" s="4">
        <v>12</v>
      </c>
      <c r="F1345" t="s">
        <v>1444</v>
      </c>
      <c r="G1345" t="s">
        <v>5932</v>
      </c>
      <c r="H1345">
        <v>252</v>
      </c>
      <c r="I1345" t="s">
        <v>5987</v>
      </c>
      <c r="J1345" s="5" t="s">
        <v>8902</v>
      </c>
      <c r="L1345">
        <v>0</v>
      </c>
      <c r="R1345" s="16" t="s">
        <v>8064</v>
      </c>
      <c r="S1345" s="16" t="s">
        <v>8064</v>
      </c>
      <c r="T1345" t="s">
        <v>5871</v>
      </c>
      <c r="U1345">
        <v>1</v>
      </c>
    </row>
    <row r="1346" spans="1:21">
      <c r="A1346">
        <v>1324</v>
      </c>
      <c r="B1346" t="s">
        <v>5873</v>
      </c>
      <c r="C1346" s="4" t="s">
        <v>5816</v>
      </c>
      <c r="D1346" s="4">
        <v>1162</v>
      </c>
      <c r="E1346" s="4">
        <v>12</v>
      </c>
      <c r="F1346" t="s">
        <v>1444</v>
      </c>
      <c r="G1346" t="s">
        <v>5934</v>
      </c>
      <c r="H1346">
        <v>254</v>
      </c>
      <c r="I1346" t="s">
        <v>5989</v>
      </c>
      <c r="J1346" s="5" t="s">
        <v>8903</v>
      </c>
      <c r="L1346">
        <v>0</v>
      </c>
      <c r="R1346" s="16" t="s">
        <v>8064</v>
      </c>
      <c r="S1346" s="16" t="s">
        <v>8064</v>
      </c>
      <c r="T1346" t="s">
        <v>5873</v>
      </c>
      <c r="U1346">
        <v>1</v>
      </c>
    </row>
    <row r="1347" spans="1:21">
      <c r="A1347">
        <v>1325</v>
      </c>
      <c r="B1347" t="s">
        <v>5874</v>
      </c>
      <c r="C1347" s="4" t="s">
        <v>5816</v>
      </c>
      <c r="D1347" s="4">
        <v>1162</v>
      </c>
      <c r="E1347" s="4">
        <v>12</v>
      </c>
      <c r="F1347" t="s">
        <v>1444</v>
      </c>
      <c r="G1347" t="s">
        <v>5935</v>
      </c>
      <c r="H1347">
        <v>255</v>
      </c>
      <c r="I1347" t="s">
        <v>5990</v>
      </c>
      <c r="J1347" s="5" t="s">
        <v>8904</v>
      </c>
      <c r="L1347">
        <v>0</v>
      </c>
      <c r="R1347" s="16" t="s">
        <v>8064</v>
      </c>
      <c r="S1347" s="16" t="s">
        <v>8064</v>
      </c>
      <c r="T1347" t="s">
        <v>5874</v>
      </c>
      <c r="U1347">
        <v>1</v>
      </c>
    </row>
    <row r="1348" spans="1:21">
      <c r="A1348">
        <v>1326</v>
      </c>
      <c r="B1348" t="s">
        <v>5879</v>
      </c>
      <c r="C1348" s="4" t="s">
        <v>5816</v>
      </c>
      <c r="D1348" s="4">
        <v>1162</v>
      </c>
      <c r="E1348" s="4">
        <v>12</v>
      </c>
      <c r="F1348" t="s">
        <v>1444</v>
      </c>
      <c r="G1348" t="s">
        <v>5936</v>
      </c>
      <c r="H1348">
        <v>257</v>
      </c>
      <c r="I1348" t="s">
        <v>5991</v>
      </c>
      <c r="J1348" s="5" t="s">
        <v>8905</v>
      </c>
      <c r="L1348">
        <v>0</v>
      </c>
      <c r="R1348" s="16" t="s">
        <v>8064</v>
      </c>
      <c r="S1348" s="16" t="s">
        <v>8064</v>
      </c>
      <c r="T1348" t="s">
        <v>8036</v>
      </c>
      <c r="U1348">
        <v>1</v>
      </c>
    </row>
    <row r="1349" spans="1:21">
      <c r="A1349">
        <v>1327</v>
      </c>
      <c r="B1349" t="s">
        <v>5882</v>
      </c>
      <c r="C1349" s="4" t="s">
        <v>5881</v>
      </c>
      <c r="D1349" s="4">
        <v>1203</v>
      </c>
      <c r="E1349" s="4">
        <v>13</v>
      </c>
      <c r="F1349" t="s">
        <v>1444</v>
      </c>
      <c r="G1349" t="s">
        <v>5938</v>
      </c>
      <c r="H1349">
        <v>260</v>
      </c>
      <c r="I1349" t="s">
        <v>5993</v>
      </c>
      <c r="J1349" s="5" t="s">
        <v>8906</v>
      </c>
      <c r="L1349">
        <v>0</v>
      </c>
      <c r="R1349" s="16" t="s">
        <v>8064</v>
      </c>
      <c r="S1349" s="16" t="s">
        <v>8064</v>
      </c>
      <c r="T1349" t="s">
        <v>5882</v>
      </c>
      <c r="U1349">
        <v>1</v>
      </c>
    </row>
    <row r="1350" spans="1:21">
      <c r="A1350">
        <v>1328</v>
      </c>
      <c r="B1350" t="s">
        <v>5883</v>
      </c>
      <c r="C1350" s="4" t="s">
        <v>5816</v>
      </c>
      <c r="D1350" s="4">
        <v>1162</v>
      </c>
      <c r="E1350" s="4">
        <v>12</v>
      </c>
      <c r="F1350" t="s">
        <v>1444</v>
      </c>
      <c r="G1350" t="s">
        <v>5939</v>
      </c>
      <c r="H1350">
        <v>265</v>
      </c>
      <c r="I1350" t="s">
        <v>5994</v>
      </c>
      <c r="J1350" s="5" t="s">
        <v>8907</v>
      </c>
      <c r="L1350">
        <v>0</v>
      </c>
      <c r="R1350" s="16" t="s">
        <v>8064</v>
      </c>
      <c r="S1350" s="16" t="s">
        <v>8064</v>
      </c>
      <c r="T1350" t="s">
        <v>5883</v>
      </c>
      <c r="U1350">
        <v>1</v>
      </c>
    </row>
    <row r="1351" spans="1:21">
      <c r="A1351">
        <v>1330</v>
      </c>
      <c r="B1351" t="s">
        <v>5829</v>
      </c>
      <c r="C1351">
        <v>1004</v>
      </c>
      <c r="D1351">
        <v>1004</v>
      </c>
      <c r="E1351">
        <v>11</v>
      </c>
      <c r="F1351" t="s">
        <v>6160</v>
      </c>
      <c r="G1351" t="s">
        <v>5890</v>
      </c>
      <c r="H1351">
        <v>28</v>
      </c>
      <c r="I1351" t="s">
        <v>5946</v>
      </c>
      <c r="J1351" s="5" t="s">
        <v>2300</v>
      </c>
      <c r="K1351" s="5" t="s">
        <v>2301</v>
      </c>
      <c r="L1351">
        <v>1</v>
      </c>
      <c r="M1351" t="s">
        <v>6447</v>
      </c>
      <c r="N1351" t="s">
        <v>6448</v>
      </c>
      <c r="O1351" t="s">
        <v>104</v>
      </c>
      <c r="P1351">
        <v>63330</v>
      </c>
      <c r="Q1351">
        <v>478310</v>
      </c>
      <c r="R1351" s="16" t="s">
        <v>8631</v>
      </c>
      <c r="S1351" s="16" t="s">
        <v>8336</v>
      </c>
      <c r="T1351" t="s">
        <v>5829</v>
      </c>
      <c r="U1351">
        <v>1</v>
      </c>
    </row>
    <row r="1352" spans="1:21">
      <c r="A1352">
        <v>1331</v>
      </c>
      <c r="B1352" t="s">
        <v>5885</v>
      </c>
      <c r="C1352" s="4" t="s">
        <v>5816</v>
      </c>
      <c r="D1352" s="4">
        <v>1162</v>
      </c>
      <c r="E1352" s="4">
        <v>12</v>
      </c>
      <c r="F1352" t="s">
        <v>1444</v>
      </c>
      <c r="G1352" t="s">
        <v>5941</v>
      </c>
      <c r="H1352">
        <v>309</v>
      </c>
      <c r="I1352" t="s">
        <v>5996</v>
      </c>
      <c r="J1352" s="5" t="s">
        <v>8908</v>
      </c>
      <c r="L1352">
        <v>0</v>
      </c>
      <c r="R1352" s="16" t="s">
        <v>8064</v>
      </c>
      <c r="S1352" s="16" t="s">
        <v>8064</v>
      </c>
      <c r="T1352" t="s">
        <v>5885</v>
      </c>
      <c r="U1352">
        <v>1</v>
      </c>
    </row>
    <row r="1353" spans="1:21">
      <c r="A1353">
        <v>1332</v>
      </c>
      <c r="B1353" t="s">
        <v>5886</v>
      </c>
      <c r="C1353" s="4" t="s">
        <v>5816</v>
      </c>
      <c r="D1353" s="4">
        <v>1162</v>
      </c>
      <c r="E1353" s="4">
        <v>12</v>
      </c>
      <c r="F1353" t="s">
        <v>1444</v>
      </c>
      <c r="G1353" t="s">
        <v>5942</v>
      </c>
      <c r="H1353">
        <v>310</v>
      </c>
      <c r="I1353" t="s">
        <v>5997</v>
      </c>
      <c r="J1353" s="5" t="s">
        <v>8909</v>
      </c>
      <c r="L1353">
        <v>0</v>
      </c>
      <c r="R1353" s="16" t="s">
        <v>8064</v>
      </c>
      <c r="S1353" s="16" t="s">
        <v>8064</v>
      </c>
      <c r="T1353" t="s">
        <v>5886</v>
      </c>
      <c r="U1353">
        <v>1</v>
      </c>
    </row>
    <row r="1354" spans="1:21">
      <c r="A1354">
        <v>1333</v>
      </c>
      <c r="B1354" t="s">
        <v>5887</v>
      </c>
      <c r="C1354" s="4" t="s">
        <v>5816</v>
      </c>
      <c r="D1354" s="4">
        <v>1162</v>
      </c>
      <c r="E1354" s="4">
        <v>12</v>
      </c>
      <c r="F1354" t="s">
        <v>1444</v>
      </c>
      <c r="G1354" t="s">
        <v>5943</v>
      </c>
      <c r="H1354">
        <v>311</v>
      </c>
      <c r="I1354" t="s">
        <v>5998</v>
      </c>
      <c r="J1354" s="5" t="s">
        <v>8910</v>
      </c>
      <c r="L1354">
        <v>0</v>
      </c>
      <c r="R1354" s="16" t="s">
        <v>8064</v>
      </c>
      <c r="S1354" s="16" t="s">
        <v>8064</v>
      </c>
      <c r="T1354" t="s">
        <v>5887</v>
      </c>
      <c r="U1354">
        <v>1</v>
      </c>
    </row>
    <row r="1355" spans="1:21">
      <c r="A1355">
        <v>1334</v>
      </c>
      <c r="B1355" t="s">
        <v>5888</v>
      </c>
      <c r="C1355" s="4" t="s">
        <v>5816</v>
      </c>
      <c r="D1355" s="4">
        <v>1162</v>
      </c>
      <c r="E1355" s="4">
        <v>12</v>
      </c>
      <c r="F1355" t="s">
        <v>1444</v>
      </c>
      <c r="G1355" t="s">
        <v>5944</v>
      </c>
      <c r="H1355">
        <v>312</v>
      </c>
      <c r="I1355" t="s">
        <v>5999</v>
      </c>
      <c r="J1355" s="5" t="s">
        <v>8911</v>
      </c>
      <c r="L1355">
        <v>0</v>
      </c>
      <c r="R1355" s="16" t="s">
        <v>8064</v>
      </c>
      <c r="S1355" s="16" t="s">
        <v>8064</v>
      </c>
      <c r="T1355" t="s">
        <v>5888</v>
      </c>
      <c r="U1355">
        <v>1</v>
      </c>
    </row>
    <row r="1356" spans="1:21">
      <c r="A1356">
        <v>1335</v>
      </c>
      <c r="B1356" t="s">
        <v>5831</v>
      </c>
      <c r="C1356" s="4" t="s">
        <v>5819</v>
      </c>
      <c r="D1356" s="4">
        <v>1196</v>
      </c>
      <c r="E1356" s="4">
        <v>12</v>
      </c>
      <c r="F1356" t="s">
        <v>1444</v>
      </c>
      <c r="G1356" t="s">
        <v>5891</v>
      </c>
      <c r="H1356">
        <v>32</v>
      </c>
      <c r="I1356" t="s">
        <v>5947</v>
      </c>
      <c r="J1356" s="5" t="s">
        <v>8912</v>
      </c>
      <c r="L1356">
        <v>0</v>
      </c>
      <c r="R1356" s="16" t="s">
        <v>8064</v>
      </c>
      <c r="S1356" s="16" t="s">
        <v>8064</v>
      </c>
      <c r="T1356" t="s">
        <v>5831</v>
      </c>
      <c r="U1356">
        <v>1</v>
      </c>
    </row>
    <row r="1357" spans="1:21">
      <c r="A1357">
        <v>1345</v>
      </c>
      <c r="B1357" t="s">
        <v>5808</v>
      </c>
      <c r="C1357">
        <v>1260</v>
      </c>
      <c r="D1357">
        <v>1260</v>
      </c>
      <c r="E1357">
        <v>13</v>
      </c>
      <c r="F1357" t="s">
        <v>1444</v>
      </c>
      <c r="G1357" t="s">
        <v>5826</v>
      </c>
      <c r="H1357">
        <v>473</v>
      </c>
      <c r="I1357" t="s">
        <v>6007</v>
      </c>
      <c r="J1357" t="s">
        <v>8668</v>
      </c>
      <c r="L1357">
        <v>0</v>
      </c>
      <c r="R1357" s="16" t="s">
        <v>8064</v>
      </c>
      <c r="S1357" s="16" t="s">
        <v>8064</v>
      </c>
      <c r="T1357" t="s">
        <v>8038</v>
      </c>
      <c r="U1357">
        <v>0</v>
      </c>
    </row>
    <row r="1358" spans="1:21">
      <c r="A1358">
        <v>1346</v>
      </c>
      <c r="B1358" t="s">
        <v>5809</v>
      </c>
      <c r="C1358" t="s">
        <v>5804</v>
      </c>
      <c r="D1358">
        <v>1265</v>
      </c>
      <c r="E1358">
        <v>13</v>
      </c>
      <c r="F1358" t="s">
        <v>1444</v>
      </c>
      <c r="G1358" t="s">
        <v>5825</v>
      </c>
      <c r="H1358">
        <v>590</v>
      </c>
      <c r="I1358" t="s">
        <v>6008</v>
      </c>
      <c r="J1358" t="s">
        <v>8668</v>
      </c>
      <c r="L1358">
        <v>0</v>
      </c>
      <c r="R1358" s="16" t="s">
        <v>8064</v>
      </c>
      <c r="S1358" s="16" t="s">
        <v>8064</v>
      </c>
      <c r="T1358" t="s">
        <v>5809</v>
      </c>
      <c r="U1358">
        <v>0</v>
      </c>
    </row>
    <row r="1359" spans="1:21">
      <c r="A1359">
        <v>1347</v>
      </c>
      <c r="B1359" t="s">
        <v>5810</v>
      </c>
      <c r="C1359">
        <v>1273</v>
      </c>
      <c r="D1359">
        <v>1273</v>
      </c>
      <c r="E1359">
        <v>13</v>
      </c>
      <c r="F1359" t="s">
        <v>5811</v>
      </c>
      <c r="G1359" t="s">
        <v>5827</v>
      </c>
      <c r="H1359">
        <v>615</v>
      </c>
      <c r="I1359" t="s">
        <v>6009</v>
      </c>
      <c r="J1359" t="s">
        <v>8668</v>
      </c>
      <c r="L1359">
        <v>1</v>
      </c>
      <c r="M1359" t="s">
        <v>5811</v>
      </c>
      <c r="N1359" t="s">
        <v>6950</v>
      </c>
      <c r="O1359" t="s">
        <v>6394</v>
      </c>
      <c r="P1359" t="s">
        <v>6951</v>
      </c>
      <c r="Q1359" t="s">
        <v>6952</v>
      </c>
      <c r="R1359" s="16" t="s">
        <v>8634</v>
      </c>
      <c r="S1359" s="16" t="s">
        <v>8338</v>
      </c>
      <c r="T1359" t="s">
        <v>5810</v>
      </c>
      <c r="U1359">
        <v>0</v>
      </c>
    </row>
    <row r="1360" spans="1:21">
      <c r="A1360">
        <v>1348</v>
      </c>
      <c r="B1360" t="s">
        <v>5812</v>
      </c>
      <c r="C1360">
        <v>1253</v>
      </c>
      <c r="D1360">
        <v>1253</v>
      </c>
      <c r="E1360">
        <v>13</v>
      </c>
      <c r="F1360" t="s">
        <v>5813</v>
      </c>
      <c r="G1360" t="s">
        <v>5824</v>
      </c>
      <c r="H1360">
        <v>702</v>
      </c>
      <c r="I1360" t="s">
        <v>6010</v>
      </c>
      <c r="J1360" t="s">
        <v>8668</v>
      </c>
      <c r="L1360">
        <v>1</v>
      </c>
      <c r="M1360" t="s">
        <v>5813</v>
      </c>
      <c r="N1360" t="s">
        <v>6480</v>
      </c>
      <c r="O1360" t="s">
        <v>6394</v>
      </c>
      <c r="P1360">
        <v>86330</v>
      </c>
      <c r="Q1360">
        <v>476960</v>
      </c>
      <c r="R1360" s="16" t="s">
        <v>8509</v>
      </c>
      <c r="S1360" s="16" t="s">
        <v>8339</v>
      </c>
      <c r="T1360" t="s">
        <v>5812</v>
      </c>
      <c r="U1360">
        <v>0</v>
      </c>
    </row>
    <row r="1361" spans="1:21">
      <c r="A1361">
        <v>1344</v>
      </c>
      <c r="B1361" t="s">
        <v>5807</v>
      </c>
      <c r="C1361" t="s">
        <v>5803</v>
      </c>
      <c r="D1361">
        <v>982</v>
      </c>
      <c r="E1361">
        <v>10</v>
      </c>
      <c r="F1361" t="s">
        <v>5773</v>
      </c>
      <c r="G1361" t="s">
        <v>5823</v>
      </c>
      <c r="H1361">
        <v>403</v>
      </c>
      <c r="I1361" t="s">
        <v>9170</v>
      </c>
      <c r="J1361" s="5" t="s">
        <v>9169</v>
      </c>
      <c r="L1361">
        <v>1</v>
      </c>
      <c r="M1361" t="s">
        <v>5773</v>
      </c>
      <c r="N1361" t="s">
        <v>6604</v>
      </c>
      <c r="O1361" t="s">
        <v>3995</v>
      </c>
      <c r="P1361" t="s">
        <v>6733</v>
      </c>
      <c r="Q1361" t="s">
        <v>6734</v>
      </c>
      <c r="R1361" s="16" t="s">
        <v>8633</v>
      </c>
      <c r="S1361" s="16" t="s">
        <v>8337</v>
      </c>
      <c r="T1361" t="s">
        <v>5807</v>
      </c>
      <c r="U1361">
        <v>1</v>
      </c>
    </row>
    <row r="1362" spans="1:21">
      <c r="A1362">
        <v>1349</v>
      </c>
      <c r="B1362" t="s">
        <v>2753</v>
      </c>
      <c r="C1362">
        <v>1152</v>
      </c>
      <c r="D1362">
        <v>1152</v>
      </c>
      <c r="E1362">
        <v>12</v>
      </c>
      <c r="F1362" t="s">
        <v>1444</v>
      </c>
      <c r="G1362" t="s">
        <v>2754</v>
      </c>
      <c r="H1362">
        <v>46</v>
      </c>
      <c r="I1362" t="s">
        <v>2801</v>
      </c>
      <c r="J1362" t="s">
        <v>8668</v>
      </c>
      <c r="L1362">
        <v>0</v>
      </c>
      <c r="R1362" s="16" t="s">
        <v>8064</v>
      </c>
      <c r="S1362" s="16" t="s">
        <v>8064</v>
      </c>
      <c r="T1362" t="s">
        <v>2753</v>
      </c>
      <c r="U1362">
        <v>0</v>
      </c>
    </row>
    <row r="1363" spans="1:21">
      <c r="A1363">
        <v>1351</v>
      </c>
      <c r="B1363" t="s">
        <v>2767</v>
      </c>
      <c r="C1363">
        <v>1199</v>
      </c>
      <c r="D1363">
        <v>1199</v>
      </c>
      <c r="E1363">
        <v>12</v>
      </c>
      <c r="F1363" t="s">
        <v>2756</v>
      </c>
      <c r="G1363" t="s">
        <v>2777</v>
      </c>
      <c r="H1363">
        <v>49</v>
      </c>
      <c r="I1363" t="s">
        <v>2803</v>
      </c>
      <c r="J1363" t="s">
        <v>8668</v>
      </c>
      <c r="L1363">
        <v>1</v>
      </c>
      <c r="M1363" t="s">
        <v>6478</v>
      </c>
      <c r="N1363" t="s">
        <v>6451</v>
      </c>
      <c r="O1363" t="s">
        <v>12</v>
      </c>
      <c r="P1363">
        <v>-17930</v>
      </c>
      <c r="Q1363">
        <v>510680</v>
      </c>
      <c r="R1363" s="16" t="s">
        <v>8444</v>
      </c>
      <c r="S1363" s="16" t="s">
        <v>8148</v>
      </c>
      <c r="T1363" t="s">
        <v>2767</v>
      </c>
      <c r="U1363">
        <v>0</v>
      </c>
    </row>
    <row r="1364" spans="1:21">
      <c r="A1364">
        <v>1352</v>
      </c>
      <c r="B1364" t="s">
        <v>2768</v>
      </c>
      <c r="C1364" t="s">
        <v>2757</v>
      </c>
      <c r="D1364">
        <v>1208</v>
      </c>
      <c r="E1364">
        <v>13</v>
      </c>
      <c r="F1364" t="s">
        <v>2758</v>
      </c>
      <c r="G1364" t="s">
        <v>2777</v>
      </c>
      <c r="H1364">
        <v>49</v>
      </c>
      <c r="I1364" t="s">
        <v>2804</v>
      </c>
      <c r="J1364" t="s">
        <v>8668</v>
      </c>
      <c r="L1364">
        <v>1</v>
      </c>
      <c r="M1364" t="s">
        <v>6597</v>
      </c>
      <c r="N1364" t="s">
        <v>6293</v>
      </c>
      <c r="O1364" t="s">
        <v>3995</v>
      </c>
      <c r="P1364" t="s">
        <v>6598</v>
      </c>
      <c r="Q1364" t="s">
        <v>6599</v>
      </c>
      <c r="R1364" s="16" t="s">
        <v>6598</v>
      </c>
      <c r="S1364" s="16" t="s">
        <v>6599</v>
      </c>
      <c r="T1364" t="s">
        <v>2768</v>
      </c>
      <c r="U1364">
        <v>0</v>
      </c>
    </row>
    <row r="1365" spans="1:21">
      <c r="A1365">
        <v>1353</v>
      </c>
      <c r="B1365" t="s">
        <v>2769</v>
      </c>
      <c r="C1365" t="s">
        <v>2759</v>
      </c>
      <c r="D1365">
        <v>1236</v>
      </c>
      <c r="E1365">
        <v>13</v>
      </c>
      <c r="F1365" t="s">
        <v>2760</v>
      </c>
      <c r="G1365" t="s">
        <v>2778</v>
      </c>
      <c r="H1365">
        <v>50</v>
      </c>
      <c r="I1365" t="s">
        <v>2805</v>
      </c>
      <c r="J1365" t="s">
        <v>8668</v>
      </c>
      <c r="L1365">
        <v>1</v>
      </c>
      <c r="M1365" t="s">
        <v>6632</v>
      </c>
      <c r="N1365" t="s">
        <v>6416</v>
      </c>
      <c r="O1365" t="s">
        <v>11</v>
      </c>
      <c r="P1365" t="s">
        <v>6633</v>
      </c>
      <c r="Q1365" t="s">
        <v>6634</v>
      </c>
      <c r="R1365" s="16" t="s">
        <v>8510</v>
      </c>
      <c r="S1365" s="16" t="s">
        <v>8216</v>
      </c>
      <c r="T1365" t="s">
        <v>2769</v>
      </c>
      <c r="U1365">
        <v>0</v>
      </c>
    </row>
    <row r="1366" spans="1:21">
      <c r="A1366">
        <v>1354</v>
      </c>
      <c r="B1366" t="s">
        <v>2799</v>
      </c>
      <c r="C1366">
        <v>1203</v>
      </c>
      <c r="D1366">
        <v>1203</v>
      </c>
      <c r="E1366">
        <v>13</v>
      </c>
      <c r="F1366" t="s">
        <v>2761</v>
      </c>
      <c r="G1366" t="s">
        <v>2779</v>
      </c>
      <c r="H1366">
        <v>51</v>
      </c>
      <c r="I1366" t="s">
        <v>2806</v>
      </c>
      <c r="J1366" t="s">
        <v>8668</v>
      </c>
      <c r="L1366">
        <v>1</v>
      </c>
      <c r="M1366" t="s">
        <v>2761</v>
      </c>
      <c r="N1366" t="s">
        <v>6299</v>
      </c>
      <c r="O1366" t="s">
        <v>11</v>
      </c>
      <c r="P1366">
        <v>135760</v>
      </c>
      <c r="Q1366">
        <v>461280</v>
      </c>
      <c r="R1366" s="16" t="s">
        <v>8635</v>
      </c>
      <c r="S1366" s="16" t="s">
        <v>8340</v>
      </c>
      <c r="T1366" t="s">
        <v>8018</v>
      </c>
      <c r="U1366">
        <v>0</v>
      </c>
    </row>
    <row r="1367" spans="1:21">
      <c r="A1367">
        <v>1355</v>
      </c>
      <c r="B1367" t="s">
        <v>2798</v>
      </c>
      <c r="C1367">
        <v>1243</v>
      </c>
      <c r="D1367">
        <v>1243</v>
      </c>
      <c r="E1367">
        <v>13</v>
      </c>
      <c r="F1367" t="s">
        <v>2761</v>
      </c>
      <c r="G1367" t="s">
        <v>2779</v>
      </c>
      <c r="H1367">
        <v>51</v>
      </c>
      <c r="I1367" t="s">
        <v>2807</v>
      </c>
      <c r="J1367" t="s">
        <v>8668</v>
      </c>
      <c r="L1367">
        <v>1</v>
      </c>
      <c r="M1367" t="s">
        <v>2761</v>
      </c>
      <c r="N1367" t="s">
        <v>6299</v>
      </c>
      <c r="O1367" t="s">
        <v>11</v>
      </c>
      <c r="P1367">
        <v>135760</v>
      </c>
      <c r="Q1367">
        <v>461280</v>
      </c>
      <c r="R1367" s="16" t="s">
        <v>8635</v>
      </c>
      <c r="S1367" s="16" t="s">
        <v>8340</v>
      </c>
      <c r="T1367" t="s">
        <v>8018</v>
      </c>
      <c r="U1367">
        <v>0</v>
      </c>
    </row>
    <row r="1368" spans="1:21">
      <c r="A1368">
        <v>1356</v>
      </c>
      <c r="B1368" t="s">
        <v>2770</v>
      </c>
      <c r="C1368">
        <v>1254</v>
      </c>
      <c r="D1368">
        <v>1254</v>
      </c>
      <c r="E1368">
        <v>13</v>
      </c>
      <c r="F1368" t="s">
        <v>2761</v>
      </c>
      <c r="G1368" t="s">
        <v>2779</v>
      </c>
      <c r="H1368">
        <v>51</v>
      </c>
      <c r="I1368" t="s">
        <v>2808</v>
      </c>
      <c r="J1368" t="s">
        <v>8668</v>
      </c>
      <c r="L1368">
        <v>1</v>
      </c>
      <c r="M1368" t="s">
        <v>2761</v>
      </c>
      <c r="N1368" t="s">
        <v>6299</v>
      </c>
      <c r="O1368" t="s">
        <v>11</v>
      </c>
      <c r="P1368">
        <v>135760</v>
      </c>
      <c r="Q1368">
        <v>461280</v>
      </c>
      <c r="R1368" s="16" t="s">
        <v>8635</v>
      </c>
      <c r="S1368" s="16" t="s">
        <v>8340</v>
      </c>
      <c r="T1368" t="s">
        <v>2770</v>
      </c>
      <c r="U1368">
        <v>0</v>
      </c>
    </row>
    <row r="1369" spans="1:21">
      <c r="A1369">
        <v>1357</v>
      </c>
      <c r="B1369" t="s">
        <v>2771</v>
      </c>
      <c r="C1369" t="s">
        <v>2800</v>
      </c>
      <c r="D1369">
        <v>1253</v>
      </c>
      <c r="E1369">
        <v>13</v>
      </c>
      <c r="F1369" t="s">
        <v>2762</v>
      </c>
      <c r="G1369" t="s">
        <v>2780</v>
      </c>
      <c r="H1369">
        <v>52</v>
      </c>
      <c r="I1369" t="s">
        <v>2809</v>
      </c>
      <c r="J1369" t="s">
        <v>8668</v>
      </c>
      <c r="L1369">
        <v>1</v>
      </c>
      <c r="M1369" t="s">
        <v>2762</v>
      </c>
      <c r="N1369" t="s">
        <v>6324</v>
      </c>
      <c r="O1369" t="s">
        <v>11</v>
      </c>
      <c r="P1369">
        <v>113410</v>
      </c>
      <c r="Q1369">
        <v>444940</v>
      </c>
      <c r="R1369" s="16" t="s">
        <v>8378</v>
      </c>
      <c r="S1369" s="16" t="s">
        <v>8082</v>
      </c>
      <c r="T1369" t="s">
        <v>2771</v>
      </c>
      <c r="U1369">
        <v>0</v>
      </c>
    </row>
    <row r="1370" spans="1:21">
      <c r="A1370">
        <v>1358</v>
      </c>
      <c r="B1370" t="s">
        <v>2772</v>
      </c>
      <c r="C1370">
        <v>1268</v>
      </c>
      <c r="D1370">
        <v>1268</v>
      </c>
      <c r="E1370">
        <v>13</v>
      </c>
      <c r="F1370" t="s">
        <v>2763</v>
      </c>
      <c r="G1370" t="s">
        <v>2781</v>
      </c>
      <c r="H1370">
        <v>56</v>
      </c>
      <c r="I1370" t="s">
        <v>1444</v>
      </c>
      <c r="J1370" t="s">
        <v>8668</v>
      </c>
      <c r="L1370">
        <v>1</v>
      </c>
      <c r="M1370" t="s">
        <v>6810</v>
      </c>
      <c r="N1370" t="s">
        <v>6291</v>
      </c>
      <c r="O1370" t="s">
        <v>3995</v>
      </c>
      <c r="P1370" t="s">
        <v>6811</v>
      </c>
      <c r="Q1370" t="s">
        <v>6715</v>
      </c>
      <c r="R1370" s="16" t="s">
        <v>8525</v>
      </c>
      <c r="S1370" s="16" t="s">
        <v>8230</v>
      </c>
      <c r="T1370" t="s">
        <v>2772</v>
      </c>
      <c r="U1370">
        <v>0</v>
      </c>
    </row>
    <row r="1371" spans="1:21">
      <c r="A1371">
        <v>1359</v>
      </c>
      <c r="B1371" t="s">
        <v>2773</v>
      </c>
      <c r="C1371" t="s">
        <v>2764</v>
      </c>
      <c r="D1371">
        <v>1286</v>
      </c>
      <c r="E1371">
        <v>13</v>
      </c>
      <c r="F1371" t="s">
        <v>1444</v>
      </c>
      <c r="G1371" t="s">
        <v>2781</v>
      </c>
      <c r="H1371">
        <v>56</v>
      </c>
      <c r="I1371" t="s">
        <v>1444</v>
      </c>
      <c r="J1371" t="s">
        <v>8668</v>
      </c>
      <c r="L1371">
        <v>0</v>
      </c>
      <c r="R1371" s="16" t="s">
        <v>8064</v>
      </c>
      <c r="S1371" s="16" t="s">
        <v>8064</v>
      </c>
      <c r="T1371" t="s">
        <v>2773</v>
      </c>
      <c r="U1371">
        <v>0</v>
      </c>
    </row>
    <row r="1372" spans="1:21">
      <c r="A1372">
        <v>1360</v>
      </c>
      <c r="B1372" t="s">
        <v>2774</v>
      </c>
      <c r="C1372">
        <v>1291</v>
      </c>
      <c r="D1372">
        <v>1291</v>
      </c>
      <c r="E1372">
        <v>13</v>
      </c>
      <c r="F1372" t="s">
        <v>2765</v>
      </c>
      <c r="G1372" t="s">
        <v>2782</v>
      </c>
      <c r="H1372">
        <v>57</v>
      </c>
      <c r="I1372" t="s">
        <v>2810</v>
      </c>
      <c r="J1372" t="s">
        <v>8668</v>
      </c>
      <c r="L1372">
        <v>1</v>
      </c>
      <c r="M1372" t="s">
        <v>6298</v>
      </c>
      <c r="N1372" t="s">
        <v>6299</v>
      </c>
      <c r="O1372" t="s">
        <v>11</v>
      </c>
      <c r="P1372">
        <v>134010</v>
      </c>
      <c r="Q1372">
        <v>457680</v>
      </c>
      <c r="R1372" s="16" t="s">
        <v>8636</v>
      </c>
      <c r="S1372" s="16" t="s">
        <v>8341</v>
      </c>
      <c r="T1372" t="s">
        <v>2774</v>
      </c>
      <c r="U1372">
        <v>0</v>
      </c>
    </row>
    <row r="1373" spans="1:21">
      <c r="A1373">
        <v>1350</v>
      </c>
      <c r="B1373" t="s">
        <v>7718</v>
      </c>
      <c r="C1373">
        <v>1180</v>
      </c>
      <c r="D1373">
        <v>1180</v>
      </c>
      <c r="E1373">
        <v>12</v>
      </c>
      <c r="F1373" t="s">
        <v>1444</v>
      </c>
      <c r="G1373" t="s">
        <v>2755</v>
      </c>
      <c r="I1373" t="s">
        <v>2802</v>
      </c>
      <c r="J1373" t="s">
        <v>8668</v>
      </c>
      <c r="L1373">
        <v>0</v>
      </c>
      <c r="R1373" s="16" t="s">
        <v>8064</v>
      </c>
      <c r="S1373" s="16" t="s">
        <v>8064</v>
      </c>
      <c r="T1373" t="s">
        <v>7718</v>
      </c>
      <c r="U1373">
        <v>0</v>
      </c>
    </row>
    <row r="1374" spans="1:21">
      <c r="A1374">
        <v>1366</v>
      </c>
      <c r="B1374" t="s">
        <v>7724</v>
      </c>
      <c r="C1374" s="4">
        <v>1292</v>
      </c>
      <c r="D1374" s="4">
        <v>1292</v>
      </c>
      <c r="E1374" s="4">
        <v>13</v>
      </c>
      <c r="F1374" t="s">
        <v>1444</v>
      </c>
      <c r="G1374" t="s">
        <v>2595</v>
      </c>
      <c r="H1374">
        <v>3</v>
      </c>
      <c r="I1374" t="s">
        <v>2590</v>
      </c>
      <c r="J1374" t="s">
        <v>8668</v>
      </c>
      <c r="L1374">
        <v>0</v>
      </c>
      <c r="R1374" s="16" t="s">
        <v>8064</v>
      </c>
      <c r="S1374" s="16" t="s">
        <v>8064</v>
      </c>
      <c r="T1374" t="s">
        <v>7724</v>
      </c>
      <c r="U1374">
        <v>0</v>
      </c>
    </row>
    <row r="1375" spans="1:21">
      <c r="A1375">
        <v>1372</v>
      </c>
      <c r="B1375" t="s">
        <v>7730</v>
      </c>
      <c r="C1375" s="4">
        <v>1270</v>
      </c>
      <c r="D1375" s="4">
        <v>1270</v>
      </c>
      <c r="E1375" s="4">
        <v>13</v>
      </c>
      <c r="F1375" t="s">
        <v>6173</v>
      </c>
      <c r="G1375" t="s">
        <v>2596</v>
      </c>
      <c r="H1375">
        <v>7</v>
      </c>
      <c r="I1375" t="s">
        <v>2591</v>
      </c>
      <c r="J1375" t="s">
        <v>8668</v>
      </c>
      <c r="L1375">
        <v>1</v>
      </c>
      <c r="M1375" t="s">
        <v>6173</v>
      </c>
      <c r="N1375" t="s">
        <v>6662</v>
      </c>
      <c r="O1375" t="s">
        <v>11</v>
      </c>
      <c r="P1375" t="s">
        <v>6913</v>
      </c>
      <c r="Q1375" t="s">
        <v>6914</v>
      </c>
      <c r="R1375" s="16" t="s">
        <v>8380</v>
      </c>
      <c r="S1375" s="16" t="s">
        <v>8084</v>
      </c>
      <c r="T1375" t="s">
        <v>7730</v>
      </c>
      <c r="U1375">
        <v>0</v>
      </c>
    </row>
    <row r="1376" spans="1:21">
      <c r="A1376">
        <v>1371</v>
      </c>
      <c r="B1376" t="s">
        <v>7729</v>
      </c>
      <c r="C1376" s="4">
        <v>1097</v>
      </c>
      <c r="D1376" s="4">
        <v>1097</v>
      </c>
      <c r="E1376" s="4">
        <v>11</v>
      </c>
      <c r="F1376" t="s">
        <v>6172</v>
      </c>
      <c r="G1376" t="s">
        <v>2597</v>
      </c>
      <c r="H1376">
        <v>54</v>
      </c>
      <c r="I1376" t="s">
        <v>2592</v>
      </c>
      <c r="J1376" t="s">
        <v>8668</v>
      </c>
      <c r="L1376">
        <v>1</v>
      </c>
      <c r="M1376" t="s">
        <v>4646</v>
      </c>
      <c r="N1376" t="s">
        <v>6295</v>
      </c>
      <c r="O1376" t="s">
        <v>11</v>
      </c>
      <c r="P1376">
        <v>124964</v>
      </c>
      <c r="Q1376">
        <v>419028</v>
      </c>
      <c r="R1376" s="16" t="s">
        <v>8368</v>
      </c>
      <c r="S1376" s="16" t="s">
        <v>8073</v>
      </c>
      <c r="T1376" t="s">
        <v>7741</v>
      </c>
      <c r="U1376">
        <v>0</v>
      </c>
    </row>
    <row r="1377" spans="1:21">
      <c r="A1377">
        <v>1361</v>
      </c>
      <c r="B1377" t="s">
        <v>7719</v>
      </c>
      <c r="C1377" s="4">
        <v>1296</v>
      </c>
      <c r="D1377" s="4">
        <v>1296</v>
      </c>
      <c r="E1377" s="4">
        <v>13</v>
      </c>
      <c r="F1377" t="s">
        <v>1444</v>
      </c>
      <c r="G1377" t="s">
        <v>2598</v>
      </c>
      <c r="H1377">
        <v>112</v>
      </c>
      <c r="I1377" t="s">
        <v>2593</v>
      </c>
      <c r="J1377" t="s">
        <v>8668</v>
      </c>
      <c r="L1377">
        <v>0</v>
      </c>
      <c r="R1377" s="16" t="s">
        <v>8064</v>
      </c>
      <c r="S1377" s="16" t="s">
        <v>8064</v>
      </c>
      <c r="T1377" t="s">
        <v>7719</v>
      </c>
      <c r="U1377">
        <v>0</v>
      </c>
    </row>
    <row r="1378" spans="1:21">
      <c r="A1378">
        <v>1362</v>
      </c>
      <c r="B1378" t="s">
        <v>7720</v>
      </c>
      <c r="C1378" s="4">
        <v>1278</v>
      </c>
      <c r="D1378" s="4">
        <v>1278</v>
      </c>
      <c r="E1378" s="4">
        <v>13</v>
      </c>
      <c r="F1378" t="s">
        <v>1444</v>
      </c>
      <c r="G1378" t="s">
        <v>2599</v>
      </c>
      <c r="H1378">
        <v>127</v>
      </c>
      <c r="I1378" t="s">
        <v>2590</v>
      </c>
      <c r="J1378" t="s">
        <v>8668</v>
      </c>
      <c r="L1378">
        <v>0</v>
      </c>
      <c r="R1378" s="16" t="s">
        <v>8064</v>
      </c>
      <c r="S1378" s="16" t="s">
        <v>8064</v>
      </c>
      <c r="T1378" t="s">
        <v>7737</v>
      </c>
      <c r="U1378">
        <v>0</v>
      </c>
    </row>
    <row r="1379" spans="1:21">
      <c r="A1379">
        <v>1363</v>
      </c>
      <c r="B1379" t="s">
        <v>7721</v>
      </c>
      <c r="C1379" s="4">
        <v>1242</v>
      </c>
      <c r="D1379" s="4">
        <v>1242</v>
      </c>
      <c r="E1379" s="4">
        <v>13</v>
      </c>
      <c r="F1379" t="s">
        <v>1444</v>
      </c>
      <c r="G1379" t="s">
        <v>2600</v>
      </c>
      <c r="H1379">
        <v>274</v>
      </c>
      <c r="I1379" t="s">
        <v>2591</v>
      </c>
      <c r="J1379" t="s">
        <v>8668</v>
      </c>
      <c r="L1379">
        <v>0</v>
      </c>
      <c r="R1379" s="16" t="s">
        <v>8064</v>
      </c>
      <c r="S1379" s="16" t="s">
        <v>8064</v>
      </c>
      <c r="T1379" t="s">
        <v>7721</v>
      </c>
      <c r="U1379">
        <v>0</v>
      </c>
    </row>
    <row r="1380" spans="1:21">
      <c r="A1380">
        <v>1364</v>
      </c>
      <c r="B1380" t="s">
        <v>7722</v>
      </c>
      <c r="C1380" s="4">
        <v>1296</v>
      </c>
      <c r="D1380" s="4">
        <v>1296</v>
      </c>
      <c r="E1380" s="4">
        <v>13</v>
      </c>
      <c r="F1380" t="s">
        <v>1444</v>
      </c>
      <c r="G1380" t="s">
        <v>2601</v>
      </c>
      <c r="H1380">
        <v>278</v>
      </c>
      <c r="I1380" t="s">
        <v>2593</v>
      </c>
      <c r="J1380" t="s">
        <v>8668</v>
      </c>
      <c r="L1380">
        <v>0</v>
      </c>
      <c r="R1380" s="16" t="s">
        <v>8064</v>
      </c>
      <c r="S1380" s="16" t="s">
        <v>8064</v>
      </c>
      <c r="T1380" t="s">
        <v>7722</v>
      </c>
      <c r="U1380">
        <v>0</v>
      </c>
    </row>
    <row r="1381" spans="1:21">
      <c r="A1381">
        <v>1365</v>
      </c>
      <c r="B1381" t="s">
        <v>7723</v>
      </c>
      <c r="C1381" s="4">
        <v>1250</v>
      </c>
      <c r="D1381" s="4">
        <v>1250</v>
      </c>
      <c r="E1381" s="4">
        <v>13</v>
      </c>
      <c r="F1381" t="s">
        <v>6174</v>
      </c>
      <c r="G1381" t="s">
        <v>2602</v>
      </c>
      <c r="H1381">
        <v>297</v>
      </c>
      <c r="I1381" t="s">
        <v>2591</v>
      </c>
      <c r="J1381" t="s">
        <v>8668</v>
      </c>
      <c r="L1381">
        <v>1</v>
      </c>
      <c r="M1381" t="s">
        <v>6174</v>
      </c>
      <c r="N1381" t="s">
        <v>6295</v>
      </c>
      <c r="O1381" t="s">
        <v>11</v>
      </c>
      <c r="P1381">
        <v>121077</v>
      </c>
      <c r="Q1381">
        <v>424200</v>
      </c>
      <c r="R1381" s="16" t="s">
        <v>8379</v>
      </c>
      <c r="S1381" s="16" t="s">
        <v>8083</v>
      </c>
      <c r="T1381" t="s">
        <v>7738</v>
      </c>
      <c r="U1381">
        <v>0</v>
      </c>
    </row>
    <row r="1382" spans="1:21">
      <c r="A1382">
        <v>1367</v>
      </c>
      <c r="B1382" t="s">
        <v>7725</v>
      </c>
      <c r="C1382" s="4">
        <v>1290</v>
      </c>
      <c r="D1382" s="4">
        <v>1290</v>
      </c>
      <c r="E1382" s="4">
        <v>13</v>
      </c>
      <c r="F1382" t="s">
        <v>1444</v>
      </c>
      <c r="G1382" t="s">
        <v>2605</v>
      </c>
      <c r="H1382">
        <v>304</v>
      </c>
      <c r="I1382" t="s">
        <v>2590</v>
      </c>
      <c r="J1382" t="s">
        <v>8668</v>
      </c>
      <c r="L1382">
        <v>0</v>
      </c>
      <c r="R1382" s="16" t="s">
        <v>8064</v>
      </c>
      <c r="S1382" s="16" t="s">
        <v>8064</v>
      </c>
      <c r="T1382" t="s">
        <v>7725</v>
      </c>
      <c r="U1382">
        <v>0</v>
      </c>
    </row>
    <row r="1383" spans="1:21">
      <c r="A1383">
        <v>1368</v>
      </c>
      <c r="B1383" t="s">
        <v>7726</v>
      </c>
      <c r="C1383" s="4">
        <v>1300</v>
      </c>
      <c r="D1383" s="4">
        <v>1300</v>
      </c>
      <c r="E1383" s="4">
        <v>13</v>
      </c>
      <c r="F1383" t="s">
        <v>1444</v>
      </c>
      <c r="G1383" t="s">
        <v>2606</v>
      </c>
      <c r="H1383">
        <v>360</v>
      </c>
      <c r="I1383" t="s">
        <v>2593</v>
      </c>
      <c r="J1383" t="s">
        <v>8668</v>
      </c>
      <c r="L1383">
        <v>0</v>
      </c>
      <c r="R1383" s="16" t="s">
        <v>8064</v>
      </c>
      <c r="S1383" s="16" t="s">
        <v>8064</v>
      </c>
      <c r="T1383" t="s">
        <v>7739</v>
      </c>
      <c r="U1383">
        <v>0</v>
      </c>
    </row>
    <row r="1384" spans="1:21">
      <c r="A1384">
        <v>1369</v>
      </c>
      <c r="B1384" t="s">
        <v>7727</v>
      </c>
      <c r="C1384" s="4">
        <v>1269</v>
      </c>
      <c r="D1384" s="4">
        <v>1269</v>
      </c>
      <c r="E1384" s="4">
        <v>13</v>
      </c>
      <c r="F1384" t="s">
        <v>1444</v>
      </c>
      <c r="G1384" t="s">
        <v>2607</v>
      </c>
      <c r="H1384">
        <v>398</v>
      </c>
      <c r="I1384" t="s">
        <v>2591</v>
      </c>
      <c r="J1384" t="s">
        <v>8668</v>
      </c>
      <c r="L1384">
        <v>0</v>
      </c>
      <c r="R1384" s="16" t="s">
        <v>8064</v>
      </c>
      <c r="S1384" s="16" t="s">
        <v>8064</v>
      </c>
      <c r="T1384" t="s">
        <v>7740</v>
      </c>
      <c r="U1384">
        <v>0</v>
      </c>
    </row>
    <row r="1385" spans="1:21">
      <c r="A1385">
        <v>1370</v>
      </c>
      <c r="B1385" t="s">
        <v>7728</v>
      </c>
      <c r="C1385" s="4">
        <v>1285</v>
      </c>
      <c r="D1385" s="4">
        <v>1285</v>
      </c>
      <c r="E1385" s="4">
        <v>13</v>
      </c>
      <c r="F1385" t="s">
        <v>1444</v>
      </c>
      <c r="G1385" t="s">
        <v>2608</v>
      </c>
      <c r="H1385">
        <v>423</v>
      </c>
      <c r="I1385" t="s">
        <v>2590</v>
      </c>
      <c r="J1385" t="s">
        <v>8668</v>
      </c>
      <c r="L1385">
        <v>0</v>
      </c>
      <c r="R1385" s="16" t="s">
        <v>8064</v>
      </c>
      <c r="S1385" s="16" t="s">
        <v>8064</v>
      </c>
      <c r="T1385" t="s">
        <v>7728</v>
      </c>
      <c r="U1385">
        <v>0</v>
      </c>
    </row>
    <row r="1386" spans="1:21">
      <c r="A1386">
        <v>1371</v>
      </c>
      <c r="B1386" t="s">
        <v>7128</v>
      </c>
      <c r="C1386" t="s">
        <v>9384</v>
      </c>
      <c r="D1386">
        <v>1215</v>
      </c>
      <c r="E1386" s="4">
        <v>13</v>
      </c>
      <c r="F1386" t="s">
        <v>4077</v>
      </c>
      <c r="G1386" t="s">
        <v>677</v>
      </c>
      <c r="I1386" t="s">
        <v>678</v>
      </c>
      <c r="J1386" s="5" t="s">
        <v>8721</v>
      </c>
      <c r="L1386">
        <f t="shared" ref="L1386:L1387" si="0">IF(M1386&lt;&gt;"",1,0)</f>
        <v>1</v>
      </c>
      <c r="M1386" t="s">
        <v>6497</v>
      </c>
      <c r="N1386" t="s">
        <v>6385</v>
      </c>
      <c r="O1386" t="s">
        <v>12</v>
      </c>
      <c r="P1386">
        <v>-22210</v>
      </c>
      <c r="Q1386">
        <v>521920</v>
      </c>
      <c r="R1386" s="16" t="s">
        <v>8358</v>
      </c>
      <c r="S1386" s="16" t="s">
        <v>8061</v>
      </c>
      <c r="T1386" t="s">
        <v>7784</v>
      </c>
    </row>
    <row r="1387" spans="1:21">
      <c r="A1387">
        <v>1372</v>
      </c>
      <c r="B1387" t="s">
        <v>7652</v>
      </c>
      <c r="C1387" t="s">
        <v>3</v>
      </c>
      <c r="D1387">
        <v>1194</v>
      </c>
      <c r="E1387">
        <v>12</v>
      </c>
      <c r="F1387" t="s">
        <v>121</v>
      </c>
      <c r="G1387" t="s">
        <v>1159</v>
      </c>
      <c r="I1387" t="s">
        <v>1160</v>
      </c>
      <c r="J1387" t="s">
        <v>8727</v>
      </c>
      <c r="L1387">
        <f t="shared" si="0"/>
        <v>1</v>
      </c>
      <c r="M1387" t="s">
        <v>1</v>
      </c>
      <c r="N1387" t="s">
        <v>6445</v>
      </c>
      <c r="O1387" t="s">
        <v>12</v>
      </c>
      <c r="P1387" t="s">
        <v>6446</v>
      </c>
      <c r="Q1387">
        <v>515074</v>
      </c>
      <c r="R1387" s="16" t="s">
        <v>6446</v>
      </c>
      <c r="S1387" s="16" t="s">
        <v>8068</v>
      </c>
      <c r="T1387" t="s">
        <v>7652</v>
      </c>
    </row>
  </sheetData>
  <hyperlinks>
    <hyperlink ref="K1167" r:id="rId1" xr:uid="{DD242A22-1C24-DF40-8EE4-C1D2F347B25B}"/>
    <hyperlink ref="K1165" r:id="rId2" xr:uid="{B4DA7FF6-6FA2-6A45-A36E-354422F24FFA}"/>
    <hyperlink ref="K1164" r:id="rId3" xr:uid="{83C4CBD0-49B9-DF4C-BBBA-1F2FFF9E3645}"/>
    <hyperlink ref="K1169" r:id="rId4" xr:uid="{9B68DDB9-7612-0D47-BDB4-E3D285E9D8B1}"/>
    <hyperlink ref="K1168" r:id="rId5" xr:uid="{FECCBDD4-6479-2645-B053-3EBCD6595580}"/>
    <hyperlink ref="K1166" r:id="rId6" xr:uid="{D6A30F1C-5340-954D-9761-5089D7E60587}"/>
    <hyperlink ref="K1158" r:id="rId7" xr:uid="{27BED969-ED11-694C-8378-8D8264973FAA}"/>
    <hyperlink ref="K1170" r:id="rId8" xr:uid="{F13BCA3A-C0FD-6541-B3D8-DE3C13648321}"/>
    <hyperlink ref="K1161" r:id="rId9" xr:uid="{AC918690-3165-8040-BF97-C83EC981515C}"/>
    <hyperlink ref="K1157" r:id="rId10" xr:uid="{2025F520-CAC7-904A-910D-9F3C9C9E3789}"/>
    <hyperlink ref="K1160" r:id="rId11" xr:uid="{53F7BFE1-4887-654E-A39C-E4EA7EDF5AE8}"/>
    <hyperlink ref="K1159" r:id="rId12" xr:uid="{646A6992-9ED4-C342-A760-58AC0F6B850D}"/>
    <hyperlink ref="J1164" r:id="rId13" xr:uid="{C0A05E83-FC6A-334A-8E60-6C2E5286A122}"/>
    <hyperlink ref="J1169" r:id="rId14" xr:uid="{A0939E59-726B-D44E-8304-7C3B7B395804}"/>
    <hyperlink ref="J1163" r:id="rId15" xr:uid="{2E44572D-E41E-7E48-8EB4-89112E16A1DB}"/>
    <hyperlink ref="J1168" r:id="rId16" xr:uid="{F78AE79F-A3EE-4940-89F2-E64C853759BF}"/>
    <hyperlink ref="J1166" r:id="rId17" xr:uid="{8E56B467-A7FB-AC4B-8989-B3F04F0789BE}"/>
    <hyperlink ref="J1158" r:id="rId18" xr:uid="{9CE858B8-33CB-9440-A04C-3367081692D5}"/>
    <hyperlink ref="J1170" r:id="rId19" xr:uid="{A84CA324-2AA7-4F4E-B8DF-47645706E4AA}"/>
    <hyperlink ref="J1161" r:id="rId20" xr:uid="{23A64EFC-C8A5-7649-84BD-B3B76BD9952F}"/>
    <hyperlink ref="J1157" r:id="rId21" xr:uid="{89CC5F90-3084-1741-B46D-887ED236F19C}"/>
    <hyperlink ref="J1162" r:id="rId22" xr:uid="{337329AA-767B-6140-9A41-0A4EC7374DDE}"/>
    <hyperlink ref="J1160" r:id="rId23" xr:uid="{3D99659C-578F-A448-8F18-B82C2702A128}"/>
    <hyperlink ref="J1159" r:id="rId24" xr:uid="{A8183A10-764E-1A47-8551-84DCC2171673}"/>
    <hyperlink ref="J90" r:id="rId25" xr:uid="{45998F33-4F32-9D4A-9A61-E3C1E66BA1F1}"/>
    <hyperlink ref="J57" r:id="rId26" xr:uid="{9B74CCEC-6902-2D48-930A-18D231CE20D5}"/>
    <hyperlink ref="J2" r:id="rId27" xr:uid="{F251F731-A9F1-2947-89C9-80DD22F1A8F2}"/>
    <hyperlink ref="K4" r:id="rId28" xr:uid="{ABCDBC85-A47D-FF4B-8B47-C17AF61E287C}"/>
    <hyperlink ref="J5" r:id="rId29" xr:uid="{57AC2124-0424-824F-822E-FAB3732B02A8}"/>
    <hyperlink ref="J9" r:id="rId30" xr:uid="{B8B130A9-9DC9-B540-80F4-B0223FF56300}"/>
    <hyperlink ref="J1351" r:id="rId31" xr:uid="{8E07AD9C-AC9D-4D4E-A618-BA78C1803F34}"/>
    <hyperlink ref="K1351" r:id="rId32" xr:uid="{5C91277F-5938-1441-8FD6-476195AF48A2}"/>
    <hyperlink ref="T50" r:id="rId33" display="https://manuscripta.at/?ID=26856" xr:uid="{AAE38DF2-2B19-E24D-A909-81E8C7B2061D}"/>
    <hyperlink ref="T49" r:id="rId34" display="https://manuscripta.at/?ID=26896" xr:uid="{90786952-715C-9740-A8D1-A10C275C814B}"/>
    <hyperlink ref="T54" r:id="rId35" display="https://manuscripta.at/?ID=26937" xr:uid="{A25576A6-13C6-0541-8439-C3E56FA0E773}"/>
    <hyperlink ref="T56" r:id="rId36" display="https://manuscripta.at/?ID=26968" xr:uid="{FCFF7776-B601-7F40-B768-F5D17A9D8F12}"/>
    <hyperlink ref="T42" r:id="rId37" display="https://manuscripta.at/?ID=5978" xr:uid="{254E487C-FC0E-E442-9ECE-855A857774DF}"/>
    <hyperlink ref="T43" r:id="rId38" display="https://manuscripta.at/?ID=6039" xr:uid="{4EBB7333-3C6C-764F-B482-956FD582D60A}"/>
    <hyperlink ref="T58" r:id="rId39" display="https://manuscripta.at/?ID=6165" xr:uid="{525BA981-8366-5643-88B9-F9FEB6517345}"/>
    <hyperlink ref="T41" r:id="rId40" display="https://manuscripta.at/?ID=5978" xr:uid="{996218A9-832E-3749-B691-570F60D2450C}"/>
    <hyperlink ref="B41" r:id="rId41" display="https://manuscripta.at/?ID=5978" xr:uid="{6600BE36-3B99-D44D-9F33-877FED337A74}"/>
    <hyperlink ref="B58" r:id="rId42" display="https://manuscripta.at/?ID=6165" xr:uid="{EF2642F1-70DF-4041-8BEC-CCE13BCD7AED}"/>
    <hyperlink ref="B43" r:id="rId43" display="https://manuscripta.at/?ID=6039" xr:uid="{2D82E5BE-3A2E-8A45-A0BC-B6F9B7FEB58F}"/>
    <hyperlink ref="B42" r:id="rId44" display="https://manuscripta.at/?ID=5978" xr:uid="{E8BF5FB7-B339-2B46-A88A-533551388C11}"/>
    <hyperlink ref="B56" r:id="rId45" display="https://manuscripta.at/?ID=26968" xr:uid="{E38EB4F6-CACD-B440-BF83-715D5EED79FC}"/>
    <hyperlink ref="B54" r:id="rId46" display="https://manuscripta.at/?ID=26937" xr:uid="{9E21F680-25F0-D343-8FC0-922E78F8C974}"/>
    <hyperlink ref="B49" r:id="rId47" display="https://manuscripta.at/?ID=26896" xr:uid="{5250FA4E-8C58-594F-B341-6ECD2A9081FE}"/>
    <hyperlink ref="B50" r:id="rId48" display="https://manuscripta.at/?ID=26856" xr:uid="{69F7FBED-4F06-C940-BAD5-E3D8B75D9DAE}"/>
    <hyperlink ref="J264" r:id="rId49" xr:uid="{84385043-6402-B043-8D67-5C29852A924B}"/>
    <hyperlink ref="J293" r:id="rId50" xr:uid="{C54641B5-58DB-D24D-8198-EC7CF7D9965C}"/>
    <hyperlink ref="J294" r:id="rId51" xr:uid="{AD359E80-8637-5949-B1A9-F9FA73C8A431}"/>
    <hyperlink ref="J295" r:id="rId52" xr:uid="{B0898096-1026-D646-89E9-5CBEFEB02911}"/>
    <hyperlink ref="J300" r:id="rId53" xr:uid="{9BBFC7D5-07DA-694A-B2E1-6C70E6494EA1}"/>
    <hyperlink ref="J296" r:id="rId54" xr:uid="{CC88F126-C4B3-2A4F-AD68-526E880AB5B0}"/>
    <hyperlink ref="J297" r:id="rId55" xr:uid="{CC1EEDFA-543B-D24F-85C1-03D122FFAF13}"/>
    <hyperlink ref="J158:J159" r:id="rId56" display="https://mss-cat.trin.cam.ac.uk/Manuscript/B.5.5/manifest.json" xr:uid="{76F4310F-5B14-BD4F-A420-CFE1D8B3F149}"/>
    <hyperlink ref="J298" r:id="rId57" xr:uid="{CE7D3FFE-74D0-B641-AC8B-38C900D71CD4}"/>
    <hyperlink ref="J299" r:id="rId58" xr:uid="{B371C2CD-5608-9C47-BDD6-54D7B979F296}"/>
    <hyperlink ref="J306" r:id="rId59" xr:uid="{A6607623-839A-9443-A87A-AAB914C56702}"/>
    <hyperlink ref="J307" r:id="rId60" xr:uid="{3FA5CCEC-83D7-5A43-8228-2E64CE8244F5}"/>
    <hyperlink ref="J304" r:id="rId61" xr:uid="{71AB52A9-5FEE-654D-9730-1C6B8E9F63E5}"/>
    <hyperlink ref="J305" r:id="rId62" xr:uid="{CAEC0797-453F-F745-8608-33D7F4AC3A1C}"/>
    <hyperlink ref="J848" r:id="rId63" xr:uid="{B61586D7-AE06-7C40-900F-1F5244D05D4E}"/>
    <hyperlink ref="J849" r:id="rId64" xr:uid="{0EF62561-6D98-3448-91F7-DB5A0387ECD1}"/>
    <hyperlink ref="J112" r:id="rId65" xr:uid="{5EEF8A25-E940-4C40-8B55-8D7E9BDAD725}"/>
    <hyperlink ref="J93" r:id="rId66" xr:uid="{55BBBEE8-DD10-1D46-9B3E-8FD9D560CDB2}"/>
    <hyperlink ref="J96" r:id="rId67" xr:uid="{D3081ED0-66DB-1241-A7CA-AA940B59FE11}"/>
    <hyperlink ref="J99" r:id="rId68" xr:uid="{E749B9F3-4D5E-1645-9F9D-6175A049CE49}"/>
    <hyperlink ref="J101" r:id="rId69" xr:uid="{11497BF5-54A2-BD44-92AB-D8FC06D472FC}"/>
    <hyperlink ref="K1088" r:id="rId70" xr:uid="{AAAA946B-D32D-D847-A009-82AE29E4487C}"/>
    <hyperlink ref="J832" r:id="rId71" xr:uid="{9293FEDF-DC4B-5040-AFE4-D0470039421B}"/>
    <hyperlink ref="K1295" r:id="rId72" location="alvin-record%3A473725" display="https://www.alvin-portal.org/alvin/view.jsf?aq=%5B%5B%7B%22A_FQ%22%3A%22Katalog+der+datierten+Handschriften%22%7D%5D%5D&amp;c=46&amp;aqe=%5B%5D&amp;af=%5B%5D&amp;searchType=TEXT&amp;query=Katalog+der+datierten+Handschriften&amp;pid=alvin-record%3A473725&amp;dswid=-4160#alvin-record%3A473725" xr:uid="{577192A9-982A-5941-A896-68F18902B5CE}"/>
    <hyperlink ref="K87" r:id="rId73" xr:uid="{B37196A4-2FEB-C246-9A27-C21B40F4B330}"/>
    <hyperlink ref="J87" r:id="rId74" xr:uid="{C0783254-02A8-D744-BF42-1715EB5DE215}"/>
    <hyperlink ref="J18" r:id="rId75" xr:uid="{526C7C85-313E-EC4A-87B4-715C45E462C0}"/>
    <hyperlink ref="J16" r:id="rId76" xr:uid="{C9A5F30A-7BCB-D740-9028-EB8BAAAB91FF}"/>
    <hyperlink ref="J10" r:id="rId77" xr:uid="{9EC55EAD-2AF6-F94D-88A6-6BD0AB1FE200}"/>
    <hyperlink ref="J11" r:id="rId78" xr:uid="{520A0E03-8744-7347-96CB-3E9A41CB2F5A}"/>
    <hyperlink ref="J17" r:id="rId79" xr:uid="{A3DB56FE-6956-C64B-9653-8599A431A938}"/>
    <hyperlink ref="J8" r:id="rId80" xr:uid="{7FD7CEE3-15BA-F84D-952B-8C241190DA84}"/>
    <hyperlink ref="J42" r:id="rId81" xr:uid="{09E0E27E-D1C7-D24B-A8A1-570B91493E0A}"/>
    <hyperlink ref="J56" r:id="rId82" xr:uid="{A0D2D75D-4589-3B49-A47B-3DB6FC5D19F5}"/>
    <hyperlink ref="J49" r:id="rId83" xr:uid="{C97B1871-139D-E44A-AB13-D93633934444}"/>
    <hyperlink ref="J545" r:id="rId84" xr:uid="{682D318E-F420-2C4C-8411-2AFB3D4C5084}"/>
    <hyperlink ref="J1313" r:id="rId85" xr:uid="{77FABAFE-DBEF-9542-A665-F2DA927101D3}"/>
    <hyperlink ref="K1314" r:id="rId86" xr:uid="{479FDDA7-7F9F-4E4C-BB84-25538E6064D6}"/>
    <hyperlink ref="J1314" r:id="rId87" xr:uid="{816AC7A3-F22E-9545-ACAE-6F22E8DE3642}"/>
    <hyperlink ref="J1315" r:id="rId88" xr:uid="{53285A57-1250-E643-B53B-F148C6FFEB01}"/>
    <hyperlink ref="J1316" r:id="rId89" xr:uid="{8CEBA50B-DDF9-0045-949A-79BDFFE5AFF1}"/>
    <hyperlink ref="J1317" r:id="rId90" xr:uid="{518433D1-DF34-2341-B1CA-1459673A46CA}"/>
    <hyperlink ref="J1318" r:id="rId91" xr:uid="{62CD7310-CAE1-BD48-810C-DF62F0095F73}"/>
    <hyperlink ref="J1319" r:id="rId92" xr:uid="{1AD07CFD-3117-B244-8288-05FA7272D0BA}"/>
    <hyperlink ref="J1320" r:id="rId93" xr:uid="{101CAFF9-8891-EB43-AF60-D336ECDCA2B2}"/>
    <hyperlink ref="J1321" r:id="rId94" xr:uid="{F57EE350-2BBC-9943-924F-E5D121C4BEE8}"/>
    <hyperlink ref="J1323" r:id="rId95" xr:uid="{DDBC9428-AF8B-7A4F-ADE0-5065AD7A4496}"/>
    <hyperlink ref="J1324" r:id="rId96" xr:uid="{38BB538B-4787-4641-8D33-147FBAE7D36A}"/>
    <hyperlink ref="J1325" r:id="rId97" xr:uid="{8C710E3B-9B87-DC4E-B521-BC2811AC96F5}"/>
    <hyperlink ref="J1326" r:id="rId98" xr:uid="{4BE19EC4-FC49-424C-8DE0-8369F7A1F9F5}"/>
    <hyperlink ref="J1327" r:id="rId99" xr:uid="{BFBE6010-0EC8-5B4E-A146-23E5EFBF7C85}"/>
    <hyperlink ref="J1328" r:id="rId100" xr:uid="{98AF3C63-0BC1-8748-94AD-5EB933F314DD}"/>
    <hyperlink ref="J1329" r:id="rId101" xr:uid="{8CAF8138-CFB3-854F-A7EC-CEC6CA61602E}"/>
    <hyperlink ref="J1330" r:id="rId102" xr:uid="{10DF9B24-FAE3-894A-A38D-DDD7FE018041}"/>
    <hyperlink ref="J1331" r:id="rId103" xr:uid="{F8FA539E-F534-FD45-975F-66618E021AAF}"/>
    <hyperlink ref="J1332" r:id="rId104" xr:uid="{81F2F88E-053C-1D46-91A0-5DCDD3A26C63}"/>
    <hyperlink ref="J1333" r:id="rId105" xr:uid="{8382A097-4641-BB45-9963-252CC78BF416}"/>
    <hyperlink ref="J1334" r:id="rId106" xr:uid="{94682323-069A-A046-9DA3-BBB10A9552B5}"/>
    <hyperlink ref="J1335" r:id="rId107" xr:uid="{19E4B48C-DDB7-CA4F-AB2B-7445F1C6AC19}"/>
    <hyperlink ref="J1336" r:id="rId108" xr:uid="{7CE7ACE4-88D2-164D-B8E8-B9489FC1B6AD}"/>
    <hyperlink ref="J1337" r:id="rId109" xr:uid="{285FFB7A-577F-1D42-B026-1CF39CEE54DC}"/>
    <hyperlink ref="J1338" r:id="rId110" xr:uid="{6D105388-CFBC-A247-AD3A-E5D40242D420}"/>
    <hyperlink ref="J1339" r:id="rId111" xr:uid="{03FD7314-8B00-8B48-A5D7-4C9AFAAE62EC}"/>
    <hyperlink ref="J1340" r:id="rId112" xr:uid="{ADEE1B12-DB6B-F047-8BA1-6C0E3540ABB6}"/>
    <hyperlink ref="J1341" r:id="rId113" xr:uid="{42E8C40F-B279-5240-B328-C4A326BFBD4A}"/>
    <hyperlink ref="J1342" r:id="rId114" xr:uid="{1F06292A-1A2D-F248-90E9-AF12C0847F1C}"/>
    <hyperlink ref="J1343" r:id="rId115" xr:uid="{A9B99921-18E7-F448-9180-890050C85EE6}"/>
    <hyperlink ref="J1344" r:id="rId116" xr:uid="{FE2817DE-6DC3-8643-A9C5-3A67E40CAE57}"/>
    <hyperlink ref="J1345" r:id="rId117" xr:uid="{9E9D3ED2-B85E-4A47-AA1E-5AB0A2BA8C09}"/>
    <hyperlink ref="J1346" r:id="rId118" xr:uid="{5B463DB8-C5EC-8A48-82FF-8046335D80D9}"/>
    <hyperlink ref="J1347" r:id="rId119" xr:uid="{033226A5-B1A1-0A48-9C85-D6F6DDE31AB5}"/>
    <hyperlink ref="J1348" r:id="rId120" xr:uid="{4DBA10B6-7E41-C045-8603-DAA1E74B01B5}"/>
    <hyperlink ref="J1349" r:id="rId121" xr:uid="{F13DF26B-F798-374D-9CA6-995EE9A19139}"/>
    <hyperlink ref="J1350" r:id="rId122" xr:uid="{68A76FC4-7C66-D744-A0D9-ACE6E04A80AA}"/>
    <hyperlink ref="J1352" r:id="rId123" xr:uid="{7801A97A-4FB9-E64E-BA77-429A7E6201FF}"/>
    <hyperlink ref="J1353" r:id="rId124" xr:uid="{C52C2817-3236-2445-B1B2-F78983752938}"/>
    <hyperlink ref="J1354" r:id="rId125" xr:uid="{5B072A14-3650-FE48-B4DB-B00B1FCE840E}"/>
    <hyperlink ref="J1355" r:id="rId126" xr:uid="{E114489F-08F8-3941-926D-83574F3741D7}"/>
    <hyperlink ref="J1356" r:id="rId127" xr:uid="{CA7AD57C-53CB-BE47-A274-BD11B32317DB}"/>
    <hyperlink ref="K50" r:id="rId128" xr:uid="{D0DD2FC0-7F47-2044-9832-5F346FDAF4F6}"/>
    <hyperlink ref="J3" r:id="rId129" xr:uid="{CC2B33BD-4260-7048-B573-F0081DF758C3}"/>
    <hyperlink ref="J14" r:id="rId130" xr:uid="{6218EAF6-A674-844B-9EA0-DF981588ED69}"/>
    <hyperlink ref="J15" r:id="rId131" xr:uid="{6B7D4E7D-5346-5441-90D0-56CB26CE0811}"/>
    <hyperlink ref="J12" r:id="rId132" xr:uid="{2D1685DD-2147-1E4C-AA74-C70EFDC2FBC2}"/>
    <hyperlink ref="J13" r:id="rId133" xr:uid="{140FF37B-2695-454C-A8EF-CCED8F053898}"/>
    <hyperlink ref="J19" r:id="rId134" xr:uid="{93607B3E-BDC5-5B46-B1C7-611393CA7189}"/>
    <hyperlink ref="J6" r:id="rId135" xr:uid="{21AA8002-5D54-C045-B84F-B3BC7B75EC35}"/>
    <hyperlink ref="J7" r:id="rId136" xr:uid="{C12D7288-CCB9-1D4E-A609-4F562322E286}"/>
    <hyperlink ref="J45" r:id="rId137" xr:uid="{53C5A8A8-E90D-3346-88A2-5F8C93F20806}"/>
    <hyperlink ref="J46" r:id="rId138" xr:uid="{25CCD52C-FF21-D74F-899A-D1B17C42A07C}"/>
    <hyperlink ref="J48" r:id="rId139" xr:uid="{BE6114A1-11F6-8643-B580-4E3CC87190E4}"/>
    <hyperlink ref="J50" r:id="rId140" xr:uid="{E5F64436-7C4A-A743-B9B5-F2851DFC06D1}"/>
    <hyperlink ref="J51" r:id="rId141" xr:uid="{7CB62DC7-5140-6249-B7B3-25336624222E}"/>
    <hyperlink ref="J52" r:id="rId142" xr:uid="{BC945330-C53E-8C41-B0BE-2E54030A9929}"/>
    <hyperlink ref="J53" r:id="rId143" xr:uid="{51E81E70-C1B3-7E42-BF8E-5962719156F3}"/>
    <hyperlink ref="J54" r:id="rId144" xr:uid="{39C7CB60-05AE-E845-AC66-80C35274F0A7}"/>
    <hyperlink ref="J55" r:id="rId145" xr:uid="{B926868C-77D3-954F-9279-7BAFF0D6A2E3}"/>
    <hyperlink ref="J400" r:id="rId146" xr:uid="{5CA77037-C16B-6243-85D6-5F841386F95D}"/>
    <hyperlink ref="J394" r:id="rId147" xr:uid="{AA1F05F7-0550-BD49-8A05-145011DF8BFB}"/>
    <hyperlink ref="J396" r:id="rId148" xr:uid="{DA38D431-8A4B-6D40-986F-146E800ABC3A}"/>
    <hyperlink ref="J1031" r:id="rId149" tooltip="View IIIF Manifest" xr:uid="{B1BF7716-74C4-6340-9A91-0C61248872D6}"/>
    <hyperlink ref="J1156" r:id="rId150" xr:uid="{C6727AC0-7AE8-3E4F-8201-EDAFA2DD4FFE}"/>
    <hyperlink ref="J1361" r:id="rId151" xr:uid="{BC9859F6-A9D5-B940-A426-D44274196033}"/>
    <hyperlink ref="J1386" r:id="rId152" xr:uid="{4F876C08-B71A-B34E-A800-4E6EF23F538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ED291-032B-1C43-A5D2-72963E1950EC}">
  <dimension ref="A1:H446"/>
  <sheetViews>
    <sheetView workbookViewId="0">
      <selection activeCell="D22" sqref="D22"/>
    </sheetView>
  </sheetViews>
  <sheetFormatPr baseColWidth="10" defaultRowHeight="16"/>
  <cols>
    <col min="2" max="2" width="38.33203125" bestFit="1" customWidth="1"/>
    <col min="3" max="3" width="37.5" bestFit="1" customWidth="1"/>
    <col min="4" max="4" width="49.83203125" bestFit="1" customWidth="1"/>
    <col min="8" max="8" width="38.33203125" bestFit="1" customWidth="1"/>
  </cols>
  <sheetData>
    <row r="1" spans="1:8">
      <c r="A1" s="2" t="s">
        <v>6175</v>
      </c>
      <c r="B1" s="2" t="s">
        <v>6176</v>
      </c>
      <c r="C1" s="2" t="s">
        <v>5579</v>
      </c>
      <c r="D1" s="2" t="s">
        <v>6281</v>
      </c>
      <c r="E1" s="2" t="s">
        <v>6282</v>
      </c>
      <c r="F1" s="2" t="s">
        <v>6283</v>
      </c>
      <c r="G1" s="2" t="s">
        <v>6284</v>
      </c>
      <c r="H1" s="2" t="s">
        <v>6176</v>
      </c>
    </row>
    <row r="2" spans="1:8">
      <c r="A2" s="1" t="s">
        <v>4178</v>
      </c>
      <c r="B2" s="1" t="s">
        <v>4178</v>
      </c>
      <c r="C2" t="s">
        <v>6302</v>
      </c>
      <c r="D2" t="s">
        <v>6302</v>
      </c>
      <c r="E2" t="s">
        <v>6303</v>
      </c>
      <c r="F2" s="14">
        <v>-66528</v>
      </c>
      <c r="G2" s="14">
        <v>543503</v>
      </c>
      <c r="H2" s="1" t="s">
        <v>4178</v>
      </c>
    </row>
    <row r="3" spans="1:8">
      <c r="A3" s="1" t="s">
        <v>4264</v>
      </c>
      <c r="B3" s="1" t="s">
        <v>4264</v>
      </c>
      <c r="C3" t="s">
        <v>6441</v>
      </c>
      <c r="D3" t="s">
        <v>6442</v>
      </c>
      <c r="E3" t="s">
        <v>6443</v>
      </c>
      <c r="F3" s="14">
        <v>-40640</v>
      </c>
      <c r="G3" s="14">
        <v>524150</v>
      </c>
      <c r="H3" s="1" t="s">
        <v>4264</v>
      </c>
    </row>
    <row r="4" spans="1:8">
      <c r="A4" s="1" t="s">
        <v>4423</v>
      </c>
      <c r="B4" s="1" t="s">
        <v>4423</v>
      </c>
      <c r="C4" t="s">
        <v>6483</v>
      </c>
      <c r="D4" t="s">
        <v>6484</v>
      </c>
      <c r="E4" t="s">
        <v>6290</v>
      </c>
      <c r="F4" s="14">
        <v>-38090</v>
      </c>
      <c r="G4" s="14">
        <v>423540</v>
      </c>
      <c r="H4" s="1" t="s">
        <v>4423</v>
      </c>
    </row>
    <row r="5" spans="1:8">
      <c r="A5" s="1" t="s">
        <v>4147</v>
      </c>
      <c r="B5" s="1" t="s">
        <v>4147</v>
      </c>
      <c r="C5" t="s">
        <v>6483</v>
      </c>
      <c r="D5" t="s">
        <v>6484</v>
      </c>
      <c r="E5" t="s">
        <v>6290</v>
      </c>
      <c r="F5" s="14">
        <v>-38090</v>
      </c>
      <c r="G5" s="14">
        <v>423540</v>
      </c>
      <c r="H5" s="1" t="s">
        <v>4147</v>
      </c>
    </row>
    <row r="6" spans="1:8">
      <c r="A6" s="1" t="s">
        <v>258</v>
      </c>
      <c r="B6" s="1" t="s">
        <v>258</v>
      </c>
      <c r="C6" t="s">
        <v>6396</v>
      </c>
      <c r="D6" t="s">
        <v>6397</v>
      </c>
      <c r="E6" t="s">
        <v>12</v>
      </c>
      <c r="F6" s="14">
        <v>-35330</v>
      </c>
      <c r="G6" s="14">
        <v>507180</v>
      </c>
      <c r="H6" s="1" t="s">
        <v>258</v>
      </c>
    </row>
    <row r="7" spans="1:8">
      <c r="A7" s="1" t="s">
        <v>54</v>
      </c>
      <c r="B7" s="1" t="s">
        <v>54</v>
      </c>
      <c r="C7" t="s">
        <v>6362</v>
      </c>
      <c r="D7" t="s">
        <v>6363</v>
      </c>
      <c r="E7" t="s">
        <v>12</v>
      </c>
      <c r="F7" s="14">
        <v>-28920</v>
      </c>
      <c r="G7" s="14">
        <v>531910</v>
      </c>
      <c r="H7" s="1" t="s">
        <v>54</v>
      </c>
    </row>
    <row r="8" spans="1:8">
      <c r="A8" s="1" t="s">
        <v>235</v>
      </c>
      <c r="B8" s="1" t="s">
        <v>6210</v>
      </c>
      <c r="C8" t="s">
        <v>6362</v>
      </c>
      <c r="D8" t="s">
        <v>6363</v>
      </c>
      <c r="E8" t="s">
        <v>12</v>
      </c>
      <c r="F8" s="14">
        <v>-28920</v>
      </c>
      <c r="G8" s="14">
        <v>531910</v>
      </c>
      <c r="H8" s="1" t="s">
        <v>6210</v>
      </c>
    </row>
    <row r="9" spans="1:8">
      <c r="A9" s="1" t="s">
        <v>50</v>
      </c>
      <c r="B9" s="1" t="s">
        <v>50</v>
      </c>
      <c r="C9" t="s">
        <v>6412</v>
      </c>
      <c r="D9" t="s">
        <v>6413</v>
      </c>
      <c r="E9" t="s">
        <v>12</v>
      </c>
      <c r="F9" s="14">
        <v>-27380</v>
      </c>
      <c r="G9" s="14">
        <v>511450</v>
      </c>
      <c r="H9" s="1" t="s">
        <v>50</v>
      </c>
    </row>
    <row r="10" spans="1:8">
      <c r="A10" s="1" t="s">
        <v>133</v>
      </c>
      <c r="B10" s="1" t="s">
        <v>133</v>
      </c>
      <c r="C10" t="s">
        <v>6337</v>
      </c>
      <c r="D10" t="s">
        <v>6338</v>
      </c>
      <c r="E10" t="s">
        <v>12</v>
      </c>
      <c r="F10" s="14">
        <v>-27280</v>
      </c>
      <c r="G10" s="14">
        <v>526310</v>
      </c>
      <c r="H10" s="1" t="s">
        <v>133</v>
      </c>
    </row>
    <row r="11" spans="1:8">
      <c r="A11" s="1" t="s">
        <v>4363</v>
      </c>
      <c r="B11" s="1" t="s">
        <v>4363</v>
      </c>
      <c r="C11" t="s">
        <v>4363</v>
      </c>
      <c r="D11" t="s">
        <v>6289</v>
      </c>
      <c r="E11" t="s">
        <v>6290</v>
      </c>
      <c r="F11" s="14">
        <v>-25170</v>
      </c>
      <c r="G11" s="14">
        <v>424580</v>
      </c>
      <c r="H11" s="1" t="s">
        <v>4363</v>
      </c>
    </row>
    <row r="12" spans="1:8">
      <c r="A12" s="1" t="s">
        <v>4221</v>
      </c>
      <c r="B12" s="1" t="s">
        <v>4221</v>
      </c>
      <c r="C12" t="s">
        <v>6354</v>
      </c>
      <c r="D12" t="s">
        <v>6355</v>
      </c>
      <c r="E12" t="s">
        <v>12</v>
      </c>
      <c r="F12" s="14">
        <v>-24700</v>
      </c>
      <c r="G12" s="14">
        <v>507750</v>
      </c>
      <c r="H12" s="1" t="s">
        <v>4221</v>
      </c>
    </row>
    <row r="13" spans="1:8">
      <c r="A13" s="1" t="s">
        <v>85</v>
      </c>
      <c r="B13" s="1" t="s">
        <v>85</v>
      </c>
      <c r="C13" t="s">
        <v>6384</v>
      </c>
      <c r="D13" t="s">
        <v>6385</v>
      </c>
      <c r="E13" t="s">
        <v>12</v>
      </c>
      <c r="F13" s="14">
        <v>-22210</v>
      </c>
      <c r="G13" s="14">
        <v>521920</v>
      </c>
      <c r="H13" s="1" t="s">
        <v>85</v>
      </c>
    </row>
    <row r="14" spans="1:8">
      <c r="A14" s="1" t="s">
        <v>4106</v>
      </c>
      <c r="B14" s="1" t="s">
        <v>6278</v>
      </c>
      <c r="C14" t="s">
        <v>6497</v>
      </c>
      <c r="D14" t="s">
        <v>6385</v>
      </c>
      <c r="E14" t="s">
        <v>12</v>
      </c>
      <c r="F14" s="14">
        <v>-22210</v>
      </c>
      <c r="G14" s="14">
        <v>521920</v>
      </c>
      <c r="H14" s="1" t="s">
        <v>6278</v>
      </c>
    </row>
    <row r="15" spans="1:8">
      <c r="A15" s="1" t="s">
        <v>4075</v>
      </c>
      <c r="B15" s="1" t="s">
        <v>4075</v>
      </c>
      <c r="C15" t="s">
        <v>6497</v>
      </c>
      <c r="D15" t="s">
        <v>6385</v>
      </c>
      <c r="E15" t="s">
        <v>12</v>
      </c>
      <c r="F15" s="14">
        <v>-22210</v>
      </c>
      <c r="G15" s="14">
        <v>521920</v>
      </c>
      <c r="H15" s="1" t="s">
        <v>4075</v>
      </c>
    </row>
    <row r="16" spans="1:8">
      <c r="A16" s="1" t="s">
        <v>4077</v>
      </c>
      <c r="B16" s="1" t="s">
        <v>4077</v>
      </c>
      <c r="C16" t="s">
        <v>6497</v>
      </c>
      <c r="D16" t="s">
        <v>6385</v>
      </c>
      <c r="E16" t="s">
        <v>12</v>
      </c>
      <c r="F16" s="14">
        <v>-22210</v>
      </c>
      <c r="G16" s="14">
        <v>521920</v>
      </c>
      <c r="H16" s="1" t="s">
        <v>4077</v>
      </c>
    </row>
    <row r="17" spans="1:8">
      <c r="A17" s="1" t="s">
        <v>4142</v>
      </c>
      <c r="B17" s="1" t="s">
        <v>4142</v>
      </c>
      <c r="C17" t="s">
        <v>6496</v>
      </c>
      <c r="D17" t="s">
        <v>6413</v>
      </c>
      <c r="E17" t="s">
        <v>12</v>
      </c>
      <c r="F17" s="14">
        <v>-21170</v>
      </c>
      <c r="G17" s="14">
        <v>512090</v>
      </c>
      <c r="H17" s="1" t="s">
        <v>4142</v>
      </c>
    </row>
    <row r="18" spans="1:8">
      <c r="A18" s="1" t="s">
        <v>30</v>
      </c>
      <c r="B18" s="1" t="s">
        <v>30</v>
      </c>
      <c r="C18" t="s">
        <v>6379</v>
      </c>
      <c r="D18" t="s">
        <v>6355</v>
      </c>
      <c r="E18" t="s">
        <v>12</v>
      </c>
      <c r="F18" s="14">
        <v>-20570</v>
      </c>
      <c r="G18" s="14">
        <v>506180</v>
      </c>
      <c r="H18" s="1" t="s">
        <v>30</v>
      </c>
    </row>
    <row r="19" spans="1:8">
      <c r="A19" s="1" t="s">
        <v>35</v>
      </c>
      <c r="B19" s="1" t="s">
        <v>35</v>
      </c>
      <c r="C19" t="s">
        <v>6450</v>
      </c>
      <c r="D19" t="s">
        <v>6451</v>
      </c>
      <c r="E19" t="s">
        <v>12</v>
      </c>
      <c r="F19" s="14">
        <v>-20390</v>
      </c>
      <c r="G19" s="14">
        <v>515870</v>
      </c>
      <c r="H19" s="1" t="s">
        <v>35</v>
      </c>
    </row>
    <row r="20" spans="1:8">
      <c r="A20" s="1" t="s">
        <v>198</v>
      </c>
      <c r="B20" s="1" t="s">
        <v>198</v>
      </c>
      <c r="C20" t="s">
        <v>6366</v>
      </c>
      <c r="D20" t="s">
        <v>6367</v>
      </c>
      <c r="E20" t="s">
        <v>12</v>
      </c>
      <c r="F20" s="14">
        <v>-19680</v>
      </c>
      <c r="G20" s="14">
        <v>517120</v>
      </c>
      <c r="H20" s="1" t="s">
        <v>198</v>
      </c>
    </row>
    <row r="21" spans="1:8">
      <c r="A21" s="1" t="s">
        <v>195</v>
      </c>
      <c r="B21" s="1" t="s">
        <v>6211</v>
      </c>
      <c r="C21" t="s">
        <v>6366</v>
      </c>
      <c r="D21" t="s">
        <v>6367</v>
      </c>
      <c r="E21" t="s">
        <v>12</v>
      </c>
      <c r="F21" s="14">
        <v>-19680</v>
      </c>
      <c r="G21" s="14">
        <v>517120</v>
      </c>
      <c r="H21" s="1" t="s">
        <v>6211</v>
      </c>
    </row>
    <row r="22" spans="1:8">
      <c r="A22" s="1" t="s">
        <v>4088</v>
      </c>
      <c r="B22" s="1" t="s">
        <v>6229</v>
      </c>
      <c r="C22" t="s">
        <v>6433</v>
      </c>
      <c r="D22" t="s">
        <v>6434</v>
      </c>
      <c r="E22" t="s">
        <v>12</v>
      </c>
      <c r="F22" s="14">
        <v>-18260</v>
      </c>
      <c r="G22" s="14">
        <v>526830</v>
      </c>
      <c r="H22" s="1" t="s">
        <v>6229</v>
      </c>
    </row>
    <row r="23" spans="1:8">
      <c r="A23" s="1" t="s">
        <v>2756</v>
      </c>
      <c r="B23" s="1" t="s">
        <v>2756</v>
      </c>
      <c r="C23" t="s">
        <v>6478</v>
      </c>
      <c r="D23" t="s">
        <v>6451</v>
      </c>
      <c r="E23" t="s">
        <v>12</v>
      </c>
      <c r="F23" s="14">
        <v>-17930</v>
      </c>
      <c r="G23" s="14">
        <v>510680</v>
      </c>
      <c r="H23" s="1" t="s">
        <v>2756</v>
      </c>
    </row>
    <row r="24" spans="1:8">
      <c r="A24" s="1" t="s">
        <v>3989</v>
      </c>
      <c r="B24" s="1" t="s">
        <v>3989</v>
      </c>
      <c r="C24" t="s">
        <v>6478</v>
      </c>
      <c r="D24" t="s">
        <v>6451</v>
      </c>
      <c r="E24" t="s">
        <v>12</v>
      </c>
      <c r="F24" s="14">
        <v>-17930</v>
      </c>
      <c r="G24" s="14">
        <v>510680</v>
      </c>
      <c r="H24" s="1" t="s">
        <v>3989</v>
      </c>
    </row>
    <row r="25" spans="1:8">
      <c r="A25" s="1" t="s">
        <v>95</v>
      </c>
      <c r="B25" s="1" t="s">
        <v>95</v>
      </c>
      <c r="C25" t="s">
        <v>6387</v>
      </c>
      <c r="D25" t="s">
        <v>6388</v>
      </c>
      <c r="E25" t="s">
        <v>12</v>
      </c>
      <c r="F25" s="14">
        <v>-15770</v>
      </c>
      <c r="G25" s="14">
        <v>547750</v>
      </c>
      <c r="H25" s="1" t="s">
        <v>95</v>
      </c>
    </row>
    <row r="26" spans="1:8">
      <c r="A26" s="1" t="s">
        <v>4042</v>
      </c>
      <c r="B26" s="1" t="s">
        <v>6219</v>
      </c>
      <c r="C26" t="s">
        <v>6387</v>
      </c>
      <c r="D26" t="s">
        <v>6388</v>
      </c>
      <c r="E26" t="s">
        <v>12</v>
      </c>
      <c r="F26" s="14">
        <v>-15770</v>
      </c>
      <c r="G26" s="14">
        <v>547750</v>
      </c>
      <c r="H26" s="1" t="s">
        <v>6219</v>
      </c>
    </row>
    <row r="27" spans="1:8">
      <c r="A27" s="1" t="s">
        <v>135</v>
      </c>
      <c r="B27" s="1" t="s">
        <v>135</v>
      </c>
      <c r="C27" t="s">
        <v>6398</v>
      </c>
      <c r="D27" t="s">
        <v>6399</v>
      </c>
      <c r="E27" t="s">
        <v>12</v>
      </c>
      <c r="F27" s="14">
        <v>-13640</v>
      </c>
      <c r="G27" s="14">
        <v>517620</v>
      </c>
      <c r="H27" s="1" t="s">
        <v>135</v>
      </c>
    </row>
    <row r="28" spans="1:8">
      <c r="A28" s="1" t="s">
        <v>40</v>
      </c>
      <c r="B28" s="1" t="s">
        <v>40</v>
      </c>
      <c r="C28" t="s">
        <v>6419</v>
      </c>
      <c r="D28" t="s">
        <v>6420</v>
      </c>
      <c r="E28" t="s">
        <v>12</v>
      </c>
      <c r="F28" s="14">
        <v>-13160</v>
      </c>
      <c r="G28" s="14">
        <v>510600</v>
      </c>
      <c r="H28" s="1" t="s">
        <v>40</v>
      </c>
    </row>
    <row r="29" spans="1:8">
      <c r="A29" s="1" t="s">
        <v>25</v>
      </c>
      <c r="B29" s="1" t="s">
        <v>25</v>
      </c>
      <c r="C29" t="s">
        <v>6419</v>
      </c>
      <c r="D29" t="s">
        <v>6420</v>
      </c>
      <c r="E29" t="s">
        <v>12</v>
      </c>
      <c r="F29" s="14">
        <v>-13160</v>
      </c>
      <c r="G29" s="14">
        <v>510600</v>
      </c>
      <c r="H29" s="1" t="s">
        <v>25</v>
      </c>
    </row>
    <row r="30" spans="1:8">
      <c r="A30" s="1" t="s">
        <v>241</v>
      </c>
      <c r="B30" s="1" t="s">
        <v>241</v>
      </c>
      <c r="C30" t="s">
        <v>6285</v>
      </c>
      <c r="D30" t="s">
        <v>6286</v>
      </c>
      <c r="E30" t="s">
        <v>12</v>
      </c>
      <c r="F30" s="14">
        <v>-12833</v>
      </c>
      <c r="G30" s="14">
        <v>516700</v>
      </c>
      <c r="H30" s="1" t="s">
        <v>241</v>
      </c>
    </row>
    <row r="31" spans="1:8">
      <c r="A31" s="1" t="s">
        <v>4434</v>
      </c>
      <c r="B31" s="1" t="s">
        <v>6177</v>
      </c>
      <c r="C31" t="s">
        <v>6285</v>
      </c>
      <c r="D31" t="s">
        <v>6286</v>
      </c>
      <c r="E31" t="s">
        <v>12</v>
      </c>
      <c r="F31" s="14">
        <v>-12833</v>
      </c>
      <c r="G31" s="14">
        <v>516700</v>
      </c>
      <c r="H31" s="1" t="s">
        <v>6177</v>
      </c>
    </row>
    <row r="32" spans="1:8">
      <c r="A32" s="1" t="s">
        <v>4118</v>
      </c>
      <c r="B32" s="1" t="s">
        <v>6198</v>
      </c>
      <c r="C32" t="s">
        <v>6285</v>
      </c>
      <c r="D32" t="s">
        <v>6286</v>
      </c>
      <c r="E32" t="s">
        <v>12</v>
      </c>
      <c r="F32" s="14">
        <v>-12833</v>
      </c>
      <c r="G32" s="14">
        <v>516700</v>
      </c>
      <c r="H32" s="1" t="s">
        <v>6198</v>
      </c>
    </row>
    <row r="33" spans="1:8">
      <c r="A33" s="1" t="s">
        <v>91</v>
      </c>
      <c r="B33" s="1" t="s">
        <v>91</v>
      </c>
      <c r="C33" t="s">
        <v>0</v>
      </c>
      <c r="D33" t="s">
        <v>6399</v>
      </c>
      <c r="E33" t="s">
        <v>12</v>
      </c>
      <c r="F33" s="14">
        <v>-12570</v>
      </c>
      <c r="G33" s="14">
        <v>517520</v>
      </c>
      <c r="H33" s="1" t="s">
        <v>91</v>
      </c>
    </row>
    <row r="34" spans="1:8">
      <c r="A34" s="1" t="s">
        <v>79</v>
      </c>
      <c r="B34" s="1" t="s">
        <v>6241</v>
      </c>
      <c r="C34" t="s">
        <v>0</v>
      </c>
      <c r="D34" t="s">
        <v>6399</v>
      </c>
      <c r="E34" t="s">
        <v>12</v>
      </c>
      <c r="F34" s="14">
        <v>-12570</v>
      </c>
      <c r="G34" s="14">
        <v>517520</v>
      </c>
      <c r="H34" s="1" t="s">
        <v>6241</v>
      </c>
    </row>
    <row r="35" spans="1:8">
      <c r="A35" s="1" t="s">
        <v>4168</v>
      </c>
      <c r="B35" s="1" t="s">
        <v>6280</v>
      </c>
      <c r="C35" t="s">
        <v>6500</v>
      </c>
      <c r="D35" t="s">
        <v>6482</v>
      </c>
      <c r="E35" t="s">
        <v>12</v>
      </c>
      <c r="F35" s="14">
        <v>-10820</v>
      </c>
      <c r="G35" s="14">
        <v>539590</v>
      </c>
      <c r="H35" s="1" t="s">
        <v>6280</v>
      </c>
    </row>
    <row r="36" spans="1:8">
      <c r="A36" s="1" t="s">
        <v>4505</v>
      </c>
      <c r="B36" s="1" t="s">
        <v>6194</v>
      </c>
      <c r="C36" t="s">
        <v>6481</v>
      </c>
      <c r="D36" t="s">
        <v>6482</v>
      </c>
      <c r="E36" t="s">
        <v>12</v>
      </c>
      <c r="F36" s="14">
        <v>-10750</v>
      </c>
      <c r="G36" s="14">
        <v>537850</v>
      </c>
      <c r="H36" s="1" t="s">
        <v>6194</v>
      </c>
    </row>
    <row r="37" spans="1:8">
      <c r="A37" s="1" t="s">
        <v>231</v>
      </c>
      <c r="B37" s="1" t="s">
        <v>231</v>
      </c>
      <c r="C37" t="s">
        <v>6462</v>
      </c>
      <c r="D37" t="s">
        <v>6463</v>
      </c>
      <c r="E37" t="s">
        <v>12</v>
      </c>
      <c r="F37" s="14">
        <v>-10160</v>
      </c>
      <c r="G37" s="14">
        <v>530000</v>
      </c>
      <c r="H37" s="1" t="s">
        <v>231</v>
      </c>
    </row>
    <row r="38" spans="1:8">
      <c r="A38" s="1" t="s">
        <v>13</v>
      </c>
      <c r="B38" s="1" t="s">
        <v>13</v>
      </c>
      <c r="C38" t="s">
        <v>6348</v>
      </c>
      <c r="D38" t="s">
        <v>6349</v>
      </c>
      <c r="E38" t="s">
        <v>12</v>
      </c>
      <c r="F38" s="14">
        <v>10810</v>
      </c>
      <c r="G38" s="14">
        <v>512810</v>
      </c>
      <c r="H38" s="1" t="s">
        <v>13</v>
      </c>
    </row>
    <row r="39" spans="1:8">
      <c r="A39" s="1" t="s">
        <v>4108</v>
      </c>
      <c r="B39" s="1" t="s">
        <v>6207</v>
      </c>
      <c r="C39" t="s">
        <v>6348</v>
      </c>
      <c r="D39" t="s">
        <v>6349</v>
      </c>
      <c r="E39" t="s">
        <v>12</v>
      </c>
      <c r="F39" s="14">
        <v>10810</v>
      </c>
      <c r="G39" s="14">
        <v>512810</v>
      </c>
      <c r="H39" s="1" t="s">
        <v>6207</v>
      </c>
    </row>
    <row r="40" spans="1:8">
      <c r="A40" s="1" t="s">
        <v>4603</v>
      </c>
      <c r="B40" s="1" t="s">
        <v>4603</v>
      </c>
      <c r="C40" t="s">
        <v>6350</v>
      </c>
      <c r="D40" t="s">
        <v>6349</v>
      </c>
      <c r="E40" t="s">
        <v>12</v>
      </c>
      <c r="F40" s="14">
        <v>10810</v>
      </c>
      <c r="G40" s="14">
        <v>512810</v>
      </c>
      <c r="H40" s="1" t="s">
        <v>4603</v>
      </c>
    </row>
    <row r="41" spans="1:8">
      <c r="A41" s="1" t="s">
        <v>4425</v>
      </c>
      <c r="B41" s="1" t="s">
        <v>4425</v>
      </c>
      <c r="C41" t="s">
        <v>4425</v>
      </c>
      <c r="D41" t="s">
        <v>6315</v>
      </c>
      <c r="E41" t="s">
        <v>104</v>
      </c>
      <c r="F41" s="14">
        <v>10990</v>
      </c>
      <c r="G41" s="14">
        <v>494430</v>
      </c>
      <c r="H41" s="1" t="s">
        <v>4425</v>
      </c>
    </row>
    <row r="42" spans="1:8">
      <c r="A42" s="1" t="s">
        <v>4553</v>
      </c>
      <c r="B42" s="1" t="s">
        <v>6254</v>
      </c>
      <c r="C42" t="s">
        <v>4425</v>
      </c>
      <c r="D42" t="s">
        <v>6315</v>
      </c>
      <c r="E42" t="s">
        <v>104</v>
      </c>
      <c r="F42" s="14">
        <v>10990</v>
      </c>
      <c r="G42" s="14">
        <v>494430</v>
      </c>
      <c r="H42" s="1" t="s">
        <v>6254</v>
      </c>
    </row>
    <row r="43" spans="1:8">
      <c r="A43" s="1" t="s">
        <v>4428</v>
      </c>
      <c r="B43" s="1" t="s">
        <v>4428</v>
      </c>
      <c r="C43" t="s">
        <v>4425</v>
      </c>
      <c r="D43" t="s">
        <v>6315</v>
      </c>
      <c r="E43" t="s">
        <v>104</v>
      </c>
      <c r="F43" s="14">
        <v>10990</v>
      </c>
      <c r="G43" s="14">
        <v>494430</v>
      </c>
      <c r="H43" s="1" t="s">
        <v>4428</v>
      </c>
    </row>
    <row r="44" spans="1:8">
      <c r="A44" s="1" t="s">
        <v>4265</v>
      </c>
      <c r="B44" s="1" t="s">
        <v>6255</v>
      </c>
      <c r="C44" t="s">
        <v>4425</v>
      </c>
      <c r="D44" t="s">
        <v>6315</v>
      </c>
      <c r="E44" t="s">
        <v>104</v>
      </c>
      <c r="F44" s="14">
        <v>10990</v>
      </c>
      <c r="G44" s="14">
        <v>494430</v>
      </c>
      <c r="H44" s="1" t="s">
        <v>6255</v>
      </c>
    </row>
    <row r="45" spans="1:8">
      <c r="A45" s="1" t="s">
        <v>4498</v>
      </c>
      <c r="B45" s="1" t="s">
        <v>4498</v>
      </c>
      <c r="C45" t="s">
        <v>4498</v>
      </c>
      <c r="D45" t="s">
        <v>6395</v>
      </c>
      <c r="E45" t="s">
        <v>104</v>
      </c>
      <c r="F45" s="14">
        <v>11510</v>
      </c>
      <c r="G45" s="14">
        <v>490230</v>
      </c>
      <c r="H45" s="1" t="s">
        <v>4498</v>
      </c>
    </row>
    <row r="46" spans="1:8">
      <c r="A46" s="1" t="s">
        <v>4636</v>
      </c>
      <c r="B46" s="1" t="s">
        <v>6262</v>
      </c>
      <c r="C46" t="s">
        <v>6479</v>
      </c>
      <c r="D46" t="s">
        <v>6343</v>
      </c>
      <c r="E46" t="s">
        <v>104</v>
      </c>
      <c r="F46" s="14">
        <v>12160</v>
      </c>
      <c r="G46" s="14">
        <v>448830</v>
      </c>
      <c r="H46" s="1" t="s">
        <v>6262</v>
      </c>
    </row>
    <row r="47" spans="1:8">
      <c r="A47" s="1" t="s">
        <v>4436</v>
      </c>
      <c r="B47" s="1" t="s">
        <v>4436</v>
      </c>
      <c r="C47" t="s">
        <v>6437</v>
      </c>
      <c r="D47" t="s">
        <v>6438</v>
      </c>
      <c r="E47" t="s">
        <v>104</v>
      </c>
      <c r="F47" s="14">
        <v>12610</v>
      </c>
      <c r="G47" s="14">
        <v>458330</v>
      </c>
      <c r="H47" s="1" t="s">
        <v>4436</v>
      </c>
    </row>
    <row r="48" spans="1:8">
      <c r="A48" s="1" t="s">
        <v>4357</v>
      </c>
      <c r="B48" s="1" t="s">
        <v>4357</v>
      </c>
      <c r="C48" t="s">
        <v>6437</v>
      </c>
      <c r="D48" t="s">
        <v>6438</v>
      </c>
      <c r="E48" t="s">
        <v>104</v>
      </c>
      <c r="F48" s="14">
        <v>12610</v>
      </c>
      <c r="G48" s="14">
        <v>458330</v>
      </c>
      <c r="H48" s="1" t="s">
        <v>4357</v>
      </c>
    </row>
    <row r="49" spans="1:8">
      <c r="A49" s="1" t="s">
        <v>5108</v>
      </c>
      <c r="B49" s="1" t="s">
        <v>5108</v>
      </c>
      <c r="C49" t="s">
        <v>6437</v>
      </c>
      <c r="D49" t="s">
        <v>6438</v>
      </c>
      <c r="E49" t="s">
        <v>104</v>
      </c>
      <c r="F49" s="14">
        <v>12610</v>
      </c>
      <c r="G49" s="14">
        <v>458330</v>
      </c>
      <c r="H49" s="1" t="s">
        <v>5108</v>
      </c>
    </row>
    <row r="50" spans="1:8">
      <c r="A50" s="1" t="s">
        <v>4267</v>
      </c>
      <c r="B50" s="1" t="s">
        <v>4267</v>
      </c>
      <c r="C50" t="s">
        <v>6468</v>
      </c>
      <c r="D50" t="s">
        <v>6469</v>
      </c>
      <c r="E50" t="s">
        <v>12</v>
      </c>
      <c r="F50" s="14">
        <v>12970</v>
      </c>
      <c r="G50" s="14">
        <v>526300</v>
      </c>
      <c r="H50" s="1" t="s">
        <v>4267</v>
      </c>
    </row>
    <row r="51" spans="1:8">
      <c r="A51" s="1" t="s">
        <v>4085</v>
      </c>
      <c r="B51" s="1" t="s">
        <v>6218</v>
      </c>
      <c r="C51" t="s">
        <v>6386</v>
      </c>
      <c r="D51" t="s">
        <v>6349</v>
      </c>
      <c r="E51" t="s">
        <v>12</v>
      </c>
      <c r="F51" s="14">
        <v>13210</v>
      </c>
      <c r="G51" s="14">
        <v>511290</v>
      </c>
      <c r="H51" s="1" t="s">
        <v>6218</v>
      </c>
    </row>
    <row r="52" spans="1:8">
      <c r="A52" s="1" t="s">
        <v>6051</v>
      </c>
      <c r="B52" s="1" t="s">
        <v>6051</v>
      </c>
      <c r="C52" t="s">
        <v>6051</v>
      </c>
      <c r="D52" t="s">
        <v>6345</v>
      </c>
      <c r="E52" t="s">
        <v>104</v>
      </c>
      <c r="F52" s="14">
        <v>14360</v>
      </c>
      <c r="G52" s="14">
        <v>444470</v>
      </c>
      <c r="H52" s="1" t="s">
        <v>6051</v>
      </c>
    </row>
    <row r="53" spans="1:8">
      <c r="A53" s="1" t="s">
        <v>4550</v>
      </c>
      <c r="B53" s="1" t="s">
        <v>4550</v>
      </c>
      <c r="C53" t="s">
        <v>4550</v>
      </c>
      <c r="D53" t="s">
        <v>6345</v>
      </c>
      <c r="E53" t="s">
        <v>104</v>
      </c>
      <c r="F53" s="14">
        <v>14440</v>
      </c>
      <c r="G53" s="14">
        <v>436040</v>
      </c>
      <c r="H53" s="1" t="s">
        <v>4550</v>
      </c>
    </row>
    <row r="54" spans="1:8">
      <c r="A54" s="1" t="s">
        <v>4561</v>
      </c>
      <c r="B54" s="1" t="s">
        <v>6269</v>
      </c>
      <c r="C54" t="s">
        <v>4550</v>
      </c>
      <c r="D54" t="s">
        <v>6345</v>
      </c>
      <c r="E54" t="s">
        <v>104</v>
      </c>
      <c r="F54" s="14">
        <v>14440</v>
      </c>
      <c r="G54" s="14">
        <v>436040</v>
      </c>
      <c r="H54" s="1" t="s">
        <v>6269</v>
      </c>
    </row>
    <row r="55" spans="1:8">
      <c r="A55" s="1" t="s">
        <v>4410</v>
      </c>
      <c r="B55" s="1" t="s">
        <v>6209</v>
      </c>
      <c r="C55" t="s">
        <v>6358</v>
      </c>
      <c r="D55" t="s">
        <v>6359</v>
      </c>
      <c r="E55" t="s">
        <v>104</v>
      </c>
      <c r="F55" s="14">
        <v>14890</v>
      </c>
      <c r="G55" s="14">
        <v>484460</v>
      </c>
      <c r="H55" s="1" t="s">
        <v>6209</v>
      </c>
    </row>
    <row r="56" spans="1:8">
      <c r="A56" s="1" t="s">
        <v>4563</v>
      </c>
      <c r="B56" s="1" t="s">
        <v>4563</v>
      </c>
      <c r="C56" t="s">
        <v>6360</v>
      </c>
      <c r="D56" t="s">
        <v>6359</v>
      </c>
      <c r="E56" t="s">
        <v>104</v>
      </c>
      <c r="F56" s="14">
        <v>14890</v>
      </c>
      <c r="G56" s="14">
        <v>484460</v>
      </c>
      <c r="H56" s="1" t="s">
        <v>4563</v>
      </c>
    </row>
    <row r="57" spans="1:8">
      <c r="A57" s="1" t="s">
        <v>4620</v>
      </c>
      <c r="B57" s="1" t="s">
        <v>4620</v>
      </c>
      <c r="C57" t="s">
        <v>6471</v>
      </c>
      <c r="D57" t="s">
        <v>6359</v>
      </c>
      <c r="E57" t="s">
        <v>104</v>
      </c>
      <c r="F57" s="14">
        <v>19090</v>
      </c>
      <c r="G57" s="14">
        <v>479020</v>
      </c>
      <c r="H57" s="1" t="s">
        <v>4620</v>
      </c>
    </row>
    <row r="58" spans="1:8">
      <c r="A58" s="1" t="s">
        <v>4068</v>
      </c>
      <c r="B58" s="1" t="s">
        <v>4068</v>
      </c>
      <c r="C58" t="s">
        <v>6471</v>
      </c>
      <c r="D58" t="s">
        <v>6359</v>
      </c>
      <c r="E58" t="s">
        <v>104</v>
      </c>
      <c r="F58" s="14">
        <v>19090</v>
      </c>
      <c r="G58" s="14">
        <v>479020</v>
      </c>
      <c r="H58" s="1" t="s">
        <v>4068</v>
      </c>
    </row>
    <row r="59" spans="1:8">
      <c r="A59" s="1" t="s">
        <v>4556</v>
      </c>
      <c r="B59" s="1" t="s">
        <v>4556</v>
      </c>
      <c r="C59" t="s">
        <v>6471</v>
      </c>
      <c r="D59" t="s">
        <v>6359</v>
      </c>
      <c r="E59" t="s">
        <v>104</v>
      </c>
      <c r="F59" s="14">
        <v>19090</v>
      </c>
      <c r="G59" s="14">
        <v>479020</v>
      </c>
      <c r="H59" s="1" t="s">
        <v>4556</v>
      </c>
    </row>
    <row r="60" spans="1:8">
      <c r="A60" s="1" t="s">
        <v>4455</v>
      </c>
      <c r="B60" s="1" t="s">
        <v>4455</v>
      </c>
      <c r="C60" t="s">
        <v>4455</v>
      </c>
      <c r="D60" t="s">
        <v>6305</v>
      </c>
      <c r="E60" t="s">
        <v>104</v>
      </c>
      <c r="F60" s="14">
        <v>20860</v>
      </c>
      <c r="G60" s="14">
        <v>494300</v>
      </c>
      <c r="H60" s="1" t="s">
        <v>4455</v>
      </c>
    </row>
    <row r="61" spans="1:8">
      <c r="A61" s="1" t="s">
        <v>2702</v>
      </c>
      <c r="B61" s="1" t="s">
        <v>6204</v>
      </c>
      <c r="C61" t="s">
        <v>6204</v>
      </c>
      <c r="D61" t="s">
        <v>6305</v>
      </c>
      <c r="E61" t="s">
        <v>104</v>
      </c>
      <c r="F61" s="14">
        <v>20860</v>
      </c>
      <c r="G61" s="14">
        <v>494300</v>
      </c>
      <c r="H61" s="1" t="s">
        <v>6204</v>
      </c>
    </row>
    <row r="62" spans="1:8">
      <c r="A62" s="1" t="s">
        <v>4151</v>
      </c>
      <c r="B62" s="1" t="s">
        <v>4151</v>
      </c>
      <c r="C62" t="s">
        <v>4151</v>
      </c>
      <c r="D62" t="s">
        <v>6305</v>
      </c>
      <c r="E62" t="s">
        <v>104</v>
      </c>
      <c r="F62" s="14">
        <v>20860</v>
      </c>
      <c r="G62" s="14">
        <v>494300</v>
      </c>
      <c r="H62" s="1" t="s">
        <v>4151</v>
      </c>
    </row>
    <row r="63" spans="1:8">
      <c r="A63" s="1" t="s">
        <v>4502</v>
      </c>
      <c r="B63" s="1" t="s">
        <v>4502</v>
      </c>
      <c r="C63" t="s">
        <v>4502</v>
      </c>
      <c r="D63" t="s">
        <v>6456</v>
      </c>
      <c r="E63" t="s">
        <v>104</v>
      </c>
      <c r="F63" s="14">
        <v>23522</v>
      </c>
      <c r="G63" s="14">
        <v>488566</v>
      </c>
      <c r="H63" s="1" t="s">
        <v>4502</v>
      </c>
    </row>
    <row r="64" spans="1:8">
      <c r="A64" s="1" t="s">
        <v>4530</v>
      </c>
      <c r="B64" s="1" t="s">
        <v>6242</v>
      </c>
      <c r="C64" t="s">
        <v>4502</v>
      </c>
      <c r="D64" t="s">
        <v>6456</v>
      </c>
      <c r="E64" t="s">
        <v>104</v>
      </c>
      <c r="F64" s="14">
        <v>23522</v>
      </c>
      <c r="G64" s="14">
        <v>488566</v>
      </c>
      <c r="H64" s="1" t="s">
        <v>6242</v>
      </c>
    </row>
    <row r="65" spans="1:8">
      <c r="A65" s="1" t="s">
        <v>22</v>
      </c>
      <c r="B65" s="1" t="s">
        <v>22</v>
      </c>
      <c r="C65" t="s">
        <v>4502</v>
      </c>
      <c r="D65" t="s">
        <v>6456</v>
      </c>
      <c r="E65" t="s">
        <v>104</v>
      </c>
      <c r="F65" s="14">
        <v>23522</v>
      </c>
      <c r="G65" s="14">
        <v>488566</v>
      </c>
      <c r="H65" s="1" t="s">
        <v>22</v>
      </c>
    </row>
    <row r="66" spans="1:8">
      <c r="A66" s="1" t="s">
        <v>192</v>
      </c>
      <c r="B66" s="1" t="s">
        <v>6243</v>
      </c>
      <c r="C66" t="s">
        <v>4502</v>
      </c>
      <c r="D66" t="s">
        <v>6456</v>
      </c>
      <c r="E66" t="s">
        <v>104</v>
      </c>
      <c r="F66" s="14">
        <v>23522</v>
      </c>
      <c r="G66" s="14">
        <v>488566</v>
      </c>
      <c r="H66" s="1" t="s">
        <v>6243</v>
      </c>
    </row>
    <row r="67" spans="1:8">
      <c r="A67" s="1" t="s">
        <v>4596</v>
      </c>
      <c r="B67" s="1" t="s">
        <v>4596</v>
      </c>
      <c r="C67" t="s">
        <v>4502</v>
      </c>
      <c r="D67" t="s">
        <v>6456</v>
      </c>
      <c r="E67" t="s">
        <v>104</v>
      </c>
      <c r="F67" s="14">
        <v>23522</v>
      </c>
      <c r="G67" s="14">
        <v>488566</v>
      </c>
      <c r="H67" s="1" t="s">
        <v>4596</v>
      </c>
    </row>
    <row r="68" spans="1:8">
      <c r="A68" s="1" t="s">
        <v>4392</v>
      </c>
      <c r="B68" s="1" t="s">
        <v>4392</v>
      </c>
      <c r="C68" t="s">
        <v>4502</v>
      </c>
      <c r="D68" t="s">
        <v>6456</v>
      </c>
      <c r="E68" t="s">
        <v>104</v>
      </c>
      <c r="F68" s="14">
        <v>23522</v>
      </c>
      <c r="G68" s="14">
        <v>488566</v>
      </c>
      <c r="H68" s="1" t="s">
        <v>4392</v>
      </c>
    </row>
    <row r="69" spans="1:8">
      <c r="A69" s="1" t="s">
        <v>5079</v>
      </c>
      <c r="B69" s="1" t="s">
        <v>6244</v>
      </c>
      <c r="C69" t="s">
        <v>4502</v>
      </c>
      <c r="D69" t="s">
        <v>6456</v>
      </c>
      <c r="E69" t="s">
        <v>104</v>
      </c>
      <c r="F69" s="14">
        <v>23522</v>
      </c>
      <c r="G69" s="14">
        <v>488566</v>
      </c>
      <c r="H69" s="1" t="s">
        <v>6244</v>
      </c>
    </row>
    <row r="70" spans="1:8">
      <c r="A70" s="1" t="s">
        <v>32</v>
      </c>
      <c r="B70" s="1" t="s">
        <v>6245</v>
      </c>
      <c r="C70" t="s">
        <v>4502</v>
      </c>
      <c r="D70" t="s">
        <v>6456</v>
      </c>
      <c r="E70" t="s">
        <v>104</v>
      </c>
      <c r="F70" s="14">
        <v>23522</v>
      </c>
      <c r="G70" s="14">
        <v>488566</v>
      </c>
      <c r="H70" s="1" t="s">
        <v>6245</v>
      </c>
    </row>
    <row r="71" spans="1:8">
      <c r="A71" s="1" t="s">
        <v>4531</v>
      </c>
      <c r="B71" s="1" t="s">
        <v>4531</v>
      </c>
      <c r="C71" t="s">
        <v>6306</v>
      </c>
      <c r="D71" t="s">
        <v>6307</v>
      </c>
      <c r="E71" t="s">
        <v>104</v>
      </c>
      <c r="F71" s="14">
        <v>24400</v>
      </c>
      <c r="G71" s="14">
        <v>449260</v>
      </c>
      <c r="H71" s="1" t="s">
        <v>4531</v>
      </c>
    </row>
    <row r="72" spans="1:8">
      <c r="A72" s="1" t="s">
        <v>4374</v>
      </c>
      <c r="B72" s="1" t="s">
        <v>4374</v>
      </c>
      <c r="C72" t="s">
        <v>6377</v>
      </c>
      <c r="D72" t="s">
        <v>6378</v>
      </c>
      <c r="E72" t="s">
        <v>104</v>
      </c>
      <c r="F72" s="14">
        <v>25400</v>
      </c>
      <c r="G72" s="14">
        <v>499370</v>
      </c>
      <c r="H72" s="1" t="s">
        <v>4374</v>
      </c>
    </row>
    <row r="73" spans="1:8">
      <c r="A73" s="1" t="s">
        <v>4495</v>
      </c>
      <c r="B73" s="1" t="s">
        <v>6178</v>
      </c>
      <c r="C73" t="s">
        <v>6300</v>
      </c>
      <c r="D73" t="s">
        <v>6301</v>
      </c>
      <c r="E73" t="s">
        <v>104</v>
      </c>
      <c r="F73" s="14">
        <v>26333</v>
      </c>
      <c r="G73" s="14">
        <v>424833</v>
      </c>
      <c r="H73" s="1" t="s">
        <v>6178</v>
      </c>
    </row>
    <row r="74" spans="1:8">
      <c r="A74" s="1" t="s">
        <v>2701</v>
      </c>
      <c r="B74" s="1" t="s">
        <v>2701</v>
      </c>
      <c r="C74" t="s">
        <v>2701</v>
      </c>
      <c r="D74" t="s">
        <v>6456</v>
      </c>
      <c r="E74" t="s">
        <v>104</v>
      </c>
      <c r="F74" s="14">
        <v>26550</v>
      </c>
      <c r="G74" s="14">
        <v>485390</v>
      </c>
      <c r="H74" s="1" t="s">
        <v>2701</v>
      </c>
    </row>
    <row r="75" spans="1:8">
      <c r="A75" s="1" t="s">
        <v>5077</v>
      </c>
      <c r="B75" s="1" t="s">
        <v>5077</v>
      </c>
      <c r="C75" t="s">
        <v>5077</v>
      </c>
      <c r="D75" t="s">
        <v>6305</v>
      </c>
      <c r="E75" t="s">
        <v>104</v>
      </c>
      <c r="F75" s="14">
        <v>27770</v>
      </c>
      <c r="G75" s="14">
        <v>502910</v>
      </c>
      <c r="H75" s="1" t="s">
        <v>5077</v>
      </c>
    </row>
    <row r="76" spans="1:8">
      <c r="A76" s="1" t="s">
        <v>4457</v>
      </c>
      <c r="B76" s="1" t="s">
        <v>4457</v>
      </c>
      <c r="C76" t="s">
        <v>4457</v>
      </c>
      <c r="D76" t="s">
        <v>6305</v>
      </c>
      <c r="E76" t="s">
        <v>104</v>
      </c>
      <c r="F76" s="14">
        <v>27770</v>
      </c>
      <c r="G76" s="14">
        <v>502910</v>
      </c>
      <c r="H76" s="1" t="s">
        <v>4457</v>
      </c>
    </row>
    <row r="77" spans="1:8">
      <c r="A77" s="1" t="s">
        <v>4372</v>
      </c>
      <c r="B77" s="1" t="s">
        <v>6216</v>
      </c>
      <c r="C77" t="s">
        <v>6376</v>
      </c>
      <c r="D77" t="s">
        <v>6305</v>
      </c>
      <c r="E77" t="s">
        <v>104</v>
      </c>
      <c r="F77" s="14">
        <v>28260</v>
      </c>
      <c r="G77" s="14">
        <v>494170</v>
      </c>
      <c r="H77" s="1" t="s">
        <v>6216</v>
      </c>
    </row>
    <row r="78" spans="1:8">
      <c r="A78" s="1" t="s">
        <v>88</v>
      </c>
      <c r="B78" s="1" t="s">
        <v>88</v>
      </c>
      <c r="C78" t="s">
        <v>6470</v>
      </c>
      <c r="D78" t="s">
        <v>6305</v>
      </c>
      <c r="E78" t="s">
        <v>104</v>
      </c>
      <c r="F78" s="14">
        <v>30160</v>
      </c>
      <c r="G78" s="14">
        <v>496480</v>
      </c>
      <c r="H78" s="1" t="s">
        <v>88</v>
      </c>
    </row>
    <row r="79" spans="1:8">
      <c r="A79" s="1" t="s">
        <v>4569</v>
      </c>
      <c r="B79" s="1" t="s">
        <v>4569</v>
      </c>
      <c r="C79" t="s">
        <v>4569</v>
      </c>
      <c r="D79" t="s">
        <v>6374</v>
      </c>
      <c r="E79" t="s">
        <v>104</v>
      </c>
      <c r="F79" s="14">
        <v>30860</v>
      </c>
      <c r="G79" s="14">
        <v>457770</v>
      </c>
      <c r="H79" s="1" t="s">
        <v>4569</v>
      </c>
    </row>
    <row r="80" spans="1:8">
      <c r="A80" s="1" t="s">
        <v>4387</v>
      </c>
      <c r="B80" s="1" t="s">
        <v>4387</v>
      </c>
      <c r="C80" t="s">
        <v>4387</v>
      </c>
      <c r="D80" t="s">
        <v>6308</v>
      </c>
      <c r="E80" t="s">
        <v>104</v>
      </c>
      <c r="F80" s="14">
        <v>31610</v>
      </c>
      <c r="G80" s="14">
        <v>469890</v>
      </c>
      <c r="H80" s="1" t="s">
        <v>4387</v>
      </c>
    </row>
    <row r="81" spans="1:8">
      <c r="A81" s="1" t="s">
        <v>5167</v>
      </c>
      <c r="B81" s="1" t="s">
        <v>5167</v>
      </c>
      <c r="C81" t="s">
        <v>6335</v>
      </c>
      <c r="D81" t="s">
        <v>6336</v>
      </c>
      <c r="E81" t="s">
        <v>4016</v>
      </c>
      <c r="F81" s="14">
        <v>32247</v>
      </c>
      <c r="G81" s="14">
        <v>512093</v>
      </c>
      <c r="H81" s="1" t="s">
        <v>5167</v>
      </c>
    </row>
    <row r="82" spans="1:8">
      <c r="A82" s="1" t="s">
        <v>4684</v>
      </c>
      <c r="B82" s="1" t="s">
        <v>4684</v>
      </c>
      <c r="C82" t="s">
        <v>4684</v>
      </c>
      <c r="D82" t="s">
        <v>6305</v>
      </c>
      <c r="E82" t="s">
        <v>104</v>
      </c>
      <c r="F82" s="14">
        <v>32340</v>
      </c>
      <c r="G82" s="14">
        <v>501750</v>
      </c>
      <c r="H82" s="1" t="s">
        <v>4684</v>
      </c>
    </row>
    <row r="83" spans="1:8">
      <c r="A83" s="1" t="s">
        <v>5168</v>
      </c>
      <c r="B83" s="1" t="s">
        <v>5168</v>
      </c>
      <c r="C83" t="s">
        <v>4684</v>
      </c>
      <c r="D83" t="s">
        <v>6305</v>
      </c>
      <c r="E83" t="s">
        <v>104</v>
      </c>
      <c r="F83" s="14">
        <v>32340</v>
      </c>
      <c r="G83" s="14">
        <v>501750</v>
      </c>
      <c r="H83" s="1" t="s">
        <v>5168</v>
      </c>
    </row>
    <row r="84" spans="1:8">
      <c r="A84" s="1" t="s">
        <v>5104</v>
      </c>
      <c r="B84" s="1" t="s">
        <v>5104</v>
      </c>
      <c r="C84" t="s">
        <v>4532</v>
      </c>
      <c r="D84" t="s">
        <v>6308</v>
      </c>
      <c r="E84" t="s">
        <v>104</v>
      </c>
      <c r="F84" s="14">
        <v>32830</v>
      </c>
      <c r="G84" s="14">
        <v>481980</v>
      </c>
      <c r="H84" s="1" t="s">
        <v>5104</v>
      </c>
    </row>
    <row r="85" spans="1:8">
      <c r="A85" s="1" t="s">
        <v>4532</v>
      </c>
      <c r="B85" s="1" t="s">
        <v>4532</v>
      </c>
      <c r="C85" t="s">
        <v>4532</v>
      </c>
      <c r="D85" t="s">
        <v>6308</v>
      </c>
      <c r="E85" t="s">
        <v>104</v>
      </c>
      <c r="F85" s="14">
        <v>32830</v>
      </c>
      <c r="G85" s="14">
        <v>481980</v>
      </c>
      <c r="H85" s="1" t="s">
        <v>4532</v>
      </c>
    </row>
    <row r="86" spans="1:8">
      <c r="A86" s="1" t="s">
        <v>4449</v>
      </c>
      <c r="B86" s="1" t="s">
        <v>4449</v>
      </c>
      <c r="C86" t="s">
        <v>4532</v>
      </c>
      <c r="D86" t="s">
        <v>6308</v>
      </c>
      <c r="E86" t="s">
        <v>104</v>
      </c>
      <c r="F86" s="14">
        <v>32830</v>
      </c>
      <c r="G86" s="14">
        <v>481980</v>
      </c>
      <c r="H86" s="1" t="s">
        <v>4449</v>
      </c>
    </row>
    <row r="87" spans="1:8">
      <c r="A87" s="1" t="s">
        <v>4507</v>
      </c>
      <c r="B87" s="1" t="s">
        <v>4507</v>
      </c>
      <c r="C87" t="s">
        <v>4507</v>
      </c>
      <c r="D87" t="s">
        <v>6485</v>
      </c>
      <c r="E87" t="s">
        <v>104</v>
      </c>
      <c r="F87" s="14">
        <v>32960</v>
      </c>
      <c r="G87" s="14">
        <v>493810</v>
      </c>
      <c r="H87" s="1" t="s">
        <v>4507</v>
      </c>
    </row>
    <row r="88" spans="1:8">
      <c r="A88" s="1" t="s">
        <v>2698</v>
      </c>
      <c r="B88" s="1" t="s">
        <v>6266</v>
      </c>
      <c r="C88" t="s">
        <v>4507</v>
      </c>
      <c r="D88" t="s">
        <v>6485</v>
      </c>
      <c r="E88" t="s">
        <v>104</v>
      </c>
      <c r="F88" s="14">
        <v>32960</v>
      </c>
      <c r="G88" s="14">
        <v>493810</v>
      </c>
      <c r="H88" s="1" t="s">
        <v>6266</v>
      </c>
    </row>
    <row r="89" spans="1:8">
      <c r="A89" s="1" t="s">
        <v>2705</v>
      </c>
      <c r="B89" s="1" t="s">
        <v>2705</v>
      </c>
      <c r="C89" t="s">
        <v>4507</v>
      </c>
      <c r="D89" t="s">
        <v>6485</v>
      </c>
      <c r="E89" t="s">
        <v>104</v>
      </c>
      <c r="F89" s="14">
        <v>32960</v>
      </c>
      <c r="G89" s="14">
        <v>493810</v>
      </c>
      <c r="H89" s="1" t="s">
        <v>2705</v>
      </c>
    </row>
    <row r="90" spans="1:8">
      <c r="A90" s="1" t="s">
        <v>4499</v>
      </c>
      <c r="B90" s="1" t="s">
        <v>4499</v>
      </c>
      <c r="C90" t="s">
        <v>4499</v>
      </c>
      <c r="D90" t="s">
        <v>6456</v>
      </c>
      <c r="E90" t="s">
        <v>104</v>
      </c>
      <c r="F90" s="14">
        <v>33030</v>
      </c>
      <c r="G90" s="14">
        <v>485590</v>
      </c>
      <c r="H90" s="1" t="s">
        <v>4499</v>
      </c>
    </row>
    <row r="91" spans="1:8">
      <c r="A91" s="1" t="s">
        <v>4416</v>
      </c>
      <c r="B91" s="1" t="s">
        <v>4416</v>
      </c>
      <c r="C91" t="s">
        <v>4416</v>
      </c>
      <c r="D91" t="s">
        <v>6308</v>
      </c>
      <c r="E91" t="s">
        <v>104</v>
      </c>
      <c r="F91" s="14">
        <v>35650</v>
      </c>
      <c r="G91" s="14">
        <v>477980</v>
      </c>
      <c r="H91" s="1" t="s">
        <v>4416</v>
      </c>
    </row>
    <row r="92" spans="1:8">
      <c r="A92" s="1" t="s">
        <v>4377</v>
      </c>
      <c r="B92" s="1" t="s">
        <v>4377</v>
      </c>
      <c r="C92" t="s">
        <v>4377</v>
      </c>
      <c r="D92" t="s">
        <v>6308</v>
      </c>
      <c r="E92" t="s">
        <v>104</v>
      </c>
      <c r="F92" s="14">
        <v>35650</v>
      </c>
      <c r="G92" s="14">
        <v>477980</v>
      </c>
      <c r="H92" s="1" t="s">
        <v>4377</v>
      </c>
    </row>
    <row r="93" spans="1:8">
      <c r="A93" s="1" t="s">
        <v>4512</v>
      </c>
      <c r="B93" s="1" t="s">
        <v>4512</v>
      </c>
      <c r="C93" t="s">
        <v>4512</v>
      </c>
      <c r="D93" t="s">
        <v>6308</v>
      </c>
      <c r="E93" t="s">
        <v>104</v>
      </c>
      <c r="F93" s="14">
        <v>35650</v>
      </c>
      <c r="G93" s="14">
        <v>477980</v>
      </c>
      <c r="H93" s="1" t="s">
        <v>4512</v>
      </c>
    </row>
    <row r="94" spans="1:8">
      <c r="A94" s="1" t="s">
        <v>2678</v>
      </c>
      <c r="B94" s="1" t="s">
        <v>2678</v>
      </c>
      <c r="C94" t="s">
        <v>2678</v>
      </c>
      <c r="D94" t="s">
        <v>6305</v>
      </c>
      <c r="E94" t="s">
        <v>104</v>
      </c>
      <c r="F94" s="14">
        <v>36240</v>
      </c>
      <c r="G94" s="14">
        <v>495640</v>
      </c>
      <c r="H94" s="1" t="s">
        <v>2678</v>
      </c>
    </row>
    <row r="95" spans="1:8">
      <c r="A95" s="1" t="s">
        <v>2703</v>
      </c>
      <c r="B95" s="1" t="s">
        <v>2703</v>
      </c>
      <c r="C95" t="s">
        <v>2678</v>
      </c>
      <c r="D95" t="s">
        <v>6305</v>
      </c>
      <c r="E95" t="s">
        <v>104</v>
      </c>
      <c r="F95" s="14">
        <v>36240</v>
      </c>
      <c r="G95" s="14">
        <v>495640</v>
      </c>
      <c r="H95" s="1" t="s">
        <v>2703</v>
      </c>
    </row>
    <row r="96" spans="1:8">
      <c r="A96" s="1" t="s">
        <v>2624</v>
      </c>
      <c r="B96" s="1" t="s">
        <v>2624</v>
      </c>
      <c r="C96" t="s">
        <v>2678</v>
      </c>
      <c r="D96" t="s">
        <v>6305</v>
      </c>
      <c r="E96" t="s">
        <v>104</v>
      </c>
      <c r="F96" s="14">
        <v>36240</v>
      </c>
      <c r="G96" s="14">
        <v>495640</v>
      </c>
      <c r="H96" s="1" t="s">
        <v>2624</v>
      </c>
    </row>
    <row r="97" spans="1:8">
      <c r="A97" s="1" t="s">
        <v>4313</v>
      </c>
      <c r="B97" s="1" t="s">
        <v>6246</v>
      </c>
      <c r="C97" t="s">
        <v>6476</v>
      </c>
      <c r="D97" t="s">
        <v>6308</v>
      </c>
      <c r="E97" t="s">
        <v>104</v>
      </c>
      <c r="F97" s="14">
        <v>36330</v>
      </c>
      <c r="G97" s="14">
        <v>477100</v>
      </c>
      <c r="H97" s="1" t="s">
        <v>6246</v>
      </c>
    </row>
    <row r="98" spans="1:8">
      <c r="A98" s="1" t="s">
        <v>4012</v>
      </c>
      <c r="B98" s="1" t="s">
        <v>4012</v>
      </c>
      <c r="C98" t="s">
        <v>6407</v>
      </c>
      <c r="D98" t="s">
        <v>6408</v>
      </c>
      <c r="E98" t="s">
        <v>4016</v>
      </c>
      <c r="F98" s="14">
        <v>37200</v>
      </c>
      <c r="G98" s="14">
        <v>510530</v>
      </c>
      <c r="H98" s="1" t="s">
        <v>4012</v>
      </c>
    </row>
    <row r="99" spans="1:8">
      <c r="A99" s="1" t="s">
        <v>4549</v>
      </c>
      <c r="B99" s="1" t="s">
        <v>4549</v>
      </c>
      <c r="C99" t="s">
        <v>4549</v>
      </c>
      <c r="D99" t="s">
        <v>6345</v>
      </c>
      <c r="E99" t="s">
        <v>104</v>
      </c>
      <c r="F99" s="14">
        <v>38770</v>
      </c>
      <c r="G99" s="14">
        <v>436110</v>
      </c>
      <c r="H99" s="1" t="s">
        <v>4549</v>
      </c>
    </row>
    <row r="100" spans="1:8">
      <c r="A100" s="1" t="s">
        <v>5777</v>
      </c>
      <c r="B100" s="1" t="s">
        <v>6238</v>
      </c>
      <c r="C100" t="s">
        <v>4549</v>
      </c>
      <c r="D100" t="s">
        <v>6345</v>
      </c>
      <c r="E100" t="s">
        <v>104</v>
      </c>
      <c r="F100" s="14">
        <v>38770</v>
      </c>
      <c r="G100" s="14">
        <v>436110</v>
      </c>
      <c r="H100" s="1" t="s">
        <v>6238</v>
      </c>
    </row>
    <row r="101" spans="1:8">
      <c r="A101" s="1" t="s">
        <v>4650</v>
      </c>
      <c r="B101" s="1" t="s">
        <v>4650</v>
      </c>
      <c r="C101" t="s">
        <v>4650</v>
      </c>
      <c r="D101" t="s">
        <v>6305</v>
      </c>
      <c r="E101" t="s">
        <v>104</v>
      </c>
      <c r="F101" s="14">
        <v>39730</v>
      </c>
      <c r="G101" s="14">
        <v>502680</v>
      </c>
      <c r="H101" s="1" t="s">
        <v>4650</v>
      </c>
    </row>
    <row r="102" spans="1:8">
      <c r="A102" s="1" t="s">
        <v>4555</v>
      </c>
      <c r="B102" s="1" t="s">
        <v>4555</v>
      </c>
      <c r="C102" t="s">
        <v>6477</v>
      </c>
      <c r="D102" t="s">
        <v>6357</v>
      </c>
      <c r="E102" t="s">
        <v>104</v>
      </c>
      <c r="F102" s="14">
        <v>40310</v>
      </c>
      <c r="G102" s="14">
        <v>492580</v>
      </c>
      <c r="H102" s="1" t="s">
        <v>4555</v>
      </c>
    </row>
    <row r="103" spans="1:8">
      <c r="A103" s="1" t="s">
        <v>212</v>
      </c>
      <c r="B103" s="1" t="s">
        <v>212</v>
      </c>
      <c r="C103" t="s">
        <v>6492</v>
      </c>
      <c r="D103" t="s">
        <v>6357</v>
      </c>
      <c r="E103" t="s">
        <v>104</v>
      </c>
      <c r="F103" s="14">
        <v>40830</v>
      </c>
      <c r="G103" s="14">
        <v>482970</v>
      </c>
      <c r="H103" s="1" t="s">
        <v>212</v>
      </c>
    </row>
    <row r="104" spans="1:8">
      <c r="A104" s="1" t="s">
        <v>4535</v>
      </c>
      <c r="B104" s="1" t="s">
        <v>6196</v>
      </c>
      <c r="C104" t="s">
        <v>6492</v>
      </c>
      <c r="D104" t="s">
        <v>6357</v>
      </c>
      <c r="E104" t="s">
        <v>104</v>
      </c>
      <c r="F104" s="14">
        <v>40830</v>
      </c>
      <c r="G104" s="14">
        <v>482970</v>
      </c>
      <c r="H104" s="1" t="s">
        <v>6196</v>
      </c>
    </row>
    <row r="105" spans="1:8">
      <c r="A105" s="1" t="s">
        <v>4677</v>
      </c>
      <c r="B105" s="1" t="s">
        <v>4677</v>
      </c>
      <c r="C105" t="s">
        <v>4677</v>
      </c>
      <c r="D105" t="s">
        <v>6308</v>
      </c>
      <c r="E105" t="s">
        <v>104</v>
      </c>
      <c r="F105" s="14">
        <v>41660</v>
      </c>
      <c r="G105" s="14">
        <v>475480</v>
      </c>
      <c r="H105" s="1" t="s">
        <v>4677</v>
      </c>
    </row>
    <row r="106" spans="1:8">
      <c r="A106" s="1" t="s">
        <v>4380</v>
      </c>
      <c r="B106" s="1" t="s">
        <v>4380</v>
      </c>
      <c r="C106" t="s">
        <v>4380</v>
      </c>
      <c r="D106" t="s">
        <v>6308</v>
      </c>
      <c r="E106" t="s">
        <v>104</v>
      </c>
      <c r="F106" s="14">
        <v>42950</v>
      </c>
      <c r="G106" s="14">
        <v>469500</v>
      </c>
      <c r="H106" s="1" t="s">
        <v>4380</v>
      </c>
    </row>
    <row r="107" spans="1:8">
      <c r="A107" s="1" t="s">
        <v>4610</v>
      </c>
      <c r="B107" s="1" t="s">
        <v>4610</v>
      </c>
      <c r="C107" t="s">
        <v>6361</v>
      </c>
      <c r="D107" t="s">
        <v>6308</v>
      </c>
      <c r="E107" t="s">
        <v>104</v>
      </c>
      <c r="F107" s="14">
        <v>43540</v>
      </c>
      <c r="G107" s="14">
        <v>479960</v>
      </c>
      <c r="H107" s="1" t="s">
        <v>4610</v>
      </c>
    </row>
    <row r="108" spans="1:8">
      <c r="A108" s="1" t="s">
        <v>4501</v>
      </c>
      <c r="B108" s="1" t="s">
        <v>4501</v>
      </c>
      <c r="C108" t="s">
        <v>6464</v>
      </c>
      <c r="D108" t="s">
        <v>6345</v>
      </c>
      <c r="E108" t="s">
        <v>104</v>
      </c>
      <c r="F108" s="14">
        <v>43600</v>
      </c>
      <c r="G108" s="14">
        <v>438360</v>
      </c>
      <c r="H108" s="1" t="s">
        <v>4501</v>
      </c>
    </row>
    <row r="109" spans="1:8">
      <c r="A109" s="1" t="s">
        <v>4411</v>
      </c>
      <c r="B109" s="1" t="s">
        <v>4411</v>
      </c>
      <c r="C109" t="s">
        <v>6356</v>
      </c>
      <c r="D109" t="s">
        <v>6357</v>
      </c>
      <c r="E109" t="s">
        <v>104</v>
      </c>
      <c r="F109" s="14">
        <v>43620</v>
      </c>
      <c r="G109" s="14">
        <v>489570</v>
      </c>
      <c r="H109" s="1" t="s">
        <v>4411</v>
      </c>
    </row>
    <row r="110" spans="1:8">
      <c r="A110" s="1" t="s">
        <v>5187</v>
      </c>
      <c r="B110" s="1" t="s">
        <v>5187</v>
      </c>
      <c r="C110" t="s">
        <v>6405</v>
      </c>
      <c r="D110" t="s">
        <v>6369</v>
      </c>
      <c r="E110" t="s">
        <v>104</v>
      </c>
      <c r="F110" s="14">
        <v>43890</v>
      </c>
      <c r="G110" s="14">
        <v>476360</v>
      </c>
      <c r="H110" s="1" t="s">
        <v>5187</v>
      </c>
    </row>
    <row r="111" spans="1:8">
      <c r="A111" s="1" t="s">
        <v>4594</v>
      </c>
      <c r="B111" s="1" t="s">
        <v>6187</v>
      </c>
      <c r="C111" t="s">
        <v>5187</v>
      </c>
      <c r="D111" t="s">
        <v>6369</v>
      </c>
      <c r="E111" t="s">
        <v>104</v>
      </c>
      <c r="F111" s="14">
        <v>43890</v>
      </c>
      <c r="G111" s="14">
        <v>476360</v>
      </c>
      <c r="H111" s="1" t="s">
        <v>6187</v>
      </c>
    </row>
    <row r="112" spans="1:8">
      <c r="A112" s="1" t="s">
        <v>4022</v>
      </c>
      <c r="B112" s="1" t="s">
        <v>4022</v>
      </c>
      <c r="C112" t="s">
        <v>6372</v>
      </c>
      <c r="D112" t="s">
        <v>6373</v>
      </c>
      <c r="E112" t="s">
        <v>104</v>
      </c>
      <c r="F112" s="14">
        <v>46540</v>
      </c>
      <c r="G112" s="14">
        <v>464340</v>
      </c>
      <c r="H112" s="1" t="s">
        <v>4022</v>
      </c>
    </row>
    <row r="113" spans="1:8">
      <c r="A113" s="1" t="s">
        <v>4362</v>
      </c>
      <c r="B113" s="1" t="s">
        <v>4362</v>
      </c>
      <c r="C113" t="s">
        <v>4362</v>
      </c>
      <c r="D113" t="s">
        <v>6373</v>
      </c>
      <c r="E113" t="s">
        <v>104</v>
      </c>
      <c r="F113" s="14">
        <v>46540</v>
      </c>
      <c r="G113" s="14">
        <v>464340</v>
      </c>
      <c r="H113" s="1" t="s">
        <v>4362</v>
      </c>
    </row>
    <row r="114" spans="1:8">
      <c r="A114" s="1" t="s">
        <v>4358</v>
      </c>
      <c r="B114" s="1" t="s">
        <v>6214</v>
      </c>
      <c r="C114" t="s">
        <v>4362</v>
      </c>
      <c r="D114" t="s">
        <v>6373</v>
      </c>
      <c r="E114" t="s">
        <v>104</v>
      </c>
      <c r="F114" s="14">
        <v>46540</v>
      </c>
      <c r="G114" s="14">
        <v>464340</v>
      </c>
      <c r="H114" s="1" t="s">
        <v>6214</v>
      </c>
    </row>
    <row r="115" spans="1:8">
      <c r="A115" s="1" t="s">
        <v>4461</v>
      </c>
      <c r="B115" s="1" t="s">
        <v>6186</v>
      </c>
      <c r="C115" t="s">
        <v>6403</v>
      </c>
      <c r="D115" t="s">
        <v>6308</v>
      </c>
      <c r="E115" t="s">
        <v>104</v>
      </c>
      <c r="F115" s="14">
        <v>47000</v>
      </c>
      <c r="G115" s="14">
        <v>465000</v>
      </c>
      <c r="H115" s="1" t="s">
        <v>6186</v>
      </c>
    </row>
    <row r="116" spans="1:8">
      <c r="A116" s="1" t="s">
        <v>4536</v>
      </c>
      <c r="B116" s="1" t="s">
        <v>4536</v>
      </c>
      <c r="C116" t="s">
        <v>4536</v>
      </c>
      <c r="D116" t="s">
        <v>6309</v>
      </c>
      <c r="E116" t="s">
        <v>104</v>
      </c>
      <c r="F116" s="14">
        <v>48055</v>
      </c>
      <c r="G116" s="14">
        <v>439493</v>
      </c>
      <c r="H116" s="1" t="s">
        <v>4536</v>
      </c>
    </row>
    <row r="117" spans="1:8">
      <c r="A117" s="1" t="s">
        <v>4404</v>
      </c>
      <c r="B117" s="1" t="s">
        <v>6203</v>
      </c>
      <c r="C117" t="s">
        <v>6310</v>
      </c>
      <c r="D117" t="s">
        <v>6309</v>
      </c>
      <c r="E117" t="s">
        <v>104</v>
      </c>
      <c r="F117" s="14">
        <v>48055</v>
      </c>
      <c r="G117" s="14">
        <v>439493</v>
      </c>
      <c r="H117" s="1" t="s">
        <v>6203</v>
      </c>
    </row>
    <row r="118" spans="1:8">
      <c r="A118" s="1" t="s">
        <v>4649</v>
      </c>
      <c r="B118" s="1" t="s">
        <v>4649</v>
      </c>
      <c r="C118" t="s">
        <v>4649</v>
      </c>
      <c r="D118" t="s">
        <v>6307</v>
      </c>
      <c r="E118" t="s">
        <v>104</v>
      </c>
      <c r="F118" s="14">
        <v>48357</v>
      </c>
      <c r="G118" s="14">
        <v>457640</v>
      </c>
      <c r="H118" s="1" t="s">
        <v>4649</v>
      </c>
    </row>
    <row r="119" spans="1:8">
      <c r="A119" s="1" t="s">
        <v>4395</v>
      </c>
      <c r="B119" s="1" t="s">
        <v>4395</v>
      </c>
      <c r="C119" t="s">
        <v>6383</v>
      </c>
      <c r="D119" t="s">
        <v>6308</v>
      </c>
      <c r="E119" t="s">
        <v>104</v>
      </c>
      <c r="F119" s="14">
        <v>50450</v>
      </c>
      <c r="G119" s="14">
        <v>473220</v>
      </c>
      <c r="H119" s="1" t="s">
        <v>4395</v>
      </c>
    </row>
    <row r="120" spans="1:8">
      <c r="A120" s="1" t="s">
        <v>4446</v>
      </c>
      <c r="B120" s="1" t="s">
        <v>6184</v>
      </c>
      <c r="C120" t="s">
        <v>6368</v>
      </c>
      <c r="D120" t="s">
        <v>6369</v>
      </c>
      <c r="E120" t="s">
        <v>104</v>
      </c>
      <c r="F120" s="14">
        <v>50860</v>
      </c>
      <c r="G120" s="14">
        <v>472440</v>
      </c>
      <c r="H120" s="1" t="s">
        <v>6184</v>
      </c>
    </row>
    <row r="121" spans="1:8">
      <c r="A121" s="1" t="s">
        <v>4005</v>
      </c>
      <c r="B121" s="1" t="s">
        <v>6212</v>
      </c>
      <c r="C121" t="s">
        <v>6368</v>
      </c>
      <c r="D121" t="s">
        <v>6369</v>
      </c>
      <c r="E121" t="s">
        <v>104</v>
      </c>
      <c r="F121" s="14">
        <v>50860</v>
      </c>
      <c r="G121" s="14">
        <v>472440</v>
      </c>
      <c r="H121" s="1" t="s">
        <v>6212</v>
      </c>
    </row>
    <row r="122" spans="1:8">
      <c r="A122" s="1" t="s">
        <v>6171</v>
      </c>
      <c r="B122" s="1" t="s">
        <v>6171</v>
      </c>
      <c r="C122" t="s">
        <v>6452</v>
      </c>
      <c r="D122" t="s">
        <v>6309</v>
      </c>
      <c r="E122" t="s">
        <v>104</v>
      </c>
      <c r="F122" s="14">
        <v>53698</v>
      </c>
      <c r="G122" s="14">
        <v>432965</v>
      </c>
      <c r="H122" s="1" t="s">
        <v>6171</v>
      </c>
    </row>
    <row r="123" spans="1:8">
      <c r="A123" s="1" t="s">
        <v>4015</v>
      </c>
      <c r="B123" s="1" t="s">
        <v>4015</v>
      </c>
      <c r="C123" t="s">
        <v>6435</v>
      </c>
      <c r="D123" t="s">
        <v>6436</v>
      </c>
      <c r="E123" t="s">
        <v>4016</v>
      </c>
      <c r="F123" s="14">
        <v>55670</v>
      </c>
      <c r="G123" s="14">
        <v>506330</v>
      </c>
      <c r="H123" s="1" t="s">
        <v>4015</v>
      </c>
    </row>
    <row r="124" spans="1:8">
      <c r="A124" s="1" t="s">
        <v>4508</v>
      </c>
      <c r="B124" s="1" t="s">
        <v>4508</v>
      </c>
      <c r="C124" t="s">
        <v>4508</v>
      </c>
      <c r="D124" t="s">
        <v>6414</v>
      </c>
      <c r="E124" t="s">
        <v>104</v>
      </c>
      <c r="F124" s="14">
        <v>58500</v>
      </c>
      <c r="G124" s="14">
        <v>453500</v>
      </c>
      <c r="H124" s="1" t="s">
        <v>4508</v>
      </c>
    </row>
    <row r="125" spans="1:8">
      <c r="A125" s="1" t="s">
        <v>4460</v>
      </c>
      <c r="B125" s="1" t="s">
        <v>6224</v>
      </c>
      <c r="C125" t="s">
        <v>4508</v>
      </c>
      <c r="D125" t="s">
        <v>6414</v>
      </c>
      <c r="E125" t="s">
        <v>104</v>
      </c>
      <c r="F125" s="14">
        <v>58500</v>
      </c>
      <c r="G125" s="14">
        <v>453500</v>
      </c>
      <c r="H125" s="1" t="s">
        <v>6224</v>
      </c>
    </row>
    <row r="126" spans="1:8">
      <c r="A126" s="1" t="s">
        <v>4397</v>
      </c>
      <c r="B126" s="1" t="s">
        <v>4397</v>
      </c>
      <c r="C126" t="s">
        <v>6321</v>
      </c>
      <c r="D126" t="s">
        <v>6308</v>
      </c>
      <c r="E126" t="s">
        <v>104</v>
      </c>
      <c r="F126" s="14">
        <v>60240</v>
      </c>
      <c r="G126" s="14">
        <v>472370</v>
      </c>
      <c r="H126" s="1" t="s">
        <v>4397</v>
      </c>
    </row>
    <row r="127" spans="1:8">
      <c r="A127" s="1" t="s">
        <v>37</v>
      </c>
      <c r="B127" s="1" t="s">
        <v>37</v>
      </c>
      <c r="C127" t="s">
        <v>6457</v>
      </c>
      <c r="D127" t="s">
        <v>6357</v>
      </c>
      <c r="E127" t="s">
        <v>104</v>
      </c>
      <c r="F127" s="14">
        <v>61750</v>
      </c>
      <c r="G127" s="14">
        <v>491190</v>
      </c>
      <c r="H127" s="1" t="s">
        <v>37</v>
      </c>
    </row>
    <row r="128" spans="1:8">
      <c r="A128" s="1" t="s">
        <v>4607</v>
      </c>
      <c r="B128" s="1" t="s">
        <v>6237</v>
      </c>
      <c r="C128" t="s">
        <v>6457</v>
      </c>
      <c r="D128" t="s">
        <v>6357</v>
      </c>
      <c r="E128" t="s">
        <v>104</v>
      </c>
      <c r="F128" s="14">
        <v>61750</v>
      </c>
      <c r="G128" s="14">
        <v>491190</v>
      </c>
      <c r="H128" s="1" t="s">
        <v>6237</v>
      </c>
    </row>
    <row r="129" spans="1:8">
      <c r="A129" s="1" t="s">
        <v>6160</v>
      </c>
      <c r="B129" s="1" t="s">
        <v>6160</v>
      </c>
      <c r="C129" t="s">
        <v>6447</v>
      </c>
      <c r="D129" t="s">
        <v>6448</v>
      </c>
      <c r="E129" t="s">
        <v>104</v>
      </c>
      <c r="F129" s="14">
        <v>63330</v>
      </c>
      <c r="G129" s="14">
        <v>478310</v>
      </c>
      <c r="H129" s="1" t="s">
        <v>6160</v>
      </c>
    </row>
    <row r="130" spans="1:8">
      <c r="A130" s="1" t="s">
        <v>2558</v>
      </c>
      <c r="B130" s="1" t="s">
        <v>2558</v>
      </c>
      <c r="C130" t="s">
        <v>6389</v>
      </c>
      <c r="D130" t="s">
        <v>6389</v>
      </c>
      <c r="E130" t="s">
        <v>6390</v>
      </c>
      <c r="F130" s="14">
        <v>64790</v>
      </c>
      <c r="G130" s="14">
        <v>498110</v>
      </c>
      <c r="H130" s="1" t="s">
        <v>2558</v>
      </c>
    </row>
    <row r="131" spans="1:8">
      <c r="A131" s="1" t="s">
        <v>4408</v>
      </c>
      <c r="B131" s="1" t="s">
        <v>4408</v>
      </c>
      <c r="C131" t="s">
        <v>6389</v>
      </c>
      <c r="D131" t="s">
        <v>6389</v>
      </c>
      <c r="E131" t="s">
        <v>6390</v>
      </c>
      <c r="F131" s="14">
        <v>64790</v>
      </c>
      <c r="G131" s="14">
        <v>498110</v>
      </c>
      <c r="H131" s="1" t="s">
        <v>4408</v>
      </c>
    </row>
    <row r="132" spans="1:8">
      <c r="A132" s="1" t="s">
        <v>4640</v>
      </c>
      <c r="B132" s="1" t="s">
        <v>6215</v>
      </c>
      <c r="C132" t="s">
        <v>6375</v>
      </c>
      <c r="D132" t="s">
        <v>6357</v>
      </c>
      <c r="E132" t="s">
        <v>104</v>
      </c>
      <c r="F132" s="14">
        <v>73600</v>
      </c>
      <c r="G132" s="14">
        <v>480790</v>
      </c>
      <c r="H132" s="1" t="s">
        <v>6215</v>
      </c>
    </row>
    <row r="133" spans="1:8">
      <c r="A133" s="1" t="s">
        <v>5770</v>
      </c>
      <c r="B133" s="1" t="s">
        <v>5770</v>
      </c>
      <c r="C133" t="s">
        <v>5770</v>
      </c>
      <c r="D133" t="s">
        <v>6461</v>
      </c>
      <c r="E133" t="s">
        <v>104</v>
      </c>
      <c r="F133" s="14">
        <v>74360</v>
      </c>
      <c r="G133" s="14">
        <v>486360</v>
      </c>
      <c r="H133" s="1" t="s">
        <v>5770</v>
      </c>
    </row>
    <row r="134" spans="1:8">
      <c r="A134" s="1" t="s">
        <v>109</v>
      </c>
      <c r="B134" s="1" t="s">
        <v>109</v>
      </c>
      <c r="C134" t="s">
        <v>6292</v>
      </c>
      <c r="D134" t="s">
        <v>6293</v>
      </c>
      <c r="E134" t="s">
        <v>3995</v>
      </c>
      <c r="F134" s="14">
        <v>81667</v>
      </c>
      <c r="G134" s="14">
        <v>497333</v>
      </c>
      <c r="H134" s="1" t="s">
        <v>109</v>
      </c>
    </row>
    <row r="135" spans="1:8">
      <c r="A135" s="1" t="s">
        <v>5772</v>
      </c>
      <c r="B135" s="1" t="s">
        <v>6234</v>
      </c>
      <c r="C135" t="s">
        <v>6449</v>
      </c>
      <c r="D135" t="s">
        <v>6293</v>
      </c>
      <c r="E135" t="s">
        <v>3995</v>
      </c>
      <c r="F135" s="14">
        <v>82470</v>
      </c>
      <c r="G135" s="14">
        <v>499920</v>
      </c>
      <c r="H135" s="1" t="s">
        <v>6234</v>
      </c>
    </row>
    <row r="136" spans="1:8">
      <c r="A136" s="1" t="s">
        <v>5074</v>
      </c>
      <c r="B136" s="1" t="s">
        <v>6235</v>
      </c>
      <c r="C136" t="s">
        <v>6453</v>
      </c>
      <c r="D136" t="s">
        <v>6293</v>
      </c>
      <c r="E136" t="s">
        <v>3995</v>
      </c>
      <c r="F136" s="14">
        <v>82470</v>
      </c>
      <c r="G136" s="14">
        <v>499920</v>
      </c>
      <c r="H136" s="1" t="s">
        <v>6235</v>
      </c>
    </row>
    <row r="137" spans="1:8">
      <c r="A137" s="1" t="s">
        <v>5094</v>
      </c>
      <c r="B137" s="1" t="s">
        <v>6279</v>
      </c>
      <c r="C137" t="s">
        <v>6498</v>
      </c>
      <c r="D137" t="s">
        <v>6293</v>
      </c>
      <c r="E137" t="s">
        <v>3995</v>
      </c>
      <c r="F137" s="14">
        <v>83570</v>
      </c>
      <c r="G137" s="14">
        <v>496290</v>
      </c>
      <c r="H137" s="1" t="s">
        <v>6279</v>
      </c>
    </row>
    <row r="138" spans="1:8">
      <c r="A138" s="1" t="s">
        <v>6158</v>
      </c>
      <c r="B138" s="1" t="s">
        <v>6158</v>
      </c>
      <c r="C138" t="s">
        <v>6158</v>
      </c>
      <c r="D138" t="s">
        <v>6393</v>
      </c>
      <c r="E138" t="s">
        <v>6394</v>
      </c>
      <c r="F138" s="14">
        <v>84100</v>
      </c>
      <c r="G138" s="14">
        <v>468220</v>
      </c>
      <c r="H138" s="1" t="s">
        <v>6158</v>
      </c>
    </row>
    <row r="139" spans="1:8">
      <c r="A139" s="1" t="s">
        <v>107</v>
      </c>
      <c r="B139" s="1" t="s">
        <v>107</v>
      </c>
      <c r="C139" t="s">
        <v>6333</v>
      </c>
      <c r="D139" t="s">
        <v>6334</v>
      </c>
      <c r="E139" t="s">
        <v>3995</v>
      </c>
      <c r="F139" s="14">
        <v>86160</v>
      </c>
      <c r="G139" s="14">
        <v>516330</v>
      </c>
      <c r="H139" s="1" t="s">
        <v>107</v>
      </c>
    </row>
    <row r="140" spans="1:8">
      <c r="A140" s="1" t="s">
        <v>65</v>
      </c>
      <c r="B140" s="1" t="s">
        <v>6226</v>
      </c>
      <c r="C140" t="s">
        <v>6417</v>
      </c>
      <c r="D140" t="s">
        <v>6418</v>
      </c>
      <c r="E140" t="s">
        <v>3995</v>
      </c>
      <c r="F140" s="14">
        <v>86330</v>
      </c>
      <c r="G140" s="14">
        <v>486660</v>
      </c>
      <c r="H140" s="1" t="s">
        <v>6226</v>
      </c>
    </row>
    <row r="141" spans="1:8">
      <c r="A141" s="1" t="s">
        <v>5813</v>
      </c>
      <c r="B141" s="1" t="s">
        <v>5813</v>
      </c>
      <c r="C141" t="s">
        <v>5813</v>
      </c>
      <c r="D141" t="s">
        <v>6480</v>
      </c>
      <c r="E141" t="s">
        <v>6394</v>
      </c>
      <c r="F141" s="14">
        <v>86330</v>
      </c>
      <c r="G141" s="14">
        <v>476960</v>
      </c>
      <c r="H141" s="1" t="s">
        <v>5813</v>
      </c>
    </row>
    <row r="142" spans="1:8">
      <c r="A142" s="1" t="s">
        <v>6164</v>
      </c>
      <c r="B142" s="1" t="s">
        <v>6164</v>
      </c>
      <c r="C142" t="s">
        <v>5813</v>
      </c>
      <c r="D142" t="s">
        <v>6480</v>
      </c>
      <c r="E142" t="s">
        <v>6394</v>
      </c>
      <c r="F142" s="14">
        <v>86330</v>
      </c>
      <c r="G142" s="14">
        <v>476960</v>
      </c>
      <c r="H142" s="1" t="s">
        <v>6164</v>
      </c>
    </row>
    <row r="143" spans="1:8">
      <c r="A143" s="1" t="s">
        <v>4046</v>
      </c>
      <c r="B143" s="1" t="s">
        <v>6239</v>
      </c>
      <c r="C143" t="s">
        <v>6459</v>
      </c>
      <c r="D143" t="s">
        <v>6416</v>
      </c>
      <c r="E143" t="s">
        <v>11</v>
      </c>
      <c r="F143" s="14">
        <v>89830</v>
      </c>
      <c r="G143" s="14">
        <v>452460</v>
      </c>
      <c r="H143" s="1" t="s">
        <v>6239</v>
      </c>
    </row>
    <row r="144" spans="1:8">
      <c r="A144" s="1" t="s">
        <v>5689</v>
      </c>
      <c r="B144" s="1" t="s">
        <v>5689</v>
      </c>
      <c r="C144" t="s">
        <v>5689</v>
      </c>
      <c r="D144" t="s">
        <v>6418</v>
      </c>
      <c r="E144" t="s">
        <v>3995</v>
      </c>
      <c r="F144" s="14">
        <v>91750</v>
      </c>
      <c r="G144" s="14">
        <v>476770</v>
      </c>
      <c r="H144" s="1" t="s">
        <v>5689</v>
      </c>
    </row>
    <row r="145" spans="1:8">
      <c r="A145" s="1" t="s">
        <v>4037</v>
      </c>
      <c r="B145" s="1" t="s">
        <v>6228</v>
      </c>
      <c r="C145" t="s">
        <v>5689</v>
      </c>
      <c r="D145" t="s">
        <v>6418</v>
      </c>
      <c r="E145" t="s">
        <v>3995</v>
      </c>
      <c r="F145" s="14">
        <v>91750</v>
      </c>
      <c r="G145" s="14">
        <v>476770</v>
      </c>
      <c r="H145" s="1" t="s">
        <v>6228</v>
      </c>
    </row>
    <row r="146" spans="1:8">
      <c r="A146" s="1" t="s">
        <v>4545</v>
      </c>
      <c r="B146" s="1" t="s">
        <v>4545</v>
      </c>
      <c r="C146" t="s">
        <v>4545</v>
      </c>
      <c r="D146" t="s">
        <v>6416</v>
      </c>
      <c r="E146" t="s">
        <v>11</v>
      </c>
      <c r="F146" s="14">
        <v>91900</v>
      </c>
      <c r="G146" s="14">
        <v>454640</v>
      </c>
      <c r="H146" s="1" t="s">
        <v>4545</v>
      </c>
    </row>
    <row r="147" spans="1:8">
      <c r="A147" s="1" t="s">
        <v>77</v>
      </c>
      <c r="B147" s="1" t="s">
        <v>77</v>
      </c>
      <c r="C147" t="s">
        <v>77</v>
      </c>
      <c r="D147" t="s">
        <v>6416</v>
      </c>
      <c r="E147" t="s">
        <v>11</v>
      </c>
      <c r="F147" s="14">
        <v>91900</v>
      </c>
      <c r="G147" s="14">
        <v>454640</v>
      </c>
      <c r="H147" s="1" t="s">
        <v>77</v>
      </c>
    </row>
    <row r="148" spans="1:8">
      <c r="A148" s="1" t="s">
        <v>5771</v>
      </c>
      <c r="B148" s="1" t="s">
        <v>5771</v>
      </c>
      <c r="C148" t="s">
        <v>6489</v>
      </c>
      <c r="D148" t="s">
        <v>6490</v>
      </c>
      <c r="E148" t="s">
        <v>6394</v>
      </c>
      <c r="F148" s="14">
        <v>93790</v>
      </c>
      <c r="G148" s="14">
        <v>474230</v>
      </c>
      <c r="H148" s="1" t="s">
        <v>5771</v>
      </c>
    </row>
    <row r="149" spans="1:8">
      <c r="A149" s="1" t="s">
        <v>4291</v>
      </c>
      <c r="B149" s="1" t="s">
        <v>6231</v>
      </c>
      <c r="C149" t="s">
        <v>6444</v>
      </c>
      <c r="D149" t="s">
        <v>6416</v>
      </c>
      <c r="E149" t="s">
        <v>11</v>
      </c>
      <c r="F149" s="14">
        <v>95030</v>
      </c>
      <c r="G149" s="14">
        <v>453140</v>
      </c>
      <c r="H149" s="1" t="s">
        <v>6231</v>
      </c>
    </row>
    <row r="150" spans="1:8">
      <c r="A150" s="1" t="s">
        <v>4181</v>
      </c>
      <c r="B150" s="1" t="s">
        <v>4181</v>
      </c>
      <c r="C150" t="s">
        <v>6304</v>
      </c>
      <c r="D150" t="s">
        <v>6291</v>
      </c>
      <c r="E150" t="s">
        <v>3995</v>
      </c>
      <c r="F150" s="14">
        <v>97940</v>
      </c>
      <c r="G150" s="14">
        <v>499820</v>
      </c>
      <c r="H150" s="1" t="s">
        <v>4181</v>
      </c>
    </row>
    <row r="151" spans="1:8">
      <c r="A151" s="1" t="s">
        <v>4251</v>
      </c>
      <c r="B151" s="1" t="s">
        <v>6236</v>
      </c>
      <c r="C151" t="s">
        <v>6454</v>
      </c>
      <c r="D151" t="s">
        <v>6455</v>
      </c>
      <c r="E151" t="s">
        <v>3995</v>
      </c>
      <c r="F151" s="14">
        <v>98330</v>
      </c>
      <c r="G151" s="14">
        <v>526710</v>
      </c>
      <c r="H151" s="1" t="s">
        <v>6236</v>
      </c>
    </row>
    <row r="152" spans="1:8">
      <c r="A152" s="1" t="s">
        <v>5668</v>
      </c>
      <c r="B152" s="1" t="s">
        <v>5668</v>
      </c>
      <c r="C152" t="s">
        <v>6499</v>
      </c>
      <c r="D152" t="s">
        <v>6291</v>
      </c>
      <c r="E152" t="s">
        <v>3995</v>
      </c>
      <c r="F152" s="14">
        <v>99350</v>
      </c>
      <c r="G152" s="14">
        <v>497910</v>
      </c>
      <c r="H152" s="1" t="s">
        <v>5668</v>
      </c>
    </row>
    <row r="153" spans="1:8">
      <c r="A153" s="1" t="s">
        <v>57</v>
      </c>
      <c r="B153" s="1" t="s">
        <v>6225</v>
      </c>
      <c r="C153" t="s">
        <v>6415</v>
      </c>
      <c r="D153" t="s">
        <v>6416</v>
      </c>
      <c r="E153" t="s">
        <v>11</v>
      </c>
      <c r="F153" s="14">
        <v>100240</v>
      </c>
      <c r="G153" s="14">
        <v>451330</v>
      </c>
      <c r="H153" s="1" t="s">
        <v>6225</v>
      </c>
    </row>
    <row r="154" spans="1:8">
      <c r="A154" s="1" t="s">
        <v>5673</v>
      </c>
      <c r="B154" s="1" t="s">
        <v>5673</v>
      </c>
      <c r="C154" t="s">
        <v>5673</v>
      </c>
      <c r="D154" t="s">
        <v>6291</v>
      </c>
      <c r="E154" t="s">
        <v>3995</v>
      </c>
      <c r="F154" s="14">
        <v>104000</v>
      </c>
      <c r="G154" s="14">
        <v>499720</v>
      </c>
      <c r="H154" s="1" t="s">
        <v>5673</v>
      </c>
    </row>
    <row r="155" spans="1:8">
      <c r="A155" s="1" t="s">
        <v>2838</v>
      </c>
      <c r="B155" s="1" t="s">
        <v>2838</v>
      </c>
      <c r="C155" t="s">
        <v>2838</v>
      </c>
      <c r="D155" t="s">
        <v>6329</v>
      </c>
      <c r="E155" t="s">
        <v>11</v>
      </c>
      <c r="F155" s="14">
        <v>104010</v>
      </c>
      <c r="G155" s="14">
        <v>437220</v>
      </c>
      <c r="H155" s="1" t="s">
        <v>2838</v>
      </c>
    </row>
    <row r="156" spans="1:8">
      <c r="A156" s="1" t="s">
        <v>5791</v>
      </c>
      <c r="B156" s="1" t="s">
        <v>5791</v>
      </c>
      <c r="C156" t="s">
        <v>6467</v>
      </c>
      <c r="D156" t="s">
        <v>6291</v>
      </c>
      <c r="E156" t="s">
        <v>3995</v>
      </c>
      <c r="F156" s="14">
        <v>104860</v>
      </c>
      <c r="G156" s="14">
        <v>488470</v>
      </c>
      <c r="H156" s="1" t="s">
        <v>5791</v>
      </c>
    </row>
    <row r="157" spans="1:8">
      <c r="A157" s="1" t="s">
        <v>5792</v>
      </c>
      <c r="B157" s="1" t="s">
        <v>5792</v>
      </c>
      <c r="C157" t="s">
        <v>5792</v>
      </c>
      <c r="D157" t="s">
        <v>6291</v>
      </c>
      <c r="E157" t="s">
        <v>3995</v>
      </c>
      <c r="F157" s="14">
        <v>108790</v>
      </c>
      <c r="G157" s="14">
        <v>486310</v>
      </c>
      <c r="H157" s="1" t="s">
        <v>5792</v>
      </c>
    </row>
    <row r="158" spans="1:8">
      <c r="A158" s="1" t="s">
        <v>5782</v>
      </c>
      <c r="B158" s="1" t="s">
        <v>5782</v>
      </c>
      <c r="C158" t="s">
        <v>5782</v>
      </c>
      <c r="D158" t="s">
        <v>6291</v>
      </c>
      <c r="E158" t="s">
        <v>3995</v>
      </c>
      <c r="F158" s="14">
        <v>108910</v>
      </c>
      <c r="G158" s="14">
        <v>498980</v>
      </c>
      <c r="H158" s="1" t="s">
        <v>5782</v>
      </c>
    </row>
    <row r="159" spans="1:8">
      <c r="A159" s="1" t="s">
        <v>2812</v>
      </c>
      <c r="B159" s="1" t="s">
        <v>2812</v>
      </c>
      <c r="C159" t="s">
        <v>2812</v>
      </c>
      <c r="D159" t="s">
        <v>6324</v>
      </c>
      <c r="E159" t="s">
        <v>11</v>
      </c>
      <c r="F159" s="14">
        <v>110560</v>
      </c>
      <c r="G159" s="14">
        <v>445960</v>
      </c>
      <c r="H159" s="1" t="s">
        <v>2812</v>
      </c>
    </row>
    <row r="160" spans="1:8">
      <c r="A160" s="1" t="s">
        <v>2762</v>
      </c>
      <c r="B160" s="1" t="s">
        <v>2762</v>
      </c>
      <c r="C160" t="s">
        <v>2762</v>
      </c>
      <c r="D160" t="s">
        <v>6324</v>
      </c>
      <c r="E160" t="s">
        <v>11</v>
      </c>
      <c r="F160" s="14">
        <v>113410</v>
      </c>
      <c r="G160" s="14">
        <v>444940</v>
      </c>
      <c r="H160" s="1" t="s">
        <v>2762</v>
      </c>
    </row>
    <row r="161" spans="1:8">
      <c r="A161" s="1" t="s">
        <v>340</v>
      </c>
      <c r="B161" s="1" t="s">
        <v>6205</v>
      </c>
      <c r="C161" t="s">
        <v>6205</v>
      </c>
      <c r="D161" t="s">
        <v>6324</v>
      </c>
      <c r="E161" t="s">
        <v>11</v>
      </c>
      <c r="F161" s="14">
        <v>113410</v>
      </c>
      <c r="G161" s="14">
        <v>444940</v>
      </c>
      <c r="H161" s="1" t="s">
        <v>6205</v>
      </c>
    </row>
    <row r="162" spans="1:8">
      <c r="A162" s="1" t="s">
        <v>4538</v>
      </c>
      <c r="B162" s="1" t="s">
        <v>4538</v>
      </c>
      <c r="C162" t="s">
        <v>6205</v>
      </c>
      <c r="D162" t="s">
        <v>6324</v>
      </c>
      <c r="E162" t="s">
        <v>11</v>
      </c>
      <c r="F162" s="14">
        <v>113410</v>
      </c>
      <c r="G162" s="14">
        <v>444940</v>
      </c>
      <c r="H162" s="1" t="s">
        <v>4538</v>
      </c>
    </row>
    <row r="163" spans="1:8">
      <c r="A163" s="1" t="s">
        <v>6073</v>
      </c>
      <c r="B163" s="1" t="s">
        <v>6073</v>
      </c>
      <c r="C163" t="s">
        <v>6073</v>
      </c>
      <c r="D163" t="s">
        <v>6325</v>
      </c>
      <c r="E163" t="s">
        <v>11</v>
      </c>
      <c r="F163" s="14">
        <v>113410</v>
      </c>
      <c r="G163" s="14">
        <v>444940</v>
      </c>
      <c r="H163" s="1" t="s">
        <v>6073</v>
      </c>
    </row>
    <row r="164" spans="1:8">
      <c r="A164" s="1" t="s">
        <v>2897</v>
      </c>
      <c r="B164" s="1" t="s">
        <v>2897</v>
      </c>
      <c r="C164" t="s">
        <v>2897</v>
      </c>
      <c r="D164" t="s">
        <v>6326</v>
      </c>
      <c r="E164" t="s">
        <v>11</v>
      </c>
      <c r="F164" s="14">
        <v>113500</v>
      </c>
      <c r="G164" s="14">
        <v>464970</v>
      </c>
      <c r="H164" s="1" t="s">
        <v>2897</v>
      </c>
    </row>
    <row r="165" spans="1:8">
      <c r="A165" s="1" t="s">
        <v>2942</v>
      </c>
      <c r="B165" s="1" t="s">
        <v>2942</v>
      </c>
      <c r="C165" t="s">
        <v>6472</v>
      </c>
      <c r="D165" t="s">
        <v>6473</v>
      </c>
      <c r="E165" t="s">
        <v>11</v>
      </c>
      <c r="F165" s="14">
        <v>118760</v>
      </c>
      <c r="G165" s="14">
        <v>454060</v>
      </c>
      <c r="H165" s="1" t="s">
        <v>2942</v>
      </c>
    </row>
    <row r="166" spans="1:8">
      <c r="A166" s="1" t="s">
        <v>2938</v>
      </c>
      <c r="B166" s="1" t="s">
        <v>2938</v>
      </c>
      <c r="C166" t="s">
        <v>6472</v>
      </c>
      <c r="D166" t="s">
        <v>6473</v>
      </c>
      <c r="E166" t="s">
        <v>11</v>
      </c>
      <c r="F166" s="14">
        <v>118760</v>
      </c>
      <c r="G166" s="14">
        <v>454060</v>
      </c>
      <c r="H166" s="1" t="s">
        <v>2938</v>
      </c>
    </row>
    <row r="167" spans="1:8">
      <c r="A167" s="1" t="s">
        <v>2934</v>
      </c>
      <c r="B167" s="1" t="s">
        <v>2934</v>
      </c>
      <c r="C167" t="s">
        <v>6472</v>
      </c>
      <c r="D167" t="s">
        <v>6473</v>
      </c>
      <c r="E167" t="s">
        <v>11</v>
      </c>
      <c r="F167" s="14">
        <v>118760</v>
      </c>
      <c r="G167" s="14">
        <v>454060</v>
      </c>
      <c r="H167" s="1" t="s">
        <v>2934</v>
      </c>
    </row>
    <row r="168" spans="1:8">
      <c r="A168" s="1" t="s">
        <v>2888</v>
      </c>
      <c r="B168" s="1" t="s">
        <v>2888</v>
      </c>
      <c r="C168" t="s">
        <v>2888</v>
      </c>
      <c r="D168" t="s">
        <v>6324</v>
      </c>
      <c r="E168" t="s">
        <v>11</v>
      </c>
      <c r="F168" s="14">
        <v>118840</v>
      </c>
      <c r="G168" s="14">
        <v>442870</v>
      </c>
      <c r="H168" s="1" t="s">
        <v>2888</v>
      </c>
    </row>
    <row r="169" spans="1:8">
      <c r="A169" s="1" t="s">
        <v>5620</v>
      </c>
      <c r="B169" s="1" t="s">
        <v>5620</v>
      </c>
      <c r="C169" t="s">
        <v>5620</v>
      </c>
      <c r="D169" t="s">
        <v>6291</v>
      </c>
      <c r="E169" t="s">
        <v>3995</v>
      </c>
      <c r="F169" s="14">
        <v>120970</v>
      </c>
      <c r="G169" s="14">
        <v>490150</v>
      </c>
      <c r="H169" s="1" t="s">
        <v>5620</v>
      </c>
    </row>
    <row r="170" spans="1:8">
      <c r="A170" s="1" t="s">
        <v>208</v>
      </c>
      <c r="B170" s="1" t="s">
        <v>6250</v>
      </c>
      <c r="C170" t="s">
        <v>5620</v>
      </c>
      <c r="D170" t="s">
        <v>6291</v>
      </c>
      <c r="E170" t="s">
        <v>3995</v>
      </c>
      <c r="F170" s="14">
        <v>120970</v>
      </c>
      <c r="G170" s="14">
        <v>490150</v>
      </c>
      <c r="H170" s="1" t="s">
        <v>6250</v>
      </c>
    </row>
    <row r="171" spans="1:8">
      <c r="A171" s="1" t="s">
        <v>6174</v>
      </c>
      <c r="B171" s="1" t="s">
        <v>6174</v>
      </c>
      <c r="C171" t="s">
        <v>6174</v>
      </c>
      <c r="D171" t="s">
        <v>6295</v>
      </c>
      <c r="E171" t="s">
        <v>11</v>
      </c>
      <c r="F171" s="14">
        <v>121077</v>
      </c>
      <c r="G171" s="14">
        <v>424200</v>
      </c>
      <c r="H171" s="1" t="s">
        <v>6174</v>
      </c>
    </row>
    <row r="172" spans="1:8">
      <c r="A172" s="1" t="s">
        <v>4616</v>
      </c>
      <c r="B172" s="1" t="s">
        <v>4616</v>
      </c>
      <c r="C172" t="s">
        <v>4616</v>
      </c>
      <c r="D172" t="s">
        <v>6329</v>
      </c>
      <c r="E172" t="s">
        <v>11</v>
      </c>
      <c r="F172" s="14">
        <v>121660</v>
      </c>
      <c r="G172" s="14">
        <v>434900</v>
      </c>
      <c r="H172" s="1" t="s">
        <v>4616</v>
      </c>
    </row>
    <row r="173" spans="1:8">
      <c r="A173" s="1" t="s">
        <v>1225</v>
      </c>
      <c r="B173" s="1" t="s">
        <v>1225</v>
      </c>
      <c r="C173" t="s">
        <v>6370</v>
      </c>
      <c r="D173" t="s">
        <v>6371</v>
      </c>
      <c r="E173" t="s">
        <v>11</v>
      </c>
      <c r="F173" s="14">
        <v>122340</v>
      </c>
      <c r="G173" s="14">
        <v>434540</v>
      </c>
      <c r="H173" s="1" t="s">
        <v>1225</v>
      </c>
    </row>
    <row r="174" spans="1:8">
      <c r="A174" s="1" t="s">
        <v>4001</v>
      </c>
      <c r="B174" s="1" t="s">
        <v>6273</v>
      </c>
      <c r="C174" t="s">
        <v>6493</v>
      </c>
      <c r="D174" t="s">
        <v>6473</v>
      </c>
      <c r="E174" t="s">
        <v>11</v>
      </c>
      <c r="F174" s="14">
        <v>123155</v>
      </c>
      <c r="G174" s="14">
        <v>454408</v>
      </c>
      <c r="H174" s="1" t="s">
        <v>6273</v>
      </c>
    </row>
    <row r="175" spans="1:8">
      <c r="A175" s="1" t="s">
        <v>4621</v>
      </c>
      <c r="B175" s="1" t="s">
        <v>4621</v>
      </c>
      <c r="C175" t="s">
        <v>6493</v>
      </c>
      <c r="D175" t="s">
        <v>6473</v>
      </c>
      <c r="E175" t="s">
        <v>11</v>
      </c>
      <c r="F175" s="14">
        <v>123155</v>
      </c>
      <c r="G175" s="14">
        <v>454408</v>
      </c>
      <c r="H175" s="1" t="s">
        <v>4621</v>
      </c>
    </row>
    <row r="176" spans="1:8">
      <c r="A176" s="1" t="s">
        <v>4492</v>
      </c>
      <c r="B176" s="1" t="s">
        <v>4492</v>
      </c>
      <c r="C176" t="s">
        <v>6493</v>
      </c>
      <c r="D176" t="s">
        <v>6473</v>
      </c>
      <c r="E176" t="s">
        <v>11</v>
      </c>
      <c r="F176" s="14">
        <v>123155</v>
      </c>
      <c r="G176" s="14">
        <v>454408</v>
      </c>
      <c r="H176" s="1" t="s">
        <v>4492</v>
      </c>
    </row>
    <row r="177" spans="1:8">
      <c r="A177" s="1" t="s">
        <v>6172</v>
      </c>
      <c r="B177" s="1" t="s">
        <v>6172</v>
      </c>
      <c r="C177" t="s">
        <v>4646</v>
      </c>
      <c r="D177" t="s">
        <v>6295</v>
      </c>
      <c r="E177" t="s">
        <v>11</v>
      </c>
      <c r="F177" s="14">
        <v>124964</v>
      </c>
      <c r="G177" s="14">
        <v>419028</v>
      </c>
      <c r="H177" s="1" t="s">
        <v>6172</v>
      </c>
    </row>
    <row r="178" spans="1:8">
      <c r="A178" s="1" t="s">
        <v>4646</v>
      </c>
      <c r="B178" s="1" t="s">
        <v>4646</v>
      </c>
      <c r="C178" t="s">
        <v>4646</v>
      </c>
      <c r="D178" t="s">
        <v>6295</v>
      </c>
      <c r="E178" t="s">
        <v>11</v>
      </c>
      <c r="F178" s="14">
        <v>124964</v>
      </c>
      <c r="G178" s="14">
        <v>419028</v>
      </c>
      <c r="H178" s="1" t="s">
        <v>4646</v>
      </c>
    </row>
    <row r="179" spans="1:8">
      <c r="A179" s="1" t="s">
        <v>1218</v>
      </c>
      <c r="B179" s="1" t="s">
        <v>1218</v>
      </c>
      <c r="C179" t="s">
        <v>4646</v>
      </c>
      <c r="D179" t="s">
        <v>6295</v>
      </c>
      <c r="E179" t="s">
        <v>11</v>
      </c>
      <c r="F179" s="14">
        <v>124964</v>
      </c>
      <c r="G179" s="14">
        <v>419028</v>
      </c>
      <c r="H179" s="1" t="s">
        <v>1218</v>
      </c>
    </row>
    <row r="180" spans="1:8">
      <c r="A180" s="1" t="s">
        <v>5806</v>
      </c>
      <c r="B180" s="1" t="s">
        <v>6252</v>
      </c>
      <c r="C180" t="s">
        <v>4646</v>
      </c>
      <c r="D180" t="s">
        <v>6295</v>
      </c>
      <c r="E180" t="s">
        <v>11</v>
      </c>
      <c r="F180" s="14">
        <v>124964</v>
      </c>
      <c r="G180" s="14">
        <v>419028</v>
      </c>
      <c r="H180" s="1" t="s">
        <v>6252</v>
      </c>
    </row>
    <row r="181" spans="1:8">
      <c r="A181" s="1" t="s">
        <v>2787</v>
      </c>
      <c r="B181" s="1" t="s">
        <v>2787</v>
      </c>
      <c r="C181" t="s">
        <v>2787</v>
      </c>
      <c r="D181" t="s">
        <v>6295</v>
      </c>
      <c r="E181" t="s">
        <v>11</v>
      </c>
      <c r="F181" s="14">
        <v>127670</v>
      </c>
      <c r="G181" s="14">
        <v>422920</v>
      </c>
      <c r="H181" s="1" t="s">
        <v>2787</v>
      </c>
    </row>
    <row r="182" spans="1:8">
      <c r="A182" s="1" t="s">
        <v>5789</v>
      </c>
      <c r="B182" s="1" t="s">
        <v>5789</v>
      </c>
      <c r="C182" t="s">
        <v>5789</v>
      </c>
      <c r="D182" t="s">
        <v>6291</v>
      </c>
      <c r="E182" t="s">
        <v>3995</v>
      </c>
      <c r="F182" s="14">
        <v>128670</v>
      </c>
      <c r="G182" s="14">
        <v>485830</v>
      </c>
      <c r="H182" s="1" t="s">
        <v>5789</v>
      </c>
    </row>
    <row r="183" spans="1:8">
      <c r="A183" s="1" t="s">
        <v>4648</v>
      </c>
      <c r="B183" s="1" t="s">
        <v>6201</v>
      </c>
      <c r="C183" t="s">
        <v>6294</v>
      </c>
      <c r="D183" t="s">
        <v>6295</v>
      </c>
      <c r="E183" t="s">
        <v>11</v>
      </c>
      <c r="F183" s="14">
        <v>131050</v>
      </c>
      <c r="G183" s="14">
        <v>417350</v>
      </c>
      <c r="H183" s="1" t="s">
        <v>6201</v>
      </c>
    </row>
    <row r="184" spans="1:8">
      <c r="A184" s="1" t="s">
        <v>4491</v>
      </c>
      <c r="B184" s="1" t="s">
        <v>4491</v>
      </c>
      <c r="C184" t="s">
        <v>6474</v>
      </c>
      <c r="D184" t="s">
        <v>6475</v>
      </c>
      <c r="E184" t="s">
        <v>11</v>
      </c>
      <c r="F184" s="14">
        <v>133615</v>
      </c>
      <c r="G184" s="14">
        <v>381157</v>
      </c>
      <c r="H184" s="1" t="s">
        <v>4491</v>
      </c>
    </row>
    <row r="185" spans="1:8">
      <c r="A185" s="1" t="s">
        <v>2765</v>
      </c>
      <c r="B185" s="1" t="s">
        <v>6202</v>
      </c>
      <c r="C185" t="s">
        <v>6298</v>
      </c>
      <c r="D185" t="s">
        <v>6299</v>
      </c>
      <c r="E185" t="s">
        <v>11</v>
      </c>
      <c r="F185" s="14">
        <v>134010</v>
      </c>
      <c r="G185" s="14">
        <v>457680</v>
      </c>
      <c r="H185" s="1" t="s">
        <v>6202</v>
      </c>
    </row>
    <row r="186" spans="1:8">
      <c r="A186" s="1" t="s">
        <v>2761</v>
      </c>
      <c r="B186" s="1" t="s">
        <v>2761</v>
      </c>
      <c r="C186" t="s">
        <v>2761</v>
      </c>
      <c r="D186" t="s">
        <v>6299</v>
      </c>
      <c r="E186" t="s">
        <v>11</v>
      </c>
      <c r="F186" s="14">
        <v>135760</v>
      </c>
      <c r="G186" s="14">
        <v>461280</v>
      </c>
      <c r="H186" s="1" t="s">
        <v>2761</v>
      </c>
    </row>
    <row r="187" spans="1:8">
      <c r="A187" s="1" t="s">
        <v>5092</v>
      </c>
      <c r="B187" s="1" t="s">
        <v>5092</v>
      </c>
      <c r="C187" t="s">
        <v>6458</v>
      </c>
      <c r="D187" t="s">
        <v>6295</v>
      </c>
      <c r="E187" t="s">
        <v>11</v>
      </c>
      <c r="F187" s="14">
        <v>138220</v>
      </c>
      <c r="G187" s="14">
        <v>414930</v>
      </c>
      <c r="H187" s="1" t="s">
        <v>5092</v>
      </c>
    </row>
    <row r="188" spans="1:8">
      <c r="A188" s="1" t="s">
        <v>4438</v>
      </c>
      <c r="B188" s="1" t="s">
        <v>4438</v>
      </c>
      <c r="C188" t="s">
        <v>6458</v>
      </c>
      <c r="D188" t="s">
        <v>6295</v>
      </c>
      <c r="E188" t="s">
        <v>11</v>
      </c>
      <c r="F188" s="14">
        <v>138220</v>
      </c>
      <c r="G188" s="14">
        <v>414930</v>
      </c>
      <c r="H188" s="1" t="s">
        <v>4438</v>
      </c>
    </row>
    <row r="189" spans="1:8">
      <c r="A189" s="1" t="s">
        <v>5727</v>
      </c>
      <c r="B189" s="1" t="s">
        <v>5727</v>
      </c>
      <c r="C189" t="s">
        <v>5727</v>
      </c>
      <c r="D189" t="s">
        <v>6427</v>
      </c>
      <c r="E189" t="s">
        <v>6288</v>
      </c>
      <c r="F189" s="14">
        <v>139640</v>
      </c>
      <c r="G189" s="14">
        <v>480360</v>
      </c>
      <c r="H189" s="1" t="s">
        <v>5727</v>
      </c>
    </row>
    <row r="190" spans="1:8">
      <c r="A190" s="1" t="s">
        <v>5739</v>
      </c>
      <c r="B190" s="1" t="s">
        <v>5739</v>
      </c>
      <c r="C190" t="s">
        <v>6426</v>
      </c>
      <c r="D190" t="s">
        <v>6427</v>
      </c>
      <c r="E190" t="s">
        <v>6288</v>
      </c>
      <c r="F190" s="14">
        <v>141990</v>
      </c>
      <c r="G190" s="14">
        <v>480970</v>
      </c>
      <c r="H190" s="1" t="s">
        <v>5739</v>
      </c>
    </row>
    <row r="191" spans="1:8">
      <c r="A191" s="1" t="s">
        <v>4601</v>
      </c>
      <c r="B191" s="1" t="s">
        <v>4601</v>
      </c>
      <c r="C191" t="s">
        <v>4601</v>
      </c>
      <c r="D191" t="s">
        <v>6460</v>
      </c>
      <c r="E191" t="s">
        <v>11</v>
      </c>
      <c r="F191" s="14">
        <v>142681</v>
      </c>
      <c r="G191" s="14">
        <v>408518</v>
      </c>
      <c r="H191" s="1" t="s">
        <v>4601</v>
      </c>
    </row>
    <row r="192" spans="1:8">
      <c r="A192" s="1" t="s">
        <v>4039</v>
      </c>
      <c r="B192" s="1" t="s">
        <v>6240</v>
      </c>
      <c r="C192" t="s">
        <v>4601</v>
      </c>
      <c r="D192" t="s">
        <v>6460</v>
      </c>
      <c r="E192" t="s">
        <v>11</v>
      </c>
      <c r="F192" s="14">
        <v>142681</v>
      </c>
      <c r="G192" s="14">
        <v>408518</v>
      </c>
      <c r="H192" s="1" t="s">
        <v>6240</v>
      </c>
    </row>
    <row r="193" spans="1:8">
      <c r="A193" s="1" t="s">
        <v>5642</v>
      </c>
      <c r="B193" s="1" t="s">
        <v>5642</v>
      </c>
      <c r="C193" t="s">
        <v>5642</v>
      </c>
      <c r="D193" t="s">
        <v>6287</v>
      </c>
      <c r="E193" t="s">
        <v>6288</v>
      </c>
      <c r="F193" s="14">
        <v>144560</v>
      </c>
      <c r="G193" s="14">
        <v>475790</v>
      </c>
      <c r="H193" s="1" t="s">
        <v>5642</v>
      </c>
    </row>
    <row r="194" spans="1:8">
      <c r="A194" s="1" t="s">
        <v>6050</v>
      </c>
      <c r="B194" s="1" t="s">
        <v>6200</v>
      </c>
      <c r="C194" t="s">
        <v>5642</v>
      </c>
      <c r="D194" t="s">
        <v>6287</v>
      </c>
      <c r="E194" t="s">
        <v>6288</v>
      </c>
      <c r="F194" s="14">
        <v>144560</v>
      </c>
      <c r="G194" s="14">
        <v>475790</v>
      </c>
      <c r="H194" s="1" t="s">
        <v>6200</v>
      </c>
    </row>
    <row r="195" spans="1:8">
      <c r="A195" s="1" t="s">
        <v>5613</v>
      </c>
      <c r="B195" s="1" t="s">
        <v>5613</v>
      </c>
      <c r="C195" t="s">
        <v>5613</v>
      </c>
      <c r="D195" t="s">
        <v>6428</v>
      </c>
      <c r="E195" t="s">
        <v>6429</v>
      </c>
      <c r="F195" s="14">
        <v>145051</v>
      </c>
      <c r="G195" s="14">
        <v>460569</v>
      </c>
      <c r="H195" s="1" t="s">
        <v>5613</v>
      </c>
    </row>
    <row r="196" spans="1:8">
      <c r="A196" s="1" t="s">
        <v>59</v>
      </c>
      <c r="B196" s="1" t="s">
        <v>59</v>
      </c>
      <c r="C196" t="s">
        <v>6501</v>
      </c>
      <c r="D196" t="s">
        <v>6502</v>
      </c>
      <c r="E196" t="s">
        <v>6503</v>
      </c>
      <c r="F196" s="14">
        <v>152320</v>
      </c>
      <c r="G196" s="14">
        <v>441190</v>
      </c>
      <c r="H196" s="1" t="s">
        <v>59</v>
      </c>
    </row>
    <row r="197" spans="1:8">
      <c r="A197" s="1" t="s">
        <v>4614</v>
      </c>
      <c r="B197" s="1" t="s">
        <v>4614</v>
      </c>
      <c r="C197" t="s">
        <v>4614</v>
      </c>
      <c r="D197" t="s">
        <v>6404</v>
      </c>
      <c r="E197" t="s">
        <v>11</v>
      </c>
      <c r="F197" s="14">
        <v>155450</v>
      </c>
      <c r="G197" s="14">
        <v>414620</v>
      </c>
      <c r="H197" s="1" t="s">
        <v>4614</v>
      </c>
    </row>
    <row r="198" spans="1:8">
      <c r="A198" s="1" t="s">
        <v>4052</v>
      </c>
      <c r="B198" s="1" t="s">
        <v>4052</v>
      </c>
      <c r="C198" t="s">
        <v>6421</v>
      </c>
      <c r="D198" t="s">
        <v>6422</v>
      </c>
      <c r="E198" t="s">
        <v>6423</v>
      </c>
      <c r="F198" s="14">
        <v>352137</v>
      </c>
      <c r="G198" s="14">
        <v>317683</v>
      </c>
      <c r="H198" s="1" t="s">
        <v>4052</v>
      </c>
    </row>
    <row r="199" spans="1:8">
      <c r="A199" s="1" t="s">
        <v>4091</v>
      </c>
      <c r="B199" s="1" t="s">
        <v>6267</v>
      </c>
      <c r="C199" t="s">
        <v>6852</v>
      </c>
      <c r="D199" t="s">
        <v>6445</v>
      </c>
      <c r="E199" t="s">
        <v>12</v>
      </c>
      <c r="F199" t="s">
        <v>6853</v>
      </c>
      <c r="G199" t="s">
        <v>6854</v>
      </c>
      <c r="H199" s="1" t="s">
        <v>6267</v>
      </c>
    </row>
    <row r="200" spans="1:8">
      <c r="A200" s="1" t="s">
        <v>121</v>
      </c>
      <c r="B200" s="1" t="s">
        <v>121</v>
      </c>
      <c r="C200" t="s">
        <v>1</v>
      </c>
      <c r="D200" t="s">
        <v>6445</v>
      </c>
      <c r="E200" t="s">
        <v>12</v>
      </c>
      <c r="F200" t="s">
        <v>6446</v>
      </c>
      <c r="G200" s="14">
        <v>515074</v>
      </c>
      <c r="H200" s="1" t="s">
        <v>121</v>
      </c>
    </row>
    <row r="201" spans="1:8">
      <c r="A201" s="1" t="s">
        <v>248</v>
      </c>
      <c r="B201" s="1" t="s">
        <v>6232</v>
      </c>
      <c r="C201" t="s">
        <v>1</v>
      </c>
      <c r="D201" t="s">
        <v>6445</v>
      </c>
      <c r="E201" t="s">
        <v>12</v>
      </c>
      <c r="F201" t="s">
        <v>6446</v>
      </c>
      <c r="G201" s="14">
        <v>515074</v>
      </c>
      <c r="H201" s="1" t="s">
        <v>6232</v>
      </c>
    </row>
    <row r="202" spans="1:8">
      <c r="A202" s="1" t="s">
        <v>267</v>
      </c>
      <c r="B202" s="1" t="s">
        <v>267</v>
      </c>
      <c r="C202" t="s">
        <v>1</v>
      </c>
      <c r="D202" t="s">
        <v>6445</v>
      </c>
      <c r="E202" t="s">
        <v>12</v>
      </c>
      <c r="F202" t="s">
        <v>6446</v>
      </c>
      <c r="G202" s="14">
        <v>515074</v>
      </c>
      <c r="H202" s="1" t="s">
        <v>267</v>
      </c>
    </row>
    <row r="203" spans="1:8">
      <c r="A203" s="1" t="s">
        <v>4207</v>
      </c>
      <c r="B203" s="1" t="s">
        <v>6277</v>
      </c>
      <c r="C203" t="s">
        <v>6947</v>
      </c>
      <c r="D203" t="s">
        <v>6948</v>
      </c>
      <c r="E203" t="s">
        <v>12</v>
      </c>
      <c r="F203" t="s">
        <v>6446</v>
      </c>
      <c r="G203" t="s">
        <v>6949</v>
      </c>
      <c r="H203" s="1" t="s">
        <v>6277</v>
      </c>
    </row>
    <row r="204" spans="1:8">
      <c r="A204" s="1" t="s">
        <v>220</v>
      </c>
      <c r="B204" s="1" t="s">
        <v>6248</v>
      </c>
      <c r="C204" t="s">
        <v>6725</v>
      </c>
      <c r="D204" t="s">
        <v>6726</v>
      </c>
      <c r="E204" t="s">
        <v>12</v>
      </c>
      <c r="F204" t="s">
        <v>6727</v>
      </c>
      <c r="G204" t="s">
        <v>6728</v>
      </c>
      <c r="H204" s="1" t="s">
        <v>6248</v>
      </c>
    </row>
    <row r="205" spans="1:8">
      <c r="A205" s="1" t="s">
        <v>4047</v>
      </c>
      <c r="B205" s="1" t="s">
        <v>4047</v>
      </c>
      <c r="C205" t="s">
        <v>6886</v>
      </c>
      <c r="D205" t="s">
        <v>6346</v>
      </c>
      <c r="E205" t="s">
        <v>12</v>
      </c>
      <c r="F205" t="s">
        <v>6727</v>
      </c>
      <c r="G205" t="s">
        <v>6887</v>
      </c>
      <c r="H205" s="1" t="s">
        <v>4047</v>
      </c>
    </row>
    <row r="206" spans="1:8">
      <c r="A206" s="1" t="s">
        <v>98</v>
      </c>
      <c r="B206" s="1" t="s">
        <v>98</v>
      </c>
      <c r="C206" t="s">
        <v>6381</v>
      </c>
      <c r="D206" t="s">
        <v>6331</v>
      </c>
      <c r="E206" t="s">
        <v>12</v>
      </c>
      <c r="F206" t="s">
        <v>6382</v>
      </c>
      <c r="G206" s="14">
        <v>526310</v>
      </c>
      <c r="H206" s="1" t="s">
        <v>98</v>
      </c>
    </row>
    <row r="207" spans="1:8">
      <c r="A207" s="1" t="s">
        <v>4447</v>
      </c>
      <c r="B207" s="1" t="s">
        <v>4447</v>
      </c>
      <c r="C207" t="s">
        <v>4447</v>
      </c>
      <c r="D207" t="s">
        <v>6509</v>
      </c>
      <c r="E207" t="s">
        <v>104</v>
      </c>
      <c r="F207" t="s">
        <v>6766</v>
      </c>
      <c r="G207" t="s">
        <v>6767</v>
      </c>
      <c r="H207" s="1" t="s">
        <v>4447</v>
      </c>
    </row>
    <row r="208" spans="1:8">
      <c r="A208" s="1" t="s">
        <v>4477</v>
      </c>
      <c r="B208" s="1" t="s">
        <v>6259</v>
      </c>
      <c r="C208" t="s">
        <v>4447</v>
      </c>
      <c r="D208" t="s">
        <v>6509</v>
      </c>
      <c r="E208" t="s">
        <v>104</v>
      </c>
      <c r="F208" t="s">
        <v>6766</v>
      </c>
      <c r="G208" t="s">
        <v>6767</v>
      </c>
      <c r="H208" s="1" t="s">
        <v>6259</v>
      </c>
    </row>
    <row r="209" spans="1:8">
      <c r="A209" s="1" t="s">
        <v>112</v>
      </c>
      <c r="B209" s="1" t="s">
        <v>112</v>
      </c>
      <c r="C209" t="s">
        <v>6684</v>
      </c>
      <c r="D209" t="s">
        <v>6346</v>
      </c>
      <c r="E209" t="s">
        <v>12</v>
      </c>
      <c r="F209" t="s">
        <v>6685</v>
      </c>
      <c r="G209" t="s">
        <v>6686</v>
      </c>
      <c r="H209" s="1" t="s">
        <v>112</v>
      </c>
    </row>
    <row r="210" spans="1:8">
      <c r="A210" s="1" t="s">
        <v>4228</v>
      </c>
      <c r="B210" s="1" t="s">
        <v>4228</v>
      </c>
      <c r="C210" t="s">
        <v>6867</v>
      </c>
      <c r="D210" t="s">
        <v>6346</v>
      </c>
      <c r="E210" t="s">
        <v>12</v>
      </c>
      <c r="F210" t="s">
        <v>6868</v>
      </c>
      <c r="G210" t="s">
        <v>6869</v>
      </c>
      <c r="H210" s="1" t="s">
        <v>4228</v>
      </c>
    </row>
    <row r="211" spans="1:8">
      <c r="A211" s="1" t="s">
        <v>27</v>
      </c>
      <c r="B211" s="1" t="s">
        <v>27</v>
      </c>
      <c r="C211" t="s">
        <v>6486</v>
      </c>
      <c r="D211" t="s">
        <v>6487</v>
      </c>
      <c r="E211" t="s">
        <v>12</v>
      </c>
      <c r="F211" t="s">
        <v>6488</v>
      </c>
      <c r="G211" s="14">
        <v>517520</v>
      </c>
      <c r="H211" s="1" t="s">
        <v>27</v>
      </c>
    </row>
    <row r="212" spans="1:8">
      <c r="A212" s="1" t="s">
        <v>4044</v>
      </c>
      <c r="B212" s="1" t="s">
        <v>6206</v>
      </c>
      <c r="C212" t="s">
        <v>6330</v>
      </c>
      <c r="D212" t="s">
        <v>6331</v>
      </c>
      <c r="E212" t="s">
        <v>12</v>
      </c>
      <c r="F212" t="s">
        <v>6332</v>
      </c>
      <c r="G212" s="14">
        <v>527760</v>
      </c>
      <c r="H212" s="1" t="s">
        <v>6206</v>
      </c>
    </row>
    <row r="213" spans="1:8">
      <c r="A213" s="1" t="s">
        <v>56</v>
      </c>
      <c r="B213" s="1" t="s">
        <v>6223</v>
      </c>
      <c r="C213" t="s">
        <v>6546</v>
      </c>
      <c r="D213" t="s">
        <v>6547</v>
      </c>
      <c r="E213" t="s">
        <v>104</v>
      </c>
      <c r="F213" t="s">
        <v>6548</v>
      </c>
      <c r="G213" t="s">
        <v>6549</v>
      </c>
      <c r="H213" s="1" t="s">
        <v>6223</v>
      </c>
    </row>
    <row r="214" spans="1:8">
      <c r="A214" s="1" t="s">
        <v>252</v>
      </c>
      <c r="B214" s="1" t="s">
        <v>6230</v>
      </c>
      <c r="C214" t="s">
        <v>6439</v>
      </c>
      <c r="D214" t="s">
        <v>6331</v>
      </c>
      <c r="E214" t="s">
        <v>12</v>
      </c>
      <c r="F214" t="s">
        <v>6440</v>
      </c>
      <c r="G214" s="14">
        <v>532300</v>
      </c>
      <c r="H214" s="1" t="s">
        <v>6230</v>
      </c>
    </row>
    <row r="215" spans="1:8">
      <c r="A215" s="1" t="s">
        <v>4417</v>
      </c>
      <c r="B215" s="1" t="s">
        <v>4417</v>
      </c>
      <c r="C215" t="s">
        <v>4417</v>
      </c>
      <c r="D215" t="s">
        <v>6296</v>
      </c>
      <c r="E215" t="s">
        <v>104</v>
      </c>
      <c r="F215" t="s">
        <v>6297</v>
      </c>
      <c r="G215" s="14">
        <v>474784</v>
      </c>
      <c r="H215" s="1" t="s">
        <v>4417</v>
      </c>
    </row>
    <row r="216" spans="1:8">
      <c r="A216" s="1" t="s">
        <v>4415</v>
      </c>
      <c r="B216" s="1" t="s">
        <v>4415</v>
      </c>
      <c r="C216" t="s">
        <v>4415</v>
      </c>
      <c r="D216" t="s">
        <v>6296</v>
      </c>
      <c r="E216" t="s">
        <v>104</v>
      </c>
      <c r="F216" t="s">
        <v>6297</v>
      </c>
      <c r="G216" s="14">
        <v>474784</v>
      </c>
      <c r="H216" s="1" t="s">
        <v>4415</v>
      </c>
    </row>
    <row r="217" spans="1:8">
      <c r="A217" s="1" t="s">
        <v>4422</v>
      </c>
      <c r="B217" s="1" t="s">
        <v>4422</v>
      </c>
      <c r="C217" t="s">
        <v>4422</v>
      </c>
      <c r="D217" t="s">
        <v>6296</v>
      </c>
      <c r="E217" t="s">
        <v>104</v>
      </c>
      <c r="F217" t="s">
        <v>6297</v>
      </c>
      <c r="G217" s="14">
        <v>474784</v>
      </c>
      <c r="H217" s="1" t="s">
        <v>4422</v>
      </c>
    </row>
    <row r="218" spans="1:8">
      <c r="A218" s="1" t="s">
        <v>4043</v>
      </c>
      <c r="B218" s="1" t="s">
        <v>4043</v>
      </c>
      <c r="C218" t="s">
        <v>6845</v>
      </c>
      <c r="D218" t="s">
        <v>6846</v>
      </c>
      <c r="E218" t="s">
        <v>12</v>
      </c>
      <c r="F218" t="s">
        <v>6847</v>
      </c>
      <c r="G218" t="s">
        <v>6848</v>
      </c>
      <c r="H218" s="1" t="s">
        <v>4043</v>
      </c>
    </row>
    <row r="219" spans="1:8">
      <c r="A219" s="1" t="s">
        <v>4176</v>
      </c>
      <c r="B219" s="1" t="s">
        <v>6275</v>
      </c>
      <c r="C219" t="s">
        <v>6935</v>
      </c>
      <c r="D219" t="s">
        <v>6936</v>
      </c>
      <c r="E219" t="s">
        <v>12</v>
      </c>
      <c r="F219" t="s">
        <v>6937</v>
      </c>
      <c r="G219" t="s">
        <v>6938</v>
      </c>
      <c r="H219" s="1" t="s">
        <v>6275</v>
      </c>
    </row>
    <row r="220" spans="1:8">
      <c r="A220" s="1" t="s">
        <v>114</v>
      </c>
      <c r="B220" s="1" t="s">
        <v>114</v>
      </c>
      <c r="C220" t="s">
        <v>6508</v>
      </c>
      <c r="D220" t="s">
        <v>6509</v>
      </c>
      <c r="E220" t="s">
        <v>104</v>
      </c>
      <c r="F220" t="s">
        <v>6510</v>
      </c>
      <c r="G220" t="s">
        <v>6511</v>
      </c>
      <c r="H220" s="1" t="s">
        <v>114</v>
      </c>
    </row>
    <row r="221" spans="1:8">
      <c r="A221" s="1" t="s">
        <v>4580</v>
      </c>
      <c r="B221" s="1" t="s">
        <v>4580</v>
      </c>
      <c r="C221" t="s">
        <v>4580</v>
      </c>
      <c r="D221" t="s">
        <v>6315</v>
      </c>
      <c r="E221" t="s">
        <v>104</v>
      </c>
      <c r="F221" t="s">
        <v>6316</v>
      </c>
      <c r="G221" s="14">
        <v>492770</v>
      </c>
      <c r="H221" s="1" t="s">
        <v>4580</v>
      </c>
    </row>
    <row r="222" spans="1:8">
      <c r="A222" s="1" t="s">
        <v>4463</v>
      </c>
      <c r="B222" s="1" t="s">
        <v>4463</v>
      </c>
      <c r="C222" t="s">
        <v>4463</v>
      </c>
      <c r="D222" t="s">
        <v>6364</v>
      </c>
      <c r="E222" t="s">
        <v>12</v>
      </c>
      <c r="F222" t="s">
        <v>6365</v>
      </c>
      <c r="G222" s="14">
        <v>508360</v>
      </c>
      <c r="H222" s="1" t="s">
        <v>4463</v>
      </c>
    </row>
    <row r="223" spans="1:8">
      <c r="A223" s="1" t="s">
        <v>4140</v>
      </c>
      <c r="B223" s="1" t="s">
        <v>4140</v>
      </c>
      <c r="C223" t="s">
        <v>4463</v>
      </c>
      <c r="D223" t="s">
        <v>6364</v>
      </c>
      <c r="E223" t="s">
        <v>12</v>
      </c>
      <c r="F223" t="s">
        <v>6365</v>
      </c>
      <c r="G223" s="14">
        <v>508360</v>
      </c>
      <c r="H223" s="1" t="s">
        <v>4140</v>
      </c>
    </row>
    <row r="224" spans="1:8">
      <c r="A224" s="1" t="s">
        <v>29</v>
      </c>
      <c r="B224" s="1" t="s">
        <v>29</v>
      </c>
      <c r="C224" t="s">
        <v>6729</v>
      </c>
      <c r="D224" t="s">
        <v>6730</v>
      </c>
      <c r="E224" t="s">
        <v>12</v>
      </c>
      <c r="F224" t="s">
        <v>6731</v>
      </c>
      <c r="G224" t="s">
        <v>6732</v>
      </c>
      <c r="H224" s="1" t="s">
        <v>29</v>
      </c>
    </row>
    <row r="225" spans="1:8">
      <c r="A225" s="1" t="s">
        <v>4305</v>
      </c>
      <c r="B225" s="1" t="s">
        <v>6249</v>
      </c>
      <c r="C225" t="s">
        <v>6729</v>
      </c>
      <c r="D225" t="s">
        <v>6730</v>
      </c>
      <c r="E225" t="s">
        <v>12</v>
      </c>
      <c r="F225" t="s">
        <v>6731</v>
      </c>
      <c r="G225" t="s">
        <v>6732</v>
      </c>
      <c r="H225" s="1" t="s">
        <v>6249</v>
      </c>
    </row>
    <row r="226" spans="1:8">
      <c r="A226" s="1" t="s">
        <v>4048</v>
      </c>
      <c r="B226" s="1" t="s">
        <v>6251</v>
      </c>
      <c r="C226" t="s">
        <v>6743</v>
      </c>
      <c r="D226" t="s">
        <v>6482</v>
      </c>
      <c r="E226" t="s">
        <v>12</v>
      </c>
      <c r="F226" t="s">
        <v>6744</v>
      </c>
      <c r="G226" t="s">
        <v>6745</v>
      </c>
      <c r="H226" s="1" t="s">
        <v>6251</v>
      </c>
    </row>
    <row r="227" spans="1:8">
      <c r="A227" s="1" t="s">
        <v>52</v>
      </c>
      <c r="B227" s="1" t="s">
        <v>52</v>
      </c>
      <c r="C227" t="s">
        <v>6673</v>
      </c>
      <c r="D227" t="s">
        <v>6399</v>
      </c>
      <c r="E227" t="s">
        <v>12</v>
      </c>
      <c r="F227" t="s">
        <v>6674</v>
      </c>
      <c r="G227" t="s">
        <v>6675</v>
      </c>
      <c r="H227" s="1" t="s">
        <v>52</v>
      </c>
    </row>
    <row r="228" spans="1:8">
      <c r="A228" s="1" t="s">
        <v>3993</v>
      </c>
      <c r="B228" s="1" t="s">
        <v>3993</v>
      </c>
      <c r="C228" t="s">
        <v>6960</v>
      </c>
      <c r="D228" t="s">
        <v>6420</v>
      </c>
      <c r="E228" t="s">
        <v>12</v>
      </c>
      <c r="F228" t="s">
        <v>6961</v>
      </c>
      <c r="G228" t="s">
        <v>6962</v>
      </c>
      <c r="H228" s="1" t="s">
        <v>3993</v>
      </c>
    </row>
    <row r="229" spans="1:8">
      <c r="A229" s="1" t="s">
        <v>4295</v>
      </c>
      <c r="B229" s="1" t="s">
        <v>4295</v>
      </c>
      <c r="C229" t="s">
        <v>6835</v>
      </c>
      <c r="D229" t="s">
        <v>6836</v>
      </c>
      <c r="E229" t="s">
        <v>12</v>
      </c>
      <c r="F229" t="s">
        <v>6837</v>
      </c>
      <c r="G229" t="s">
        <v>6838</v>
      </c>
      <c r="H229" s="1" t="s">
        <v>4295</v>
      </c>
    </row>
    <row r="230" spans="1:8">
      <c r="A230" s="1" t="s">
        <v>4575</v>
      </c>
      <c r="B230" s="1" t="s">
        <v>6197</v>
      </c>
      <c r="C230" t="s">
        <v>6900</v>
      </c>
      <c r="D230" t="s">
        <v>6901</v>
      </c>
      <c r="E230" t="s">
        <v>104</v>
      </c>
      <c r="F230" t="s">
        <v>6902</v>
      </c>
      <c r="G230" t="s">
        <v>6609</v>
      </c>
      <c r="H230" s="1" t="s">
        <v>6197</v>
      </c>
    </row>
    <row r="231" spans="1:8">
      <c r="A231" s="1" t="s">
        <v>4589</v>
      </c>
      <c r="B231" s="1" t="s">
        <v>4589</v>
      </c>
      <c r="C231" t="s">
        <v>4589</v>
      </c>
      <c r="D231" t="s">
        <v>6550</v>
      </c>
      <c r="E231" t="s">
        <v>104</v>
      </c>
      <c r="F231" t="s">
        <v>6551</v>
      </c>
      <c r="G231" t="s">
        <v>6552</v>
      </c>
      <c r="H231" s="1" t="s">
        <v>4589</v>
      </c>
    </row>
    <row r="232" spans="1:8">
      <c r="A232" s="1" t="s">
        <v>4366</v>
      </c>
      <c r="B232" s="1" t="s">
        <v>4366</v>
      </c>
      <c r="C232" t="s">
        <v>6646</v>
      </c>
      <c r="D232" t="s">
        <v>6647</v>
      </c>
      <c r="E232" t="s">
        <v>104</v>
      </c>
      <c r="F232" t="s">
        <v>6648</v>
      </c>
      <c r="G232" t="s">
        <v>6649</v>
      </c>
      <c r="H232" s="1" t="s">
        <v>4366</v>
      </c>
    </row>
    <row r="233" spans="1:8">
      <c r="A233" s="1" t="s">
        <v>4131</v>
      </c>
      <c r="B233" s="1" t="s">
        <v>4131</v>
      </c>
      <c r="C233" t="s">
        <v>6957</v>
      </c>
      <c r="D233" t="s">
        <v>6367</v>
      </c>
      <c r="E233" t="s">
        <v>12</v>
      </c>
      <c r="F233" t="s">
        <v>6958</v>
      </c>
      <c r="G233" t="s">
        <v>6959</v>
      </c>
      <c r="H233" s="1" t="s">
        <v>4131</v>
      </c>
    </row>
    <row r="234" spans="1:8">
      <c r="A234" s="1" t="s">
        <v>4371</v>
      </c>
      <c r="B234" s="1" t="s">
        <v>4371</v>
      </c>
      <c r="C234" t="s">
        <v>4371</v>
      </c>
      <c r="D234" t="s">
        <v>6367</v>
      </c>
      <c r="E234" t="s">
        <v>12</v>
      </c>
      <c r="F234" t="s">
        <v>6958</v>
      </c>
      <c r="G234" t="s">
        <v>6959</v>
      </c>
      <c r="H234" s="1" t="s">
        <v>4371</v>
      </c>
    </row>
    <row r="235" spans="1:8">
      <c r="A235" s="1" t="s">
        <v>4504</v>
      </c>
      <c r="B235" s="1" t="s">
        <v>4504</v>
      </c>
      <c r="C235" t="s">
        <v>4504</v>
      </c>
      <c r="D235" t="s">
        <v>6355</v>
      </c>
      <c r="E235" t="s">
        <v>12</v>
      </c>
      <c r="F235" t="s">
        <v>6931</v>
      </c>
      <c r="G235" t="s">
        <v>6932</v>
      </c>
      <c r="H235" s="1" t="s">
        <v>4504</v>
      </c>
    </row>
    <row r="236" spans="1:8">
      <c r="A236" s="1" t="s">
        <v>4083</v>
      </c>
      <c r="B236" s="1" t="s">
        <v>4083</v>
      </c>
      <c r="C236" t="s">
        <v>6883</v>
      </c>
      <c r="D236" t="s">
        <v>6367</v>
      </c>
      <c r="E236" t="s">
        <v>12</v>
      </c>
      <c r="F236" t="s">
        <v>6884</v>
      </c>
      <c r="G236" t="s">
        <v>6885</v>
      </c>
      <c r="H236" s="1" t="s">
        <v>4083</v>
      </c>
    </row>
    <row r="237" spans="1:8">
      <c r="A237" s="1" t="s">
        <v>4476</v>
      </c>
      <c r="B237" s="1" t="s">
        <v>6268</v>
      </c>
      <c r="C237" t="s">
        <v>6883</v>
      </c>
      <c r="D237" t="s">
        <v>6367</v>
      </c>
      <c r="E237" t="s">
        <v>12</v>
      </c>
      <c r="F237" t="s">
        <v>6884</v>
      </c>
      <c r="G237" t="s">
        <v>6885</v>
      </c>
      <c r="H237" s="1" t="s">
        <v>6268</v>
      </c>
    </row>
    <row r="238" spans="1:8">
      <c r="A238" s="1" t="s">
        <v>34</v>
      </c>
      <c r="B238" s="1" t="s">
        <v>34</v>
      </c>
      <c r="C238" t="s">
        <v>6497</v>
      </c>
      <c r="D238" t="s">
        <v>6385</v>
      </c>
      <c r="E238" t="s">
        <v>12</v>
      </c>
      <c r="F238" t="s">
        <v>6968</v>
      </c>
      <c r="G238" t="s">
        <v>6969</v>
      </c>
      <c r="H238" s="1" t="s">
        <v>34</v>
      </c>
    </row>
    <row r="239" spans="1:8">
      <c r="A239" s="1" t="s">
        <v>4364</v>
      </c>
      <c r="B239" s="1" t="s">
        <v>4364</v>
      </c>
      <c r="C239" t="s">
        <v>4364</v>
      </c>
      <c r="D239" t="s">
        <v>6355</v>
      </c>
      <c r="E239" t="s">
        <v>12</v>
      </c>
      <c r="F239" t="s">
        <v>6833</v>
      </c>
      <c r="G239" t="s">
        <v>6834</v>
      </c>
      <c r="H239" s="1" t="s">
        <v>4364</v>
      </c>
    </row>
    <row r="240" spans="1:8">
      <c r="A240" s="1" t="s">
        <v>4049</v>
      </c>
      <c r="B240" s="1" t="s">
        <v>4049</v>
      </c>
      <c r="C240" t="s">
        <v>4364</v>
      </c>
      <c r="D240" t="s">
        <v>6355</v>
      </c>
      <c r="E240" t="s">
        <v>12</v>
      </c>
      <c r="F240" t="s">
        <v>6833</v>
      </c>
      <c r="G240" t="s">
        <v>6834</v>
      </c>
      <c r="H240" s="1" t="s">
        <v>4049</v>
      </c>
    </row>
    <row r="241" spans="1:8">
      <c r="A241" s="1" t="s">
        <v>4266</v>
      </c>
      <c r="B241" s="1" t="s">
        <v>6264</v>
      </c>
      <c r="C241" t="s">
        <v>4364</v>
      </c>
      <c r="D241" t="s">
        <v>6355</v>
      </c>
      <c r="E241" t="s">
        <v>12</v>
      </c>
      <c r="F241" t="s">
        <v>6833</v>
      </c>
      <c r="G241" t="s">
        <v>6834</v>
      </c>
      <c r="H241" s="1" t="s">
        <v>6264</v>
      </c>
    </row>
    <row r="242" spans="1:8">
      <c r="A242" s="1" t="s">
        <v>261</v>
      </c>
      <c r="B242" s="1" t="s">
        <v>261</v>
      </c>
      <c r="C242" t="s">
        <v>6870</v>
      </c>
      <c r="D242" t="s">
        <v>6363</v>
      </c>
      <c r="E242" t="s">
        <v>12</v>
      </c>
      <c r="F242" t="s">
        <v>6871</v>
      </c>
      <c r="G242" t="s">
        <v>6872</v>
      </c>
      <c r="H242" s="1" t="s">
        <v>261</v>
      </c>
    </row>
    <row r="243" spans="1:8">
      <c r="A243" s="1" t="s">
        <v>4161</v>
      </c>
      <c r="B243" s="1" t="s">
        <v>6217</v>
      </c>
      <c r="C243" t="s">
        <v>6523</v>
      </c>
      <c r="D243" t="s">
        <v>6413</v>
      </c>
      <c r="E243" t="s">
        <v>12</v>
      </c>
      <c r="F243" t="s">
        <v>6524</v>
      </c>
      <c r="G243" t="s">
        <v>6525</v>
      </c>
      <c r="H243" s="1" t="s">
        <v>6217</v>
      </c>
    </row>
    <row r="244" spans="1:8">
      <c r="A244" s="1" t="s">
        <v>3999</v>
      </c>
      <c r="B244" s="1" t="s">
        <v>3999</v>
      </c>
      <c r="C244" t="s">
        <v>6693</v>
      </c>
      <c r="D244" t="s">
        <v>6397</v>
      </c>
      <c r="E244" t="s">
        <v>12</v>
      </c>
      <c r="F244" t="s">
        <v>6694</v>
      </c>
      <c r="G244" t="s">
        <v>6695</v>
      </c>
      <c r="H244" s="1" t="s">
        <v>3999</v>
      </c>
    </row>
    <row r="245" spans="1:8">
      <c r="A245" s="1" t="s">
        <v>4263</v>
      </c>
      <c r="B245" s="1" t="s">
        <v>4263</v>
      </c>
      <c r="C245" t="s">
        <v>6584</v>
      </c>
      <c r="D245" t="s">
        <v>6585</v>
      </c>
      <c r="E245" t="s">
        <v>104</v>
      </c>
      <c r="F245" t="s">
        <v>6586</v>
      </c>
      <c r="G245" t="s">
        <v>6587</v>
      </c>
      <c r="H245" s="1" t="s">
        <v>4263</v>
      </c>
    </row>
    <row r="246" spans="1:8">
      <c r="A246" s="1" t="s">
        <v>4407</v>
      </c>
      <c r="B246" s="1" t="s">
        <v>4407</v>
      </c>
      <c r="C246" t="s">
        <v>4407</v>
      </c>
      <c r="D246" t="s">
        <v>6585</v>
      </c>
      <c r="E246" t="s">
        <v>104</v>
      </c>
      <c r="F246" t="s">
        <v>6586</v>
      </c>
      <c r="G246" t="s">
        <v>6587</v>
      </c>
      <c r="H246" s="1" t="s">
        <v>4407</v>
      </c>
    </row>
    <row r="247" spans="1:8">
      <c r="A247" s="1" t="s">
        <v>4102</v>
      </c>
      <c r="B247" s="1" t="s">
        <v>6256</v>
      </c>
      <c r="C247" t="s">
        <v>6752</v>
      </c>
      <c r="D247" t="s">
        <v>6752</v>
      </c>
      <c r="E247" t="s">
        <v>6753</v>
      </c>
      <c r="F247" t="s">
        <v>6754</v>
      </c>
      <c r="G247" t="s">
        <v>6755</v>
      </c>
      <c r="H247" s="1" t="s">
        <v>6256</v>
      </c>
    </row>
    <row r="248" spans="1:8">
      <c r="A248" s="1" t="s">
        <v>3997</v>
      </c>
      <c r="B248" s="1" t="s">
        <v>3997</v>
      </c>
      <c r="C248" t="s">
        <v>6430</v>
      </c>
      <c r="D248" t="s">
        <v>6431</v>
      </c>
      <c r="E248" t="s">
        <v>12</v>
      </c>
      <c r="F248" t="s">
        <v>6432</v>
      </c>
      <c r="G248" s="14">
        <v>514680</v>
      </c>
      <c r="H248" s="1" t="s">
        <v>3997</v>
      </c>
    </row>
    <row r="249" spans="1:8">
      <c r="A249" s="1" t="s">
        <v>4311</v>
      </c>
      <c r="B249" s="1" t="s">
        <v>4311</v>
      </c>
      <c r="C249" t="s">
        <v>4232</v>
      </c>
      <c r="D249" t="s">
        <v>6346</v>
      </c>
      <c r="E249" t="s">
        <v>12</v>
      </c>
      <c r="F249" t="s">
        <v>6347</v>
      </c>
      <c r="G249" s="14">
        <v>522053</v>
      </c>
      <c r="H249" s="1" t="s">
        <v>4311</v>
      </c>
    </row>
    <row r="250" spans="1:8">
      <c r="A250" s="1" t="s">
        <v>4400</v>
      </c>
      <c r="B250" s="1" t="s">
        <v>4400</v>
      </c>
      <c r="C250" t="s">
        <v>6600</v>
      </c>
      <c r="D250" t="s">
        <v>6601</v>
      </c>
      <c r="E250" t="s">
        <v>104</v>
      </c>
      <c r="F250" t="s">
        <v>6602</v>
      </c>
      <c r="G250" t="s">
        <v>6603</v>
      </c>
      <c r="H250" s="1" t="s">
        <v>4400</v>
      </c>
    </row>
    <row r="251" spans="1:8">
      <c r="A251" s="1" t="s">
        <v>4534</v>
      </c>
      <c r="B251" s="1" t="s">
        <v>6181</v>
      </c>
      <c r="C251" t="s">
        <v>6327</v>
      </c>
      <c r="D251" t="s">
        <v>6318</v>
      </c>
      <c r="E251" t="s">
        <v>104</v>
      </c>
      <c r="F251" t="s">
        <v>6328</v>
      </c>
      <c r="G251" s="14">
        <v>491840</v>
      </c>
      <c r="H251" s="1" t="s">
        <v>6181</v>
      </c>
    </row>
    <row r="252" spans="1:8">
      <c r="A252" s="1" t="s">
        <v>4124</v>
      </c>
      <c r="B252" s="1" t="s">
        <v>4124</v>
      </c>
      <c r="C252" t="s">
        <v>6391</v>
      </c>
      <c r="D252" t="s">
        <v>6346</v>
      </c>
      <c r="E252" t="s">
        <v>12</v>
      </c>
      <c r="F252" t="s">
        <v>6392</v>
      </c>
      <c r="G252" s="14">
        <v>523970</v>
      </c>
      <c r="H252" s="1" t="s">
        <v>4124</v>
      </c>
    </row>
    <row r="253" spans="1:8">
      <c r="A253" s="1" t="s">
        <v>4391</v>
      </c>
      <c r="B253" s="1" t="s">
        <v>4391</v>
      </c>
      <c r="C253" t="s">
        <v>6783</v>
      </c>
      <c r="D253" t="s">
        <v>6784</v>
      </c>
      <c r="E253" t="s">
        <v>104</v>
      </c>
      <c r="F253" t="s">
        <v>6785</v>
      </c>
      <c r="G253" t="s">
        <v>6786</v>
      </c>
      <c r="H253" s="1" t="s">
        <v>4391</v>
      </c>
    </row>
    <row r="254" spans="1:8">
      <c r="A254" s="1" t="s">
        <v>4399</v>
      </c>
      <c r="B254" s="1" t="s">
        <v>4399</v>
      </c>
      <c r="C254" t="s">
        <v>6400</v>
      </c>
      <c r="D254" t="s">
        <v>6401</v>
      </c>
      <c r="E254" t="s">
        <v>104</v>
      </c>
      <c r="F254" t="s">
        <v>6402</v>
      </c>
      <c r="G254" s="14">
        <v>497560</v>
      </c>
      <c r="H254" s="1" t="s">
        <v>4399</v>
      </c>
    </row>
    <row r="255" spans="1:8">
      <c r="A255" s="1" t="s">
        <v>4641</v>
      </c>
      <c r="B255" s="1" t="s">
        <v>4641</v>
      </c>
      <c r="C255" t="s">
        <v>4641</v>
      </c>
      <c r="D255" t="s">
        <v>6322</v>
      </c>
      <c r="E255" t="s">
        <v>104</v>
      </c>
      <c r="F255" t="s">
        <v>6323</v>
      </c>
      <c r="G255" s="14">
        <v>495420</v>
      </c>
      <c r="H255" s="1" t="s">
        <v>4641</v>
      </c>
    </row>
    <row r="256" spans="1:8">
      <c r="A256" s="1" t="s">
        <v>4113</v>
      </c>
      <c r="B256" s="1" t="s">
        <v>4113</v>
      </c>
      <c r="C256" t="s">
        <v>6312</v>
      </c>
      <c r="D256" t="s">
        <v>6313</v>
      </c>
      <c r="E256" t="s">
        <v>12</v>
      </c>
      <c r="F256" t="s">
        <v>6314</v>
      </c>
      <c r="G256" s="14">
        <v>509200</v>
      </c>
      <c r="H256" s="1" t="s">
        <v>4113</v>
      </c>
    </row>
    <row r="257" spans="1:8">
      <c r="A257" s="1" t="s">
        <v>41</v>
      </c>
      <c r="B257" s="1" t="s">
        <v>41</v>
      </c>
      <c r="C257" t="s">
        <v>6746</v>
      </c>
      <c r="D257" t="s">
        <v>6349</v>
      </c>
      <c r="E257" t="s">
        <v>12</v>
      </c>
      <c r="F257" t="s">
        <v>6747</v>
      </c>
      <c r="G257" t="s">
        <v>6748</v>
      </c>
      <c r="H257" s="1" t="s">
        <v>41</v>
      </c>
    </row>
    <row r="258" spans="1:8">
      <c r="A258" s="1" t="s">
        <v>4153</v>
      </c>
      <c r="B258" s="1" t="s">
        <v>4153</v>
      </c>
      <c r="C258" t="s">
        <v>6351</v>
      </c>
      <c r="D258" t="s">
        <v>6352</v>
      </c>
      <c r="E258" t="s">
        <v>12</v>
      </c>
      <c r="F258" t="s">
        <v>6353</v>
      </c>
      <c r="G258" s="14">
        <v>519420</v>
      </c>
      <c r="H258" s="1" t="s">
        <v>4153</v>
      </c>
    </row>
    <row r="259" spans="1:8">
      <c r="A259" s="1" t="s">
        <v>4367</v>
      </c>
      <c r="B259" s="1" t="s">
        <v>4367</v>
      </c>
      <c r="C259" t="s">
        <v>4367</v>
      </c>
      <c r="D259" t="s">
        <v>6359</v>
      </c>
      <c r="E259" t="s">
        <v>104</v>
      </c>
      <c r="F259" t="s">
        <v>6491</v>
      </c>
      <c r="G259" s="14">
        <v>473940</v>
      </c>
      <c r="H259" s="1" t="s">
        <v>4367</v>
      </c>
    </row>
    <row r="260" spans="1:8">
      <c r="A260" s="1" t="s">
        <v>4506</v>
      </c>
      <c r="B260" s="1" t="s">
        <v>6270</v>
      </c>
      <c r="C260" t="s">
        <v>4367</v>
      </c>
      <c r="D260" t="s">
        <v>6359</v>
      </c>
      <c r="E260" t="s">
        <v>104</v>
      </c>
      <c r="F260" t="s">
        <v>6491</v>
      </c>
      <c r="G260" s="14">
        <v>473940</v>
      </c>
      <c r="H260" s="1" t="s">
        <v>6270</v>
      </c>
    </row>
    <row r="261" spans="1:8">
      <c r="A261" s="1" t="s">
        <v>2697</v>
      </c>
      <c r="B261" s="1" t="s">
        <v>2697</v>
      </c>
      <c r="C261" t="s">
        <v>2697</v>
      </c>
      <c r="D261" t="s">
        <v>6318</v>
      </c>
      <c r="E261" t="s">
        <v>104</v>
      </c>
      <c r="F261" t="s">
        <v>6588</v>
      </c>
      <c r="G261" t="s">
        <v>6589</v>
      </c>
      <c r="H261" s="1" t="s">
        <v>2697</v>
      </c>
    </row>
    <row r="262" spans="1:8">
      <c r="A262" s="1" t="s">
        <v>4570</v>
      </c>
      <c r="B262" s="1" t="s">
        <v>6179</v>
      </c>
      <c r="C262" t="s">
        <v>6317</v>
      </c>
      <c r="D262" t="s">
        <v>6318</v>
      </c>
      <c r="E262" t="s">
        <v>104</v>
      </c>
      <c r="F262" t="s">
        <v>6319</v>
      </c>
      <c r="G262" s="14">
        <v>491830</v>
      </c>
      <c r="H262" s="1" t="s">
        <v>6179</v>
      </c>
    </row>
    <row r="263" spans="1:8">
      <c r="A263" s="1" t="s">
        <v>4314</v>
      </c>
      <c r="B263" s="1" t="s">
        <v>4314</v>
      </c>
      <c r="C263" t="s">
        <v>4314</v>
      </c>
      <c r="D263" t="s">
        <v>6318</v>
      </c>
      <c r="E263" t="s">
        <v>104</v>
      </c>
      <c r="F263" t="s">
        <v>6319</v>
      </c>
      <c r="G263" s="14">
        <v>491830</v>
      </c>
      <c r="H263" s="1" t="s">
        <v>4314</v>
      </c>
    </row>
    <row r="264" spans="1:8">
      <c r="A264" s="1" t="s">
        <v>45</v>
      </c>
      <c r="B264" s="1" t="s">
        <v>45</v>
      </c>
      <c r="C264" t="s">
        <v>6339</v>
      </c>
      <c r="D264" t="s">
        <v>6340</v>
      </c>
      <c r="E264" t="s">
        <v>12</v>
      </c>
      <c r="F264" t="s">
        <v>6341</v>
      </c>
      <c r="G264" s="14">
        <v>522480</v>
      </c>
      <c r="H264" s="1" t="s">
        <v>45</v>
      </c>
    </row>
    <row r="265" spans="1:8">
      <c r="A265" s="1" t="s">
        <v>4622</v>
      </c>
      <c r="B265" s="1" t="s">
        <v>6188</v>
      </c>
      <c r="C265" t="s">
        <v>6409</v>
      </c>
      <c r="D265" t="s">
        <v>6410</v>
      </c>
      <c r="E265" t="s">
        <v>104</v>
      </c>
      <c r="F265" t="s">
        <v>6411</v>
      </c>
      <c r="G265" s="14">
        <v>435570</v>
      </c>
      <c r="H265" s="1" t="s">
        <v>6188</v>
      </c>
    </row>
    <row r="266" spans="1:8">
      <c r="A266" s="1" t="s">
        <v>2878</v>
      </c>
      <c r="B266" s="1" t="s">
        <v>2878</v>
      </c>
      <c r="C266" t="s">
        <v>6342</v>
      </c>
      <c r="D266" t="s">
        <v>6343</v>
      </c>
      <c r="E266" t="s">
        <v>104</v>
      </c>
      <c r="F266" t="s">
        <v>6344</v>
      </c>
      <c r="G266" s="14">
        <v>448470</v>
      </c>
      <c r="H266" s="1" t="s">
        <v>2878</v>
      </c>
    </row>
    <row r="267" spans="1:8">
      <c r="A267" s="1" t="s">
        <v>4516</v>
      </c>
      <c r="B267" s="1" t="s">
        <v>6183</v>
      </c>
      <c r="C267" t="s">
        <v>6342</v>
      </c>
      <c r="D267" t="s">
        <v>6343</v>
      </c>
      <c r="E267" t="s">
        <v>104</v>
      </c>
      <c r="F267" t="s">
        <v>6344</v>
      </c>
      <c r="G267" s="14">
        <v>448470</v>
      </c>
      <c r="H267" s="1" t="s">
        <v>6183</v>
      </c>
    </row>
    <row r="268" spans="1:8">
      <c r="A268" s="1" t="s">
        <v>289</v>
      </c>
      <c r="B268" s="1" t="s">
        <v>289</v>
      </c>
      <c r="C268" t="s">
        <v>6424</v>
      </c>
      <c r="D268" t="s">
        <v>6401</v>
      </c>
      <c r="E268" t="s">
        <v>104</v>
      </c>
      <c r="F268" t="s">
        <v>6425</v>
      </c>
      <c r="G268" s="14">
        <v>494260</v>
      </c>
      <c r="H268" s="1" t="s">
        <v>289</v>
      </c>
    </row>
    <row r="269" spans="1:8">
      <c r="A269" s="1" t="s">
        <v>4361</v>
      </c>
      <c r="B269" s="1" t="s">
        <v>4361</v>
      </c>
      <c r="C269" t="s">
        <v>6424</v>
      </c>
      <c r="D269" t="s">
        <v>6401</v>
      </c>
      <c r="E269" t="s">
        <v>104</v>
      </c>
      <c r="F269" t="s">
        <v>6425</v>
      </c>
      <c r="G269" s="14">
        <v>494260</v>
      </c>
      <c r="H269" s="1" t="s">
        <v>4361</v>
      </c>
    </row>
    <row r="270" spans="1:8">
      <c r="A270" s="1" t="s">
        <v>4389</v>
      </c>
      <c r="B270" s="1" t="s">
        <v>6227</v>
      </c>
      <c r="C270" t="s">
        <v>6424</v>
      </c>
      <c r="D270" t="s">
        <v>6401</v>
      </c>
      <c r="E270" t="s">
        <v>104</v>
      </c>
      <c r="F270" t="s">
        <v>6425</v>
      </c>
      <c r="G270" s="14">
        <v>494260</v>
      </c>
      <c r="H270" s="1" t="s">
        <v>6227</v>
      </c>
    </row>
    <row r="271" spans="1:8">
      <c r="A271" s="1" t="s">
        <v>4116</v>
      </c>
      <c r="B271" s="1" t="s">
        <v>4116</v>
      </c>
      <c r="C271" t="s">
        <v>6494</v>
      </c>
      <c r="D271" t="s">
        <v>6469</v>
      </c>
      <c r="E271" t="s">
        <v>12</v>
      </c>
      <c r="F271" t="s">
        <v>6495</v>
      </c>
      <c r="G271" s="14">
        <v>528180</v>
      </c>
      <c r="H271" s="1" t="s">
        <v>4116</v>
      </c>
    </row>
    <row r="272" spans="1:8">
      <c r="A272" s="1" t="s">
        <v>4431</v>
      </c>
      <c r="B272" s="1" t="s">
        <v>4431</v>
      </c>
      <c r="C272" t="s">
        <v>6465</v>
      </c>
      <c r="D272" t="s">
        <v>6359</v>
      </c>
      <c r="E272" t="s">
        <v>104</v>
      </c>
      <c r="F272" t="s">
        <v>6466</v>
      </c>
      <c r="G272" s="14">
        <v>483640</v>
      </c>
      <c r="H272" s="1" t="s">
        <v>4431</v>
      </c>
    </row>
    <row r="273" spans="1:8">
      <c r="A273" s="1" t="s">
        <v>4440</v>
      </c>
      <c r="B273" s="1" t="s">
        <v>4440</v>
      </c>
      <c r="C273" t="s">
        <v>4440</v>
      </c>
      <c r="D273" t="s">
        <v>6318</v>
      </c>
      <c r="E273" t="s">
        <v>104</v>
      </c>
      <c r="F273" t="s">
        <v>6710</v>
      </c>
      <c r="G273" t="s">
        <v>6589</v>
      </c>
      <c r="H273" s="1" t="s">
        <v>4440</v>
      </c>
    </row>
    <row r="274" spans="1:8">
      <c r="A274" s="1" t="s">
        <v>4398</v>
      </c>
      <c r="B274" s="1" t="s">
        <v>4398</v>
      </c>
      <c r="C274" t="s">
        <v>6790</v>
      </c>
      <c r="D274" t="s">
        <v>6322</v>
      </c>
      <c r="E274" t="s">
        <v>104</v>
      </c>
      <c r="F274" t="s">
        <v>6791</v>
      </c>
      <c r="G274" t="s">
        <v>6792</v>
      </c>
      <c r="H274" s="1" t="s">
        <v>4398</v>
      </c>
    </row>
    <row r="275" spans="1:8">
      <c r="A275" s="1" t="s">
        <v>47</v>
      </c>
      <c r="B275" s="1" t="s">
        <v>47</v>
      </c>
      <c r="C275" t="s">
        <v>6907</v>
      </c>
      <c r="D275" t="s">
        <v>6908</v>
      </c>
      <c r="E275" t="s">
        <v>104</v>
      </c>
      <c r="F275" t="s">
        <v>6909</v>
      </c>
      <c r="G275" t="s">
        <v>6910</v>
      </c>
      <c r="H275" s="1" t="s">
        <v>47</v>
      </c>
    </row>
    <row r="276" spans="1:8">
      <c r="A276" s="1" t="s">
        <v>4402</v>
      </c>
      <c r="B276" s="1" t="s">
        <v>4402</v>
      </c>
      <c r="C276" t="s">
        <v>4402</v>
      </c>
      <c r="D276" t="s">
        <v>6908</v>
      </c>
      <c r="E276" t="s">
        <v>104</v>
      </c>
      <c r="F276" t="s">
        <v>6909</v>
      </c>
      <c r="G276" t="s">
        <v>6910</v>
      </c>
      <c r="H276" s="1" t="s">
        <v>4402</v>
      </c>
    </row>
    <row r="277" spans="1:8">
      <c r="A277" s="1" t="s">
        <v>4421</v>
      </c>
      <c r="B277" s="1" t="s">
        <v>6271</v>
      </c>
      <c r="C277" t="s">
        <v>4402</v>
      </c>
      <c r="D277" t="s">
        <v>6908</v>
      </c>
      <c r="E277" t="s">
        <v>104</v>
      </c>
      <c r="F277" t="s">
        <v>6909</v>
      </c>
      <c r="G277" t="s">
        <v>6910</v>
      </c>
      <c r="H277" s="1" t="s">
        <v>6271</v>
      </c>
    </row>
    <row r="278" spans="1:8">
      <c r="A278" s="1" t="s">
        <v>87</v>
      </c>
      <c r="B278" s="1" t="s">
        <v>87</v>
      </c>
      <c r="C278" t="s">
        <v>6635</v>
      </c>
      <c r="D278" t="s">
        <v>6636</v>
      </c>
      <c r="E278" t="s">
        <v>104</v>
      </c>
      <c r="F278" t="s">
        <v>6637</v>
      </c>
      <c r="G278" t="s">
        <v>6638</v>
      </c>
      <c r="H278" s="1" t="s">
        <v>87</v>
      </c>
    </row>
    <row r="279" spans="1:8">
      <c r="A279" s="1" t="s">
        <v>4645</v>
      </c>
      <c r="B279" s="1" t="s">
        <v>6189</v>
      </c>
      <c r="C279" t="s">
        <v>6558</v>
      </c>
      <c r="D279" t="s">
        <v>6559</v>
      </c>
      <c r="E279" t="s">
        <v>104</v>
      </c>
      <c r="F279" t="s">
        <v>6560</v>
      </c>
      <c r="G279" t="s">
        <v>6561</v>
      </c>
      <c r="H279" s="1" t="s">
        <v>6189</v>
      </c>
    </row>
    <row r="280" spans="1:8">
      <c r="A280" s="1" t="s">
        <v>4478</v>
      </c>
      <c r="B280" s="1" t="s">
        <v>4478</v>
      </c>
      <c r="C280" t="s">
        <v>4478</v>
      </c>
      <c r="D280" t="s">
        <v>6849</v>
      </c>
      <c r="E280" t="s">
        <v>104</v>
      </c>
      <c r="F280" t="s">
        <v>6850</v>
      </c>
      <c r="G280" t="s">
        <v>6851</v>
      </c>
      <c r="H280" s="1" t="s">
        <v>4478</v>
      </c>
    </row>
    <row r="281" spans="1:8">
      <c r="A281" s="1" t="s">
        <v>4466</v>
      </c>
      <c r="B281" s="1" t="s">
        <v>6192</v>
      </c>
      <c r="C281" t="s">
        <v>6703</v>
      </c>
      <c r="D281" t="s">
        <v>6704</v>
      </c>
      <c r="E281" t="s">
        <v>104</v>
      </c>
      <c r="F281" t="s">
        <v>6705</v>
      </c>
      <c r="G281" t="s">
        <v>6706</v>
      </c>
      <c r="H281" s="1" t="s">
        <v>6192</v>
      </c>
    </row>
    <row r="282" spans="1:8">
      <c r="A282" s="1" t="s">
        <v>2576</v>
      </c>
      <c r="B282" s="1" t="s">
        <v>2576</v>
      </c>
      <c r="C282" t="s">
        <v>6888</v>
      </c>
      <c r="D282" t="s">
        <v>6345</v>
      </c>
      <c r="E282" t="s">
        <v>104</v>
      </c>
      <c r="F282" t="s">
        <v>6889</v>
      </c>
      <c r="G282" t="s">
        <v>6890</v>
      </c>
      <c r="H282" s="1" t="s">
        <v>2576</v>
      </c>
    </row>
    <row r="283" spans="1:8">
      <c r="A283" s="1" t="s">
        <v>6166</v>
      </c>
      <c r="B283" s="1" t="s">
        <v>6263</v>
      </c>
      <c r="C283" t="s">
        <v>6829</v>
      </c>
      <c r="D283" t="s">
        <v>6830</v>
      </c>
      <c r="E283" t="s">
        <v>6290</v>
      </c>
      <c r="F283" t="s">
        <v>6831</v>
      </c>
      <c r="G283" t="s">
        <v>6832</v>
      </c>
      <c r="H283" s="1" t="s">
        <v>6263</v>
      </c>
    </row>
    <row r="284" spans="1:8">
      <c r="A284" s="1" t="s">
        <v>5623</v>
      </c>
      <c r="B284" s="1" t="s">
        <v>5623</v>
      </c>
      <c r="C284" t="s">
        <v>5623</v>
      </c>
      <c r="D284" t="s">
        <v>6665</v>
      </c>
      <c r="E284" t="s">
        <v>11</v>
      </c>
      <c r="F284" t="s">
        <v>6666</v>
      </c>
      <c r="G284" t="s">
        <v>6667</v>
      </c>
      <c r="H284" s="1" t="s">
        <v>5623</v>
      </c>
    </row>
    <row r="285" spans="1:8">
      <c r="A285" s="1" t="s">
        <v>111</v>
      </c>
      <c r="B285" s="1" t="s">
        <v>111</v>
      </c>
      <c r="C285" t="s">
        <v>6696</v>
      </c>
      <c r="D285" t="s">
        <v>6455</v>
      </c>
      <c r="E285" t="s">
        <v>3995</v>
      </c>
      <c r="F285" t="s">
        <v>6697</v>
      </c>
      <c r="G285" t="s">
        <v>6698</v>
      </c>
      <c r="H285" s="1" t="s">
        <v>111</v>
      </c>
    </row>
    <row r="286" spans="1:8">
      <c r="A286" s="1" t="s">
        <v>5631</v>
      </c>
      <c r="B286" s="1" t="s">
        <v>5631</v>
      </c>
      <c r="C286" t="s">
        <v>5631</v>
      </c>
      <c r="D286" t="s">
        <v>6291</v>
      </c>
      <c r="E286" t="s">
        <v>3995</v>
      </c>
      <c r="F286" t="s">
        <v>6676</v>
      </c>
      <c r="G286" t="s">
        <v>6677</v>
      </c>
      <c r="H286" s="1" t="s">
        <v>5631</v>
      </c>
    </row>
    <row r="287" spans="1:8">
      <c r="A287" s="1" t="s">
        <v>4020</v>
      </c>
      <c r="B287" s="1" t="s">
        <v>4020</v>
      </c>
      <c r="C287" t="s">
        <v>4020</v>
      </c>
      <c r="D287" t="s">
        <v>6291</v>
      </c>
      <c r="E287" t="s">
        <v>3995</v>
      </c>
      <c r="F287" t="s">
        <v>6676</v>
      </c>
      <c r="G287" t="s">
        <v>6677</v>
      </c>
      <c r="H287" s="1" t="s">
        <v>4020</v>
      </c>
    </row>
    <row r="288" spans="1:8">
      <c r="A288" s="1" t="s">
        <v>5661</v>
      </c>
      <c r="B288" s="1" t="s">
        <v>5661</v>
      </c>
      <c r="C288" t="s">
        <v>6515</v>
      </c>
      <c r="D288" t="s">
        <v>6324</v>
      </c>
      <c r="E288" t="s">
        <v>11</v>
      </c>
      <c r="F288" t="s">
        <v>6516</v>
      </c>
      <c r="G288" t="s">
        <v>6517</v>
      </c>
      <c r="H288" s="1" t="s">
        <v>5661</v>
      </c>
    </row>
    <row r="289" spans="1:8">
      <c r="A289" s="1" t="s">
        <v>3995</v>
      </c>
      <c r="B289" s="1" t="s">
        <v>3995</v>
      </c>
      <c r="C289" t="s">
        <v>3995</v>
      </c>
      <c r="D289" t="s">
        <v>3995</v>
      </c>
      <c r="E289" t="s">
        <v>3995</v>
      </c>
      <c r="F289" t="s">
        <v>6556</v>
      </c>
      <c r="G289" t="s">
        <v>6557</v>
      </c>
      <c r="H289" s="1" t="s">
        <v>3995</v>
      </c>
    </row>
    <row r="290" spans="1:8">
      <c r="A290" s="1" t="s">
        <v>2869</v>
      </c>
      <c r="B290" s="1" t="s">
        <v>2869</v>
      </c>
      <c r="C290" t="s">
        <v>6690</v>
      </c>
      <c r="D290" t="s">
        <v>6329</v>
      </c>
      <c r="E290" t="s">
        <v>11</v>
      </c>
      <c r="F290" t="s">
        <v>6691</v>
      </c>
      <c r="G290" t="s">
        <v>6692</v>
      </c>
      <c r="H290" s="1" t="s">
        <v>2869</v>
      </c>
    </row>
    <row r="291" spans="1:8">
      <c r="A291" s="1" t="s">
        <v>4560</v>
      </c>
      <c r="B291" s="1" t="s">
        <v>4560</v>
      </c>
      <c r="C291" t="s">
        <v>6629</v>
      </c>
      <c r="D291" t="s">
        <v>6324</v>
      </c>
      <c r="E291" t="s">
        <v>11</v>
      </c>
      <c r="F291" t="s">
        <v>6630</v>
      </c>
      <c r="G291" t="s">
        <v>6631</v>
      </c>
      <c r="H291" s="1" t="s">
        <v>4560</v>
      </c>
    </row>
    <row r="292" spans="1:8">
      <c r="A292" s="1" t="s">
        <v>4010</v>
      </c>
      <c r="B292" s="1" t="s">
        <v>4010</v>
      </c>
      <c r="C292" t="s">
        <v>4010</v>
      </c>
      <c r="D292" t="s">
        <v>6291</v>
      </c>
      <c r="E292" t="s">
        <v>3995</v>
      </c>
      <c r="F292" t="s">
        <v>6823</v>
      </c>
      <c r="G292" t="s">
        <v>6824</v>
      </c>
      <c r="H292" s="1" t="s">
        <v>4010</v>
      </c>
    </row>
    <row r="293" spans="1:8">
      <c r="A293" s="1" t="s">
        <v>6053</v>
      </c>
      <c r="B293" s="1" t="s">
        <v>6053</v>
      </c>
      <c r="C293" t="s">
        <v>6053</v>
      </c>
      <c r="D293" t="s">
        <v>6324</v>
      </c>
      <c r="E293" t="s">
        <v>11</v>
      </c>
      <c r="F293" t="s">
        <v>6668</v>
      </c>
      <c r="G293" t="s">
        <v>6669</v>
      </c>
      <c r="H293" s="1" t="s">
        <v>6053</v>
      </c>
    </row>
    <row r="294" spans="1:8">
      <c r="A294" s="1" t="s">
        <v>5787</v>
      </c>
      <c r="B294" s="1" t="s">
        <v>5787</v>
      </c>
      <c r="C294" t="s">
        <v>5787</v>
      </c>
      <c r="D294" t="s">
        <v>6291</v>
      </c>
      <c r="E294" t="s">
        <v>3995</v>
      </c>
      <c r="F294" t="s">
        <v>6816</v>
      </c>
      <c r="G294" t="s">
        <v>6817</v>
      </c>
      <c r="H294" s="1" t="s">
        <v>5787</v>
      </c>
    </row>
    <row r="295" spans="1:8">
      <c r="A295" s="1" t="s">
        <v>2962</v>
      </c>
      <c r="B295" s="1" t="s">
        <v>2962</v>
      </c>
      <c r="C295" t="s">
        <v>2962</v>
      </c>
      <c r="D295" t="s">
        <v>6473</v>
      </c>
      <c r="E295" t="s">
        <v>11</v>
      </c>
      <c r="F295" t="s">
        <v>6920</v>
      </c>
      <c r="G295" t="s">
        <v>6921</v>
      </c>
      <c r="H295" s="1" t="s">
        <v>2962</v>
      </c>
    </row>
    <row r="296" spans="1:8">
      <c r="A296" s="1" t="s">
        <v>4475</v>
      </c>
      <c r="B296" s="1" t="s">
        <v>4475</v>
      </c>
      <c r="C296" t="s">
        <v>4475</v>
      </c>
      <c r="D296" t="s">
        <v>6291</v>
      </c>
      <c r="E296" t="s">
        <v>3995</v>
      </c>
      <c r="F296" t="s">
        <v>6879</v>
      </c>
      <c r="G296" t="s">
        <v>6880</v>
      </c>
      <c r="H296" s="1" t="s">
        <v>4475</v>
      </c>
    </row>
    <row r="297" spans="1:8">
      <c r="A297" s="1" t="s">
        <v>5682</v>
      </c>
      <c r="B297" s="1" t="s">
        <v>5682</v>
      </c>
      <c r="C297" t="s">
        <v>6541</v>
      </c>
      <c r="D297" t="s">
        <v>6291</v>
      </c>
      <c r="E297" t="s">
        <v>3995</v>
      </c>
      <c r="F297" t="s">
        <v>6542</v>
      </c>
      <c r="G297" t="s">
        <v>6543</v>
      </c>
      <c r="H297" s="1" t="s">
        <v>5682</v>
      </c>
    </row>
    <row r="298" spans="1:8">
      <c r="A298" s="1" t="s">
        <v>4159</v>
      </c>
      <c r="B298" s="1" t="s">
        <v>4159</v>
      </c>
      <c r="C298" t="s">
        <v>6538</v>
      </c>
      <c r="D298" t="s">
        <v>6295</v>
      </c>
      <c r="E298" t="s">
        <v>11</v>
      </c>
      <c r="F298" t="s">
        <v>6539</v>
      </c>
      <c r="G298" t="s">
        <v>6540</v>
      </c>
      <c r="H298" s="1" t="s">
        <v>4159</v>
      </c>
    </row>
    <row r="299" spans="1:8">
      <c r="A299" s="1" t="s">
        <v>73</v>
      </c>
      <c r="B299" s="1" t="s">
        <v>73</v>
      </c>
      <c r="C299" t="s">
        <v>6678</v>
      </c>
      <c r="D299" t="s">
        <v>6473</v>
      </c>
      <c r="E299" t="s">
        <v>11</v>
      </c>
      <c r="F299" t="s">
        <v>6679</v>
      </c>
      <c r="G299" t="s">
        <v>6680</v>
      </c>
      <c r="H299" s="1" t="s">
        <v>73</v>
      </c>
    </row>
    <row r="300" spans="1:8">
      <c r="A300" s="1" t="s">
        <v>5786</v>
      </c>
      <c r="B300" s="1" t="s">
        <v>5786</v>
      </c>
      <c r="C300" t="s">
        <v>5786</v>
      </c>
      <c r="D300" t="s">
        <v>6291</v>
      </c>
      <c r="E300" t="s">
        <v>3995</v>
      </c>
      <c r="F300" t="s">
        <v>6714</v>
      </c>
      <c r="G300" t="s">
        <v>6715</v>
      </c>
      <c r="H300" s="1" t="s">
        <v>5786</v>
      </c>
    </row>
    <row r="301" spans="1:8">
      <c r="A301" s="1" t="s">
        <v>2763</v>
      </c>
      <c r="B301" s="1" t="s">
        <v>2763</v>
      </c>
      <c r="C301" t="s">
        <v>6810</v>
      </c>
      <c r="D301" t="s">
        <v>6291</v>
      </c>
      <c r="E301" t="s">
        <v>3995</v>
      </c>
      <c r="F301" t="s">
        <v>6811</v>
      </c>
      <c r="G301" t="s">
        <v>6715</v>
      </c>
      <c r="H301" s="1" t="s">
        <v>2763</v>
      </c>
    </row>
    <row r="302" spans="1:8">
      <c r="A302" s="1" t="s">
        <v>5114</v>
      </c>
      <c r="B302" s="1" t="s">
        <v>5114</v>
      </c>
      <c r="C302" t="s">
        <v>6670</v>
      </c>
      <c r="D302" t="s">
        <v>6371</v>
      </c>
      <c r="E302" t="s">
        <v>11</v>
      </c>
      <c r="F302" t="s">
        <v>6671</v>
      </c>
      <c r="G302" t="s">
        <v>6672</v>
      </c>
      <c r="H302" s="1" t="s">
        <v>5114</v>
      </c>
    </row>
    <row r="303" spans="1:8">
      <c r="A303" s="1" t="s">
        <v>5657</v>
      </c>
      <c r="B303" s="1" t="s">
        <v>5657</v>
      </c>
      <c r="C303" t="s">
        <v>5657</v>
      </c>
      <c r="D303" t="s">
        <v>6291</v>
      </c>
      <c r="E303" t="s">
        <v>3995</v>
      </c>
      <c r="F303" t="s">
        <v>6933</v>
      </c>
      <c r="G303" t="s">
        <v>6934</v>
      </c>
      <c r="H303" s="1" t="s">
        <v>5657</v>
      </c>
    </row>
    <row r="304" spans="1:8">
      <c r="A304" s="1" t="s">
        <v>5722</v>
      </c>
      <c r="B304" s="1" t="s">
        <v>5722</v>
      </c>
      <c r="C304" t="s">
        <v>5722</v>
      </c>
      <c r="D304" t="s">
        <v>6295</v>
      </c>
      <c r="E304" t="s">
        <v>11</v>
      </c>
      <c r="F304" t="s">
        <v>6881</v>
      </c>
      <c r="G304" t="s">
        <v>6882</v>
      </c>
      <c r="H304" s="1" t="s">
        <v>5722</v>
      </c>
    </row>
    <row r="305" spans="1:8">
      <c r="A305" s="1" t="s">
        <v>4537</v>
      </c>
      <c r="B305" s="1" t="s">
        <v>4537</v>
      </c>
      <c r="C305" t="s">
        <v>6897</v>
      </c>
      <c r="D305" t="s">
        <v>6473</v>
      </c>
      <c r="E305" t="s">
        <v>11</v>
      </c>
      <c r="F305" t="s">
        <v>6898</v>
      </c>
      <c r="G305" t="s">
        <v>6899</v>
      </c>
      <c r="H305" s="1" t="s">
        <v>4537</v>
      </c>
    </row>
    <row r="306" spans="1:8">
      <c r="A306" s="1" t="s">
        <v>75</v>
      </c>
      <c r="B306" s="1" t="s">
        <v>6272</v>
      </c>
      <c r="C306" t="s">
        <v>6473</v>
      </c>
      <c r="D306" t="s">
        <v>6473</v>
      </c>
      <c r="E306" t="s">
        <v>11</v>
      </c>
      <c r="F306" t="s">
        <v>6911</v>
      </c>
      <c r="G306" t="s">
        <v>6912</v>
      </c>
      <c r="H306" s="1" t="s">
        <v>6272</v>
      </c>
    </row>
    <row r="307" spans="1:8">
      <c r="A307" s="1" t="s">
        <v>5793</v>
      </c>
      <c r="B307" s="1" t="s">
        <v>5793</v>
      </c>
      <c r="C307" t="s">
        <v>5793</v>
      </c>
      <c r="D307" t="s">
        <v>6295</v>
      </c>
      <c r="E307" t="s">
        <v>11</v>
      </c>
      <c r="F307" t="s">
        <v>6741</v>
      </c>
      <c r="G307" t="s">
        <v>6742</v>
      </c>
      <c r="H307" s="1" t="s">
        <v>5793</v>
      </c>
    </row>
    <row r="308" spans="1:8">
      <c r="A308" s="1" t="s">
        <v>5788</v>
      </c>
      <c r="B308" s="1" t="s">
        <v>5788</v>
      </c>
      <c r="C308" t="s">
        <v>5788</v>
      </c>
      <c r="D308" t="s">
        <v>6291</v>
      </c>
      <c r="E308" t="s">
        <v>3995</v>
      </c>
      <c r="F308" t="s">
        <v>6963</v>
      </c>
      <c r="G308" t="s">
        <v>6964</v>
      </c>
      <c r="H308" s="1" t="s">
        <v>5788</v>
      </c>
    </row>
    <row r="309" spans="1:8">
      <c r="A309" s="1" t="s">
        <v>5719</v>
      </c>
      <c r="B309" s="1" t="s">
        <v>5719</v>
      </c>
      <c r="C309" t="s">
        <v>5719</v>
      </c>
      <c r="D309" t="s">
        <v>5719</v>
      </c>
      <c r="E309" t="s">
        <v>6288</v>
      </c>
      <c r="F309" t="s">
        <v>6808</v>
      </c>
      <c r="G309" t="s">
        <v>6809</v>
      </c>
      <c r="H309" s="1" t="s">
        <v>5719</v>
      </c>
    </row>
    <row r="310" spans="1:8">
      <c r="A310" s="1" t="s">
        <v>5730</v>
      </c>
      <c r="B310" s="1" t="s">
        <v>6260</v>
      </c>
      <c r="C310" t="s">
        <v>5719</v>
      </c>
      <c r="D310" t="s">
        <v>5719</v>
      </c>
      <c r="E310" t="s">
        <v>6288</v>
      </c>
      <c r="F310" t="s">
        <v>6808</v>
      </c>
      <c r="G310" t="s">
        <v>6809</v>
      </c>
      <c r="H310" s="1" t="s">
        <v>6260</v>
      </c>
    </row>
    <row r="311" spans="1:8">
      <c r="A311" s="1" t="s">
        <v>4163</v>
      </c>
      <c r="B311" s="1" t="s">
        <v>6261</v>
      </c>
      <c r="C311" t="s">
        <v>5719</v>
      </c>
      <c r="D311" t="s">
        <v>5719</v>
      </c>
      <c r="E311" t="s">
        <v>6288</v>
      </c>
      <c r="F311" t="s">
        <v>6808</v>
      </c>
      <c r="G311" t="s">
        <v>6809</v>
      </c>
      <c r="H311" s="1" t="s">
        <v>6261</v>
      </c>
    </row>
    <row r="312" spans="1:8">
      <c r="A312" s="1" t="s">
        <v>5626</v>
      </c>
      <c r="B312" s="1" t="s">
        <v>5626</v>
      </c>
      <c r="C312" t="s">
        <v>6735</v>
      </c>
      <c r="D312" t="s">
        <v>6287</v>
      </c>
      <c r="E312" t="s">
        <v>6288</v>
      </c>
      <c r="F312" t="s">
        <v>6736</v>
      </c>
      <c r="G312" t="s">
        <v>6737</v>
      </c>
      <c r="H312" s="1" t="s">
        <v>5626</v>
      </c>
    </row>
    <row r="313" spans="1:8">
      <c r="A313" s="1" t="s">
        <v>70</v>
      </c>
      <c r="B313" s="1" t="s">
        <v>70</v>
      </c>
      <c r="C313" t="s">
        <v>6512</v>
      </c>
      <c r="D313" t="s">
        <v>6299</v>
      </c>
      <c r="E313" t="s">
        <v>11</v>
      </c>
      <c r="F313" t="s">
        <v>6513</v>
      </c>
      <c r="G313" t="s">
        <v>6514</v>
      </c>
      <c r="H313" s="1" t="s">
        <v>70</v>
      </c>
    </row>
    <row r="314" spans="1:8">
      <c r="A314" s="1" t="s">
        <v>5784</v>
      </c>
      <c r="B314" s="1" t="s">
        <v>5784</v>
      </c>
      <c r="C314" t="s">
        <v>5784</v>
      </c>
      <c r="D314" t="s">
        <v>6722</v>
      </c>
      <c r="E314" t="s">
        <v>3995</v>
      </c>
      <c r="F314" t="s">
        <v>6723</v>
      </c>
      <c r="G314" t="s">
        <v>6724</v>
      </c>
      <c r="H314" s="1" t="s">
        <v>5784</v>
      </c>
    </row>
    <row r="315" spans="1:8">
      <c r="A315" s="1" t="s">
        <v>2915</v>
      </c>
      <c r="B315" s="1" t="s">
        <v>2915</v>
      </c>
      <c r="C315" t="s">
        <v>2915</v>
      </c>
      <c r="D315" t="s">
        <v>6650</v>
      </c>
      <c r="E315" t="s">
        <v>11</v>
      </c>
      <c r="F315" t="s">
        <v>6651</v>
      </c>
      <c r="G315" t="s">
        <v>6652</v>
      </c>
      <c r="H315" s="1" t="s">
        <v>2915</v>
      </c>
    </row>
    <row r="316" spans="1:8">
      <c r="A316" s="1" t="s">
        <v>5720</v>
      </c>
      <c r="B316" s="1" t="s">
        <v>5720</v>
      </c>
      <c r="C316" t="s">
        <v>5720</v>
      </c>
      <c r="D316" t="s">
        <v>6427</v>
      </c>
      <c r="E316" t="s">
        <v>6288</v>
      </c>
      <c r="F316" t="s">
        <v>6639</v>
      </c>
      <c r="G316" t="s">
        <v>6640</v>
      </c>
      <c r="H316" s="1" t="s">
        <v>5720</v>
      </c>
    </row>
    <row r="317" spans="1:8">
      <c r="A317" s="1" t="s">
        <v>6045</v>
      </c>
      <c r="B317" s="1" t="s">
        <v>6045</v>
      </c>
      <c r="C317" t="s">
        <v>6562</v>
      </c>
      <c r="D317" t="s">
        <v>6287</v>
      </c>
      <c r="E317" t="s">
        <v>6288</v>
      </c>
      <c r="F317" t="s">
        <v>6563</v>
      </c>
      <c r="G317" t="s">
        <v>6564</v>
      </c>
      <c r="H317" s="1" t="s">
        <v>6045</v>
      </c>
    </row>
    <row r="318" spans="1:8">
      <c r="A318" s="1" t="s">
        <v>6023</v>
      </c>
      <c r="B318" s="1" t="s">
        <v>6023</v>
      </c>
      <c r="C318" t="s">
        <v>6023</v>
      </c>
      <c r="D318" t="s">
        <v>6718</v>
      </c>
      <c r="E318" t="s">
        <v>6719</v>
      </c>
      <c r="F318" t="s">
        <v>6720</v>
      </c>
      <c r="G318" t="s">
        <v>6721</v>
      </c>
      <c r="H318" s="1" t="s">
        <v>6023</v>
      </c>
    </row>
    <row r="319" spans="1:8">
      <c r="A319" s="1" t="s">
        <v>5634</v>
      </c>
      <c r="B319" s="1" t="s">
        <v>5634</v>
      </c>
      <c r="C319" t="s">
        <v>5634</v>
      </c>
      <c r="D319" t="s">
        <v>6287</v>
      </c>
      <c r="E319" t="s">
        <v>6288</v>
      </c>
      <c r="F319" t="s">
        <v>6865</v>
      </c>
      <c r="G319" t="s">
        <v>6866</v>
      </c>
      <c r="H319" s="1" t="s">
        <v>5634</v>
      </c>
    </row>
    <row r="320" spans="1:8">
      <c r="A320" s="1" t="s">
        <v>5723</v>
      </c>
      <c r="B320" s="1" t="s">
        <v>5723</v>
      </c>
      <c r="C320" t="s">
        <v>5723</v>
      </c>
      <c r="D320" t="s">
        <v>6427</v>
      </c>
      <c r="E320" t="s">
        <v>6288</v>
      </c>
      <c r="F320" t="s">
        <v>6860</v>
      </c>
      <c r="G320" t="s">
        <v>6861</v>
      </c>
      <c r="H320" s="1" t="s">
        <v>5723</v>
      </c>
    </row>
    <row r="321" spans="1:8">
      <c r="A321" s="1" t="s">
        <v>5721</v>
      </c>
      <c r="B321" s="1" t="s">
        <v>5721</v>
      </c>
      <c r="C321" t="s">
        <v>5721</v>
      </c>
      <c r="D321" t="s">
        <v>6427</v>
      </c>
      <c r="E321" t="s">
        <v>6288</v>
      </c>
      <c r="F321" t="s">
        <v>6544</v>
      </c>
      <c r="G321" t="s">
        <v>6545</v>
      </c>
      <c r="H321" s="1" t="s">
        <v>5721</v>
      </c>
    </row>
    <row r="322" spans="1:8">
      <c r="A322" s="1" t="s">
        <v>6049</v>
      </c>
      <c r="B322" s="1" t="s">
        <v>6049</v>
      </c>
      <c r="C322" t="s">
        <v>6049</v>
      </c>
      <c r="D322" t="s">
        <v>6928</v>
      </c>
      <c r="E322" t="s">
        <v>6288</v>
      </c>
      <c r="F322" t="s">
        <v>6929</v>
      </c>
      <c r="G322" t="s">
        <v>6930</v>
      </c>
      <c r="H322" s="1" t="s">
        <v>6049</v>
      </c>
    </row>
    <row r="323" spans="1:8">
      <c r="A323" s="1" t="s">
        <v>6054</v>
      </c>
      <c r="B323" s="1" t="s">
        <v>6054</v>
      </c>
      <c r="C323" t="s">
        <v>6054</v>
      </c>
      <c r="D323" t="s">
        <v>6287</v>
      </c>
      <c r="E323" t="s">
        <v>6288</v>
      </c>
      <c r="F323" t="s">
        <v>6821</v>
      </c>
      <c r="G323" t="s">
        <v>6822</v>
      </c>
      <c r="H323" s="1" t="s">
        <v>6054</v>
      </c>
    </row>
    <row r="324" spans="1:8">
      <c r="A324" s="1" t="s">
        <v>5685</v>
      </c>
      <c r="B324" s="1" t="s">
        <v>5685</v>
      </c>
      <c r="C324" t="s">
        <v>6877</v>
      </c>
      <c r="D324" t="s">
        <v>6287</v>
      </c>
      <c r="E324" t="s">
        <v>6288</v>
      </c>
      <c r="F324" t="s">
        <v>6878</v>
      </c>
      <c r="G324" t="s">
        <v>6822</v>
      </c>
      <c r="H324" s="1" t="s">
        <v>5685</v>
      </c>
    </row>
    <row r="325" spans="1:8">
      <c r="A325" s="1" t="s">
        <v>6017</v>
      </c>
      <c r="B325" s="1" t="s">
        <v>6017</v>
      </c>
      <c r="C325" t="s">
        <v>6017</v>
      </c>
      <c r="D325" t="s">
        <v>6287</v>
      </c>
      <c r="E325" t="s">
        <v>6288</v>
      </c>
      <c r="F325" t="s">
        <v>6843</v>
      </c>
      <c r="G325" t="s">
        <v>6844</v>
      </c>
      <c r="H325" s="1" t="s">
        <v>6017</v>
      </c>
    </row>
    <row r="326" spans="1:8">
      <c r="A326" s="1" t="s">
        <v>5732</v>
      </c>
      <c r="B326" s="1" t="s">
        <v>5732</v>
      </c>
      <c r="C326" t="s">
        <v>5732</v>
      </c>
      <c r="D326" t="s">
        <v>6287</v>
      </c>
      <c r="E326" t="s">
        <v>6288</v>
      </c>
      <c r="F326" t="s">
        <v>6926</v>
      </c>
      <c r="G326" t="s">
        <v>6927</v>
      </c>
      <c r="H326" s="1" t="s">
        <v>5732</v>
      </c>
    </row>
    <row r="327" spans="1:8">
      <c r="A327" s="1" t="s">
        <v>5619</v>
      </c>
      <c r="B327" s="1" t="s">
        <v>5619</v>
      </c>
      <c r="C327" t="s">
        <v>5619</v>
      </c>
      <c r="D327" t="s">
        <v>6568</v>
      </c>
      <c r="E327" t="s">
        <v>6288</v>
      </c>
      <c r="F327" t="s">
        <v>6569</v>
      </c>
      <c r="G327" t="s">
        <v>6570</v>
      </c>
      <c r="H327" s="1" t="s">
        <v>5619</v>
      </c>
    </row>
    <row r="328" spans="1:8">
      <c r="A328" s="1" t="s">
        <v>5718</v>
      </c>
      <c r="B328" s="1" t="s">
        <v>5718</v>
      </c>
      <c r="C328" t="s">
        <v>6953</v>
      </c>
      <c r="D328" t="s">
        <v>6954</v>
      </c>
      <c r="E328" t="s">
        <v>6288</v>
      </c>
      <c r="F328" t="s">
        <v>6955</v>
      </c>
      <c r="G328" t="s">
        <v>6956</v>
      </c>
      <c r="H328" s="1" t="s">
        <v>5718</v>
      </c>
    </row>
    <row r="329" spans="1:8">
      <c r="A329" s="1" t="s">
        <v>4515</v>
      </c>
      <c r="B329" s="1" t="s">
        <v>4515</v>
      </c>
      <c r="C329" t="s">
        <v>4515</v>
      </c>
      <c r="D329" t="s">
        <v>6404</v>
      </c>
      <c r="E329" t="s">
        <v>11</v>
      </c>
      <c r="F329" t="s">
        <v>6641</v>
      </c>
      <c r="G329" t="s">
        <v>6642</v>
      </c>
      <c r="H329" s="1" t="s">
        <v>4515</v>
      </c>
    </row>
    <row r="330" spans="1:8">
      <c r="A330" s="1" t="s">
        <v>2796</v>
      </c>
      <c r="B330" s="1" t="s">
        <v>2796</v>
      </c>
      <c r="C330" t="s">
        <v>6699</v>
      </c>
      <c r="D330" t="s">
        <v>6700</v>
      </c>
      <c r="E330" t="s">
        <v>6700</v>
      </c>
      <c r="F330" t="s">
        <v>6701</v>
      </c>
      <c r="G330" t="s">
        <v>6702</v>
      </c>
      <c r="H330" s="1" t="s">
        <v>2796</v>
      </c>
    </row>
    <row r="331" spans="1:8">
      <c r="A331" s="1" t="s">
        <v>4528</v>
      </c>
      <c r="B331" s="1" t="s">
        <v>4528</v>
      </c>
      <c r="C331" t="s">
        <v>4528</v>
      </c>
      <c r="D331" t="s">
        <v>6707</v>
      </c>
      <c r="E331" t="s">
        <v>104</v>
      </c>
      <c r="F331" t="s">
        <v>6708</v>
      </c>
      <c r="G331" t="s">
        <v>6709</v>
      </c>
      <c r="H331" s="1" t="s">
        <v>4528</v>
      </c>
    </row>
    <row r="332" spans="1:8">
      <c r="A332" s="1" t="s">
        <v>2704</v>
      </c>
      <c r="B332" s="1" t="s">
        <v>2704</v>
      </c>
      <c r="C332" t="s">
        <v>2704</v>
      </c>
      <c r="D332" t="s">
        <v>6607</v>
      </c>
      <c r="E332" t="s">
        <v>104</v>
      </c>
      <c r="F332" t="s">
        <v>6608</v>
      </c>
      <c r="G332" t="s">
        <v>6609</v>
      </c>
      <c r="H332" s="1" t="s">
        <v>2704</v>
      </c>
    </row>
    <row r="333" spans="1:8">
      <c r="A333" s="1" t="s">
        <v>4050</v>
      </c>
      <c r="B333" s="1" t="s">
        <v>6274</v>
      </c>
      <c r="C333" t="s">
        <v>6922</v>
      </c>
      <c r="D333" t="s">
        <v>6923</v>
      </c>
      <c r="E333" t="s">
        <v>6290</v>
      </c>
      <c r="F333" t="s">
        <v>6924</v>
      </c>
      <c r="G333" t="s">
        <v>6925</v>
      </c>
      <c r="H333" s="1" t="s">
        <v>6274</v>
      </c>
    </row>
    <row r="334" spans="1:8">
      <c r="A334" s="1" t="s">
        <v>4503</v>
      </c>
      <c r="B334" s="1" t="s">
        <v>4503</v>
      </c>
      <c r="C334" t="s">
        <v>4503</v>
      </c>
      <c r="D334" t="s">
        <v>6571</v>
      </c>
      <c r="E334" t="s">
        <v>104</v>
      </c>
      <c r="F334" t="s">
        <v>6572</v>
      </c>
      <c r="G334" t="s">
        <v>6573</v>
      </c>
      <c r="H334" s="1" t="s">
        <v>4503</v>
      </c>
    </row>
    <row r="335" spans="1:8">
      <c r="A335" s="1" t="s">
        <v>4540</v>
      </c>
      <c r="B335" s="1" t="s">
        <v>4540</v>
      </c>
      <c r="C335" t="s">
        <v>6762</v>
      </c>
      <c r="D335" t="s">
        <v>6763</v>
      </c>
      <c r="E335" t="s">
        <v>104</v>
      </c>
      <c r="F335" t="s">
        <v>6764</v>
      </c>
      <c r="G335" t="s">
        <v>6765</v>
      </c>
      <c r="H335" s="1" t="s">
        <v>4540</v>
      </c>
    </row>
    <row r="336" spans="1:8">
      <c r="A336" s="1" t="s">
        <v>108</v>
      </c>
      <c r="B336" s="1" t="s">
        <v>108</v>
      </c>
      <c r="C336" t="s">
        <v>108</v>
      </c>
      <c r="D336" t="s">
        <v>6859</v>
      </c>
      <c r="E336" t="s">
        <v>104</v>
      </c>
      <c r="F336" t="s">
        <v>6764</v>
      </c>
      <c r="G336" t="s">
        <v>6765</v>
      </c>
      <c r="H336" s="1" t="s">
        <v>108</v>
      </c>
    </row>
    <row r="337" spans="1:8">
      <c r="A337" s="1" t="s">
        <v>4462</v>
      </c>
      <c r="B337" s="1" t="s">
        <v>6257</v>
      </c>
      <c r="C337" t="s">
        <v>6758</v>
      </c>
      <c r="D337" t="s">
        <v>6759</v>
      </c>
      <c r="E337" t="s">
        <v>104</v>
      </c>
      <c r="F337" t="s">
        <v>6760</v>
      </c>
      <c r="G337" t="s">
        <v>6761</v>
      </c>
      <c r="H337" s="1" t="s">
        <v>6257</v>
      </c>
    </row>
    <row r="338" spans="1:8">
      <c r="A338" s="1" t="s">
        <v>4365</v>
      </c>
      <c r="B338" s="1" t="s">
        <v>4365</v>
      </c>
      <c r="C338" t="s">
        <v>6758</v>
      </c>
      <c r="D338" t="s">
        <v>6759</v>
      </c>
      <c r="E338" t="s">
        <v>104</v>
      </c>
      <c r="F338" t="s">
        <v>6760</v>
      </c>
      <c r="G338" t="s">
        <v>6761</v>
      </c>
      <c r="H338" s="1" t="s">
        <v>4365</v>
      </c>
    </row>
    <row r="339" spans="1:8">
      <c r="A339" s="1" t="s">
        <v>4359</v>
      </c>
      <c r="B339" s="1" t="s">
        <v>6258</v>
      </c>
      <c r="C339" t="s">
        <v>6758</v>
      </c>
      <c r="D339" t="s">
        <v>6759</v>
      </c>
      <c r="E339" t="s">
        <v>104</v>
      </c>
      <c r="F339" t="s">
        <v>6760</v>
      </c>
      <c r="G339" t="s">
        <v>6761</v>
      </c>
      <c r="H339" s="1" t="s">
        <v>6258</v>
      </c>
    </row>
    <row r="340" spans="1:8">
      <c r="A340" s="1" t="s">
        <v>5107</v>
      </c>
      <c r="B340" s="1" t="s">
        <v>5107</v>
      </c>
      <c r="C340" t="s">
        <v>5107</v>
      </c>
      <c r="D340" t="s">
        <v>6759</v>
      </c>
      <c r="E340" t="s">
        <v>104</v>
      </c>
      <c r="F340" t="s">
        <v>6793</v>
      </c>
      <c r="G340" t="s">
        <v>6794</v>
      </c>
      <c r="H340" s="1" t="s">
        <v>5107</v>
      </c>
    </row>
    <row r="341" spans="1:8">
      <c r="A341" s="1" t="s">
        <v>4418</v>
      </c>
      <c r="B341" s="1" t="s">
        <v>4418</v>
      </c>
      <c r="C341" t="s">
        <v>4418</v>
      </c>
      <c r="D341" t="s">
        <v>6773</v>
      </c>
      <c r="E341" t="s">
        <v>104</v>
      </c>
      <c r="F341" t="s">
        <v>6774</v>
      </c>
      <c r="G341" t="s">
        <v>6775</v>
      </c>
      <c r="H341" s="1" t="s">
        <v>4418</v>
      </c>
    </row>
    <row r="342" spans="1:8">
      <c r="A342" s="1" t="s">
        <v>2700</v>
      </c>
      <c r="B342" s="1" t="s">
        <v>2700</v>
      </c>
      <c r="C342" t="s">
        <v>2700</v>
      </c>
      <c r="D342" t="s">
        <v>6571</v>
      </c>
      <c r="E342" t="s">
        <v>104</v>
      </c>
      <c r="F342" t="s">
        <v>6801</v>
      </c>
      <c r="G342" t="s">
        <v>6802</v>
      </c>
      <c r="H342" s="1" t="s">
        <v>2700</v>
      </c>
    </row>
    <row r="343" spans="1:8">
      <c r="A343" s="1" t="s">
        <v>4468</v>
      </c>
      <c r="B343" s="1" t="s">
        <v>4468</v>
      </c>
      <c r="C343" t="s">
        <v>4468</v>
      </c>
      <c r="D343" t="s">
        <v>6378</v>
      </c>
      <c r="E343" t="s">
        <v>104</v>
      </c>
      <c r="F343" t="s">
        <v>6825</v>
      </c>
      <c r="G343" t="s">
        <v>6519</v>
      </c>
      <c r="H343" s="1" t="s">
        <v>4468</v>
      </c>
    </row>
    <row r="344" spans="1:8">
      <c r="A344" s="1" t="s">
        <v>4214</v>
      </c>
      <c r="B344" s="1" t="s">
        <v>4214</v>
      </c>
      <c r="C344" t="s">
        <v>6855</v>
      </c>
      <c r="D344" t="s">
        <v>6856</v>
      </c>
      <c r="E344" t="s">
        <v>104</v>
      </c>
      <c r="F344" t="s">
        <v>6857</v>
      </c>
      <c r="G344" t="s">
        <v>6858</v>
      </c>
      <c r="H344" s="1" t="s">
        <v>4214</v>
      </c>
    </row>
    <row r="345" spans="1:8">
      <c r="A345" s="1" t="s">
        <v>4024</v>
      </c>
      <c r="B345" s="1" t="s">
        <v>4024</v>
      </c>
      <c r="C345" t="s">
        <v>6526</v>
      </c>
      <c r="D345" t="s">
        <v>6305</v>
      </c>
      <c r="E345" t="s">
        <v>104</v>
      </c>
      <c r="F345" t="s">
        <v>6527</v>
      </c>
      <c r="G345" t="s">
        <v>6528</v>
      </c>
      <c r="H345" s="1" t="s">
        <v>4024</v>
      </c>
    </row>
    <row r="346" spans="1:8">
      <c r="A346" s="1" t="s">
        <v>4445</v>
      </c>
      <c r="B346" s="1" t="s">
        <v>4445</v>
      </c>
      <c r="C346" t="s">
        <v>4445</v>
      </c>
      <c r="D346" t="s">
        <v>6565</v>
      </c>
      <c r="E346" t="s">
        <v>104</v>
      </c>
      <c r="F346" t="s">
        <v>6756</v>
      </c>
      <c r="G346" t="s">
        <v>6757</v>
      </c>
      <c r="H346" s="1" t="s">
        <v>4445</v>
      </c>
    </row>
    <row r="347" spans="1:8">
      <c r="A347" s="1" t="s">
        <v>5112</v>
      </c>
      <c r="B347" s="1" t="s">
        <v>5112</v>
      </c>
      <c r="C347" t="s">
        <v>5112</v>
      </c>
      <c r="D347" t="s">
        <v>6795</v>
      </c>
      <c r="E347" t="s">
        <v>104</v>
      </c>
      <c r="F347" t="s">
        <v>6796</v>
      </c>
      <c r="G347" t="s">
        <v>6797</v>
      </c>
      <c r="H347" s="1" t="s">
        <v>5112</v>
      </c>
    </row>
    <row r="348" spans="1:8">
      <c r="A348" s="1" t="s">
        <v>4451</v>
      </c>
      <c r="B348" s="1" t="s">
        <v>6191</v>
      </c>
      <c r="C348" t="s">
        <v>6657</v>
      </c>
      <c r="D348" t="s">
        <v>6658</v>
      </c>
      <c r="E348" t="s">
        <v>104</v>
      </c>
      <c r="F348" t="s">
        <v>6659</v>
      </c>
      <c r="G348" t="s">
        <v>6660</v>
      </c>
      <c r="H348" s="1" t="s">
        <v>6191</v>
      </c>
    </row>
    <row r="349" spans="1:8">
      <c r="A349" s="1" t="s">
        <v>4599</v>
      </c>
      <c r="B349" s="1" t="s">
        <v>4599</v>
      </c>
      <c r="C349" t="s">
        <v>4599</v>
      </c>
      <c r="D349" t="s">
        <v>6779</v>
      </c>
      <c r="E349" t="s">
        <v>104</v>
      </c>
      <c r="F349" t="s">
        <v>6659</v>
      </c>
      <c r="G349" t="s">
        <v>6780</v>
      </c>
      <c r="H349" s="1" t="s">
        <v>4599</v>
      </c>
    </row>
    <row r="350" spans="1:8">
      <c r="A350" s="1" t="s">
        <v>5098</v>
      </c>
      <c r="B350" s="1" t="s">
        <v>5098</v>
      </c>
      <c r="C350" t="s">
        <v>5098</v>
      </c>
      <c r="D350" t="s">
        <v>6803</v>
      </c>
      <c r="E350" t="s">
        <v>104</v>
      </c>
      <c r="F350" t="s">
        <v>6659</v>
      </c>
      <c r="G350" t="s">
        <v>6804</v>
      </c>
      <c r="H350" s="1" t="s">
        <v>5098</v>
      </c>
    </row>
    <row r="351" spans="1:8">
      <c r="A351" s="1" t="s">
        <v>4441</v>
      </c>
      <c r="B351" s="1" t="s">
        <v>4441</v>
      </c>
      <c r="C351" t="s">
        <v>4441</v>
      </c>
      <c r="D351" t="s">
        <v>6594</v>
      </c>
      <c r="E351" t="s">
        <v>4016</v>
      </c>
      <c r="F351" t="s">
        <v>6891</v>
      </c>
      <c r="G351" t="s">
        <v>6892</v>
      </c>
      <c r="H351" s="1" t="s">
        <v>4441</v>
      </c>
    </row>
    <row r="352" spans="1:8">
      <c r="A352" s="1" t="s">
        <v>4469</v>
      </c>
      <c r="B352" s="1" t="s">
        <v>4469</v>
      </c>
      <c r="C352" t="s">
        <v>4469</v>
      </c>
      <c r="D352" t="s">
        <v>6565</v>
      </c>
      <c r="E352" t="s">
        <v>104</v>
      </c>
      <c r="F352" t="s">
        <v>6781</v>
      </c>
      <c r="G352" t="s">
        <v>6782</v>
      </c>
      <c r="H352" s="1" t="s">
        <v>4469</v>
      </c>
    </row>
    <row r="353" spans="1:8">
      <c r="A353" s="1" t="s">
        <v>4384</v>
      </c>
      <c r="B353" s="1" t="s">
        <v>4384</v>
      </c>
      <c r="C353" t="s">
        <v>4514</v>
      </c>
      <c r="D353" t="s">
        <v>6917</v>
      </c>
      <c r="E353" t="s">
        <v>104</v>
      </c>
      <c r="F353" t="s">
        <v>6918</v>
      </c>
      <c r="G353" t="s">
        <v>6919</v>
      </c>
      <c r="H353" s="1" t="s">
        <v>4384</v>
      </c>
    </row>
    <row r="354" spans="1:8">
      <c r="A354" s="1" t="s">
        <v>4514</v>
      </c>
      <c r="B354" s="1" t="s">
        <v>4514</v>
      </c>
      <c r="C354" t="s">
        <v>4514</v>
      </c>
      <c r="D354" t="s">
        <v>6917</v>
      </c>
      <c r="E354" t="s">
        <v>104</v>
      </c>
      <c r="F354" t="s">
        <v>6918</v>
      </c>
      <c r="G354" t="s">
        <v>6919</v>
      </c>
      <c r="H354" s="1" t="s">
        <v>4514</v>
      </c>
    </row>
    <row r="355" spans="1:8">
      <c r="A355" s="1" t="s">
        <v>4509</v>
      </c>
      <c r="B355" s="1" t="s">
        <v>4509</v>
      </c>
      <c r="C355" t="s">
        <v>4509</v>
      </c>
      <c r="D355" t="s">
        <v>6565</v>
      </c>
      <c r="E355" t="s">
        <v>104</v>
      </c>
      <c r="F355" t="s">
        <v>6566</v>
      </c>
      <c r="G355" t="s">
        <v>6567</v>
      </c>
      <c r="H355" s="1" t="s">
        <v>4509</v>
      </c>
    </row>
    <row r="356" spans="1:8">
      <c r="A356" s="1" t="s">
        <v>2696</v>
      </c>
      <c r="B356" s="1" t="s">
        <v>2696</v>
      </c>
      <c r="C356" t="s">
        <v>6711</v>
      </c>
      <c r="D356" t="s">
        <v>6658</v>
      </c>
      <c r="E356" t="s">
        <v>104</v>
      </c>
      <c r="F356" t="s">
        <v>6712</v>
      </c>
      <c r="G356" t="s">
        <v>6713</v>
      </c>
      <c r="H356" s="1" t="s">
        <v>2696</v>
      </c>
    </row>
    <row r="357" spans="1:8">
      <c r="A357" s="1" t="s">
        <v>4573</v>
      </c>
      <c r="B357" s="1" t="s">
        <v>4573</v>
      </c>
      <c r="C357" t="s">
        <v>4573</v>
      </c>
      <c r="D357" t="s">
        <v>6594</v>
      </c>
      <c r="E357" t="s">
        <v>4016</v>
      </c>
      <c r="F357" t="s">
        <v>6768</v>
      </c>
      <c r="G357" t="s">
        <v>6769</v>
      </c>
      <c r="H357" s="1" t="s">
        <v>4573</v>
      </c>
    </row>
    <row r="358" spans="1:8">
      <c r="A358" s="1" t="s">
        <v>5089</v>
      </c>
      <c r="B358" s="1" t="s">
        <v>5089</v>
      </c>
      <c r="C358" t="s">
        <v>6905</v>
      </c>
      <c r="D358" t="s">
        <v>6594</v>
      </c>
      <c r="E358" t="s">
        <v>4016</v>
      </c>
      <c r="F358" t="s">
        <v>6906</v>
      </c>
      <c r="G358" t="s">
        <v>6695</v>
      </c>
      <c r="H358" s="1" t="s">
        <v>5089</v>
      </c>
    </row>
    <row r="359" spans="1:8">
      <c r="A359" s="1" t="s">
        <v>4149</v>
      </c>
      <c r="B359" s="1" t="s">
        <v>4149</v>
      </c>
      <c r="C359" t="s">
        <v>6643</v>
      </c>
      <c r="D359" t="s">
        <v>6594</v>
      </c>
      <c r="E359" t="s">
        <v>4016</v>
      </c>
      <c r="F359" t="s">
        <v>6644</v>
      </c>
      <c r="G359" t="s">
        <v>6645</v>
      </c>
      <c r="H359" s="1" t="s">
        <v>4149</v>
      </c>
    </row>
    <row r="360" spans="1:8">
      <c r="A360" s="1" t="s">
        <v>4458</v>
      </c>
      <c r="B360" s="1" t="s">
        <v>4458</v>
      </c>
      <c r="C360" t="s">
        <v>4458</v>
      </c>
      <c r="D360" t="s">
        <v>6770</v>
      </c>
      <c r="E360" t="s">
        <v>104</v>
      </c>
      <c r="F360" t="s">
        <v>6771</v>
      </c>
      <c r="G360" t="s">
        <v>6772</v>
      </c>
      <c r="H360" s="1" t="s">
        <v>4458</v>
      </c>
    </row>
    <row r="361" spans="1:8">
      <c r="A361" s="1" t="s">
        <v>4435</v>
      </c>
      <c r="B361" s="1" t="s">
        <v>4435</v>
      </c>
      <c r="C361" t="s">
        <v>4435</v>
      </c>
      <c r="D361" t="s">
        <v>6610</v>
      </c>
      <c r="E361" t="s">
        <v>104</v>
      </c>
      <c r="F361" t="s">
        <v>6611</v>
      </c>
      <c r="G361" t="s">
        <v>6612</v>
      </c>
      <c r="H361" s="1" t="s">
        <v>4435</v>
      </c>
    </row>
    <row r="362" spans="1:8">
      <c r="A362" s="1" t="s">
        <v>2699</v>
      </c>
      <c r="B362" s="1" t="s">
        <v>2699</v>
      </c>
      <c r="C362" t="s">
        <v>2699</v>
      </c>
      <c r="D362" t="s">
        <v>6658</v>
      </c>
      <c r="E362" t="s">
        <v>104</v>
      </c>
      <c r="F362" t="s">
        <v>6903</v>
      </c>
      <c r="G362" t="s">
        <v>6904</v>
      </c>
      <c r="H362" s="1" t="s">
        <v>2699</v>
      </c>
    </row>
    <row r="363" spans="1:8">
      <c r="A363" s="1" t="s">
        <v>4218</v>
      </c>
      <c r="B363" s="1" t="s">
        <v>4218</v>
      </c>
      <c r="C363" t="s">
        <v>6593</v>
      </c>
      <c r="D363" t="s">
        <v>6594</v>
      </c>
      <c r="E363" t="s">
        <v>4016</v>
      </c>
      <c r="F363" t="s">
        <v>6595</v>
      </c>
      <c r="G363" t="s">
        <v>6596</v>
      </c>
      <c r="H363" s="1" t="s">
        <v>4218</v>
      </c>
    </row>
    <row r="364" spans="1:8">
      <c r="A364" s="1" t="s">
        <v>5162</v>
      </c>
      <c r="B364" s="1" t="s">
        <v>5162</v>
      </c>
      <c r="C364" t="s">
        <v>5162</v>
      </c>
      <c r="D364" t="s">
        <v>6594</v>
      </c>
      <c r="E364" t="s">
        <v>4016</v>
      </c>
      <c r="F364" t="s">
        <v>6595</v>
      </c>
      <c r="G364" t="s">
        <v>6596</v>
      </c>
      <c r="H364" s="1" t="s">
        <v>5162</v>
      </c>
    </row>
    <row r="365" spans="1:8">
      <c r="A365" s="1" t="s">
        <v>4481</v>
      </c>
      <c r="B365" s="1" t="s">
        <v>6185</v>
      </c>
      <c r="C365" t="s">
        <v>6504</v>
      </c>
      <c r="D365" t="s">
        <v>6505</v>
      </c>
      <c r="E365" t="s">
        <v>104</v>
      </c>
      <c r="F365" t="s">
        <v>6506</v>
      </c>
      <c r="G365" t="s">
        <v>6507</v>
      </c>
      <c r="H365" s="1" t="s">
        <v>6185</v>
      </c>
    </row>
    <row r="366" spans="1:8">
      <c r="A366" s="1" t="s">
        <v>4485</v>
      </c>
      <c r="B366" s="1" t="s">
        <v>6213</v>
      </c>
      <c r="C366" t="s">
        <v>6504</v>
      </c>
      <c r="D366" t="s">
        <v>6505</v>
      </c>
      <c r="E366" t="s">
        <v>104</v>
      </c>
      <c r="F366" t="s">
        <v>6506</v>
      </c>
      <c r="G366" t="s">
        <v>6507</v>
      </c>
      <c r="H366" s="1" t="s">
        <v>6213</v>
      </c>
    </row>
    <row r="367" spans="1:8">
      <c r="A367" s="1" t="s">
        <v>4066</v>
      </c>
      <c r="B367" s="1" t="s">
        <v>6221</v>
      </c>
      <c r="C367" t="s">
        <v>6535</v>
      </c>
      <c r="D367" t="s">
        <v>6505</v>
      </c>
      <c r="E367" t="s">
        <v>104</v>
      </c>
      <c r="F367" t="s">
        <v>6536</v>
      </c>
      <c r="G367" t="s">
        <v>6537</v>
      </c>
      <c r="H367" s="1" t="s">
        <v>6221</v>
      </c>
    </row>
    <row r="368" spans="1:8">
      <c r="A368" s="1" t="s">
        <v>4008</v>
      </c>
      <c r="B368" s="1" t="s">
        <v>4008</v>
      </c>
      <c r="C368" t="s">
        <v>6862</v>
      </c>
      <c r="D368" t="s">
        <v>6770</v>
      </c>
      <c r="E368" t="s">
        <v>104</v>
      </c>
      <c r="F368" t="s">
        <v>6863</v>
      </c>
      <c r="G368" t="s">
        <v>6864</v>
      </c>
      <c r="H368" s="1" t="s">
        <v>4008</v>
      </c>
    </row>
    <row r="369" spans="1:8">
      <c r="A369" s="1" t="s">
        <v>4611</v>
      </c>
      <c r="B369" s="1" t="s">
        <v>4611</v>
      </c>
      <c r="C369" t="s">
        <v>4611</v>
      </c>
      <c r="D369" t="s">
        <v>6529</v>
      </c>
      <c r="E369" t="s">
        <v>104</v>
      </c>
      <c r="F369" t="s">
        <v>6530</v>
      </c>
      <c r="G369" t="s">
        <v>6531</v>
      </c>
      <c r="H369" s="1" t="s">
        <v>4611</v>
      </c>
    </row>
    <row r="370" spans="1:8">
      <c r="A370" s="1" t="s">
        <v>4473</v>
      </c>
      <c r="B370" s="1" t="s">
        <v>6195</v>
      </c>
      <c r="C370" t="s">
        <v>6839</v>
      </c>
      <c r="D370" t="s">
        <v>6840</v>
      </c>
      <c r="E370" t="s">
        <v>104</v>
      </c>
      <c r="F370" t="s">
        <v>6841</v>
      </c>
      <c r="G370" t="s">
        <v>6842</v>
      </c>
      <c r="H370" s="1" t="s">
        <v>6195</v>
      </c>
    </row>
    <row r="371" spans="1:8">
      <c r="A371" s="1" t="s">
        <v>4472</v>
      </c>
      <c r="B371" s="1" t="s">
        <v>6265</v>
      </c>
      <c r="C371" t="s">
        <v>6839</v>
      </c>
      <c r="D371" t="s">
        <v>6840</v>
      </c>
      <c r="E371" t="s">
        <v>104</v>
      </c>
      <c r="F371" t="s">
        <v>6841</v>
      </c>
      <c r="G371" t="s">
        <v>6842</v>
      </c>
      <c r="H371" s="1" t="s">
        <v>6265</v>
      </c>
    </row>
    <row r="372" spans="1:8">
      <c r="A372" s="1" t="s">
        <v>4546</v>
      </c>
      <c r="B372" s="1" t="s">
        <v>4546</v>
      </c>
      <c r="C372" t="s">
        <v>4546</v>
      </c>
      <c r="D372" t="s">
        <v>6610</v>
      </c>
      <c r="E372" t="s">
        <v>104</v>
      </c>
      <c r="F372" t="s">
        <v>6812</v>
      </c>
      <c r="G372" t="s">
        <v>6813</v>
      </c>
      <c r="H372" s="1" t="s">
        <v>4546</v>
      </c>
    </row>
    <row r="373" spans="1:8">
      <c r="A373" s="1" t="s">
        <v>4369</v>
      </c>
      <c r="B373" s="1" t="s">
        <v>4369</v>
      </c>
      <c r="C373" t="s">
        <v>4369</v>
      </c>
      <c r="D373" t="s">
        <v>6787</v>
      </c>
      <c r="E373" t="s">
        <v>104</v>
      </c>
      <c r="F373" t="s">
        <v>6788</v>
      </c>
      <c r="G373" t="s">
        <v>6789</v>
      </c>
      <c r="H373" s="1" t="s">
        <v>4369</v>
      </c>
    </row>
    <row r="374" spans="1:8">
      <c r="A374" s="1" t="s">
        <v>5072</v>
      </c>
      <c r="B374" s="1" t="s">
        <v>5072</v>
      </c>
      <c r="C374" t="s">
        <v>6581</v>
      </c>
      <c r="D374" t="s">
        <v>6406</v>
      </c>
      <c r="E374" t="s">
        <v>4016</v>
      </c>
      <c r="F374" t="s">
        <v>6582</v>
      </c>
      <c r="G374" t="s">
        <v>6583</v>
      </c>
      <c r="H374" s="1" t="s">
        <v>5072</v>
      </c>
    </row>
    <row r="375" spans="1:8">
      <c r="A375" s="1" t="s">
        <v>4554</v>
      </c>
      <c r="B375" s="1" t="s">
        <v>4554</v>
      </c>
      <c r="C375" t="s">
        <v>4554</v>
      </c>
      <c r="D375" t="s">
        <v>6520</v>
      </c>
      <c r="E375" t="s">
        <v>104</v>
      </c>
      <c r="F375" t="s">
        <v>6521</v>
      </c>
      <c r="G375" t="s">
        <v>6522</v>
      </c>
      <c r="H375" s="1" t="s">
        <v>4554</v>
      </c>
    </row>
    <row r="376" spans="1:8">
      <c r="A376" s="1" t="s">
        <v>4548</v>
      </c>
      <c r="B376" s="1" t="s">
        <v>4548</v>
      </c>
      <c r="C376" t="s">
        <v>4548</v>
      </c>
      <c r="D376" t="s">
        <v>6553</v>
      </c>
      <c r="E376" t="s">
        <v>104</v>
      </c>
      <c r="F376" t="s">
        <v>6554</v>
      </c>
      <c r="G376" t="s">
        <v>6555</v>
      </c>
      <c r="H376" s="1" t="s">
        <v>4548</v>
      </c>
    </row>
    <row r="377" spans="1:8">
      <c r="A377" s="1" t="s">
        <v>4193</v>
      </c>
      <c r="B377" s="1" t="s">
        <v>4193</v>
      </c>
      <c r="C377" t="s">
        <v>6653</v>
      </c>
      <c r="D377" t="s">
        <v>6654</v>
      </c>
      <c r="E377" t="s">
        <v>4016</v>
      </c>
      <c r="F377" t="s">
        <v>6655</v>
      </c>
      <c r="G377" t="s">
        <v>6656</v>
      </c>
      <c r="H377" s="1" t="s">
        <v>4193</v>
      </c>
    </row>
    <row r="378" spans="1:8">
      <c r="A378" s="1" t="s">
        <v>4385</v>
      </c>
      <c r="B378" s="1" t="s">
        <v>4385</v>
      </c>
      <c r="C378" t="s">
        <v>4385</v>
      </c>
      <c r="D378" t="s">
        <v>6357</v>
      </c>
      <c r="E378" t="s">
        <v>104</v>
      </c>
      <c r="F378" t="s">
        <v>6915</v>
      </c>
      <c r="G378" t="s">
        <v>6916</v>
      </c>
      <c r="H378" s="1" t="s">
        <v>4385</v>
      </c>
    </row>
    <row r="379" spans="1:8">
      <c r="A379" s="1" t="s">
        <v>4577</v>
      </c>
      <c r="B379" s="1" t="s">
        <v>4577</v>
      </c>
      <c r="C379" t="s">
        <v>4577</v>
      </c>
      <c r="D379" t="s">
        <v>6776</v>
      </c>
      <c r="E379" t="s">
        <v>104</v>
      </c>
      <c r="F379" t="s">
        <v>6777</v>
      </c>
      <c r="G379" t="s">
        <v>6778</v>
      </c>
      <c r="H379" s="1" t="s">
        <v>4577</v>
      </c>
    </row>
    <row r="380" spans="1:8">
      <c r="A380" s="1" t="s">
        <v>5065</v>
      </c>
      <c r="B380" s="1" t="s">
        <v>5065</v>
      </c>
      <c r="C380" t="s">
        <v>5065</v>
      </c>
      <c r="D380" t="s">
        <v>6532</v>
      </c>
      <c r="E380" t="s">
        <v>4016</v>
      </c>
      <c r="F380" t="s">
        <v>6533</v>
      </c>
      <c r="G380" t="s">
        <v>6534</v>
      </c>
      <c r="H380" s="1" t="s">
        <v>5065</v>
      </c>
    </row>
    <row r="381" spans="1:8">
      <c r="A381" s="1" t="s">
        <v>4031</v>
      </c>
      <c r="B381" s="1" t="s">
        <v>4031</v>
      </c>
      <c r="C381" t="s">
        <v>6873</v>
      </c>
      <c r="D381" t="s">
        <v>6874</v>
      </c>
      <c r="E381" t="s">
        <v>4016</v>
      </c>
      <c r="F381" t="s">
        <v>6875</v>
      </c>
      <c r="G381" t="s">
        <v>6876</v>
      </c>
      <c r="H381" s="1" t="s">
        <v>4031</v>
      </c>
    </row>
    <row r="382" spans="1:8">
      <c r="A382" s="1" t="s">
        <v>5614</v>
      </c>
      <c r="B382" s="1" t="s">
        <v>5614</v>
      </c>
      <c r="C382" t="s">
        <v>5614</v>
      </c>
      <c r="D382" t="s">
        <v>6625</v>
      </c>
      <c r="E382" t="s">
        <v>104</v>
      </c>
      <c r="F382" t="s">
        <v>6626</v>
      </c>
      <c r="G382" t="s">
        <v>6627</v>
      </c>
      <c r="H382" s="1" t="s">
        <v>5614</v>
      </c>
    </row>
    <row r="383" spans="1:8">
      <c r="A383" s="1" t="s">
        <v>4544</v>
      </c>
      <c r="B383" s="1" t="s">
        <v>4544</v>
      </c>
      <c r="C383" t="s">
        <v>4544</v>
      </c>
      <c r="D383" t="s">
        <v>6590</v>
      </c>
      <c r="E383" t="s">
        <v>104</v>
      </c>
      <c r="F383" t="s">
        <v>6591</v>
      </c>
      <c r="G383" t="s">
        <v>6592</v>
      </c>
      <c r="H383" s="1" t="s">
        <v>4544</v>
      </c>
    </row>
    <row r="384" spans="1:8">
      <c r="A384" s="1" t="s">
        <v>4370</v>
      </c>
      <c r="B384" s="1" t="s">
        <v>4370</v>
      </c>
      <c r="C384" t="s">
        <v>4370</v>
      </c>
      <c r="D384" t="s">
        <v>6293</v>
      </c>
      <c r="E384" t="s">
        <v>3995</v>
      </c>
      <c r="F384" t="s">
        <v>6716</v>
      </c>
      <c r="G384" t="s">
        <v>6717</v>
      </c>
      <c r="H384" s="1" t="s">
        <v>4370</v>
      </c>
    </row>
    <row r="385" spans="1:8">
      <c r="A385" s="1" t="s">
        <v>5082</v>
      </c>
      <c r="B385" s="1" t="s">
        <v>5082</v>
      </c>
      <c r="C385" t="s">
        <v>5082</v>
      </c>
      <c r="D385" t="s">
        <v>5059</v>
      </c>
      <c r="E385" t="s">
        <v>6965</v>
      </c>
      <c r="F385" t="s">
        <v>6966</v>
      </c>
      <c r="G385" t="s">
        <v>6967</v>
      </c>
      <c r="H385" s="1" t="s">
        <v>5082</v>
      </c>
    </row>
    <row r="386" spans="1:8">
      <c r="A386" s="1" t="s">
        <v>4382</v>
      </c>
      <c r="B386" s="1" t="s">
        <v>4382</v>
      </c>
      <c r="C386" t="s">
        <v>6893</v>
      </c>
      <c r="D386" t="s">
        <v>6293</v>
      </c>
      <c r="E386" t="s">
        <v>3995</v>
      </c>
      <c r="F386" t="s">
        <v>6894</v>
      </c>
      <c r="G386" t="s">
        <v>6895</v>
      </c>
      <c r="H386" s="1" t="s">
        <v>4382</v>
      </c>
    </row>
    <row r="387" spans="1:8">
      <c r="A387" s="1" t="s">
        <v>2792</v>
      </c>
      <c r="B387" s="1" t="s">
        <v>2792</v>
      </c>
      <c r="C387" t="s">
        <v>6896</v>
      </c>
      <c r="D387" t="s">
        <v>6293</v>
      </c>
      <c r="E387" t="s">
        <v>3995</v>
      </c>
      <c r="F387" t="s">
        <v>6894</v>
      </c>
      <c r="G387" t="s">
        <v>6895</v>
      </c>
      <c r="H387" s="1" t="s">
        <v>2792</v>
      </c>
    </row>
    <row r="388" spans="1:8">
      <c r="A388" s="1" t="s">
        <v>4557</v>
      </c>
      <c r="B388" s="1" t="s">
        <v>4557</v>
      </c>
      <c r="C388" t="s">
        <v>4557</v>
      </c>
      <c r="D388" t="s">
        <v>6826</v>
      </c>
      <c r="E388" t="s">
        <v>104</v>
      </c>
      <c r="F388" t="s">
        <v>6827</v>
      </c>
      <c r="G388" t="s">
        <v>6828</v>
      </c>
      <c r="H388" s="1" t="s">
        <v>4557</v>
      </c>
    </row>
    <row r="389" spans="1:8">
      <c r="A389" s="1" t="s">
        <v>4518</v>
      </c>
      <c r="B389" s="1" t="s">
        <v>4518</v>
      </c>
      <c r="C389" t="s">
        <v>4518</v>
      </c>
      <c r="D389" t="s">
        <v>6738</v>
      </c>
      <c r="E389" t="s">
        <v>104</v>
      </c>
      <c r="F389" t="s">
        <v>6739</v>
      </c>
      <c r="G389" t="s">
        <v>6740</v>
      </c>
      <c r="H389" s="1" t="s">
        <v>4518</v>
      </c>
    </row>
    <row r="390" spans="1:8">
      <c r="A390" s="1" t="s">
        <v>4486</v>
      </c>
      <c r="B390" s="1" t="s">
        <v>6190</v>
      </c>
      <c r="C390" t="s">
        <v>6578</v>
      </c>
      <c r="D390" t="s">
        <v>6293</v>
      </c>
      <c r="E390" t="s">
        <v>3995</v>
      </c>
      <c r="F390" t="s">
        <v>6579</v>
      </c>
      <c r="G390" t="s">
        <v>6580</v>
      </c>
      <c r="H390" s="1" t="s">
        <v>6190</v>
      </c>
    </row>
    <row r="391" spans="1:8">
      <c r="A391" s="1" t="s">
        <v>4443</v>
      </c>
      <c r="B391" s="1" t="s">
        <v>6276</v>
      </c>
      <c r="C391" t="s">
        <v>6944</v>
      </c>
      <c r="D391" t="s">
        <v>6334</v>
      </c>
      <c r="E391" t="s">
        <v>3995</v>
      </c>
      <c r="F391" t="s">
        <v>6945</v>
      </c>
      <c r="G391" t="s">
        <v>6946</v>
      </c>
      <c r="H391" s="1" t="s">
        <v>6276</v>
      </c>
    </row>
    <row r="392" spans="1:8">
      <c r="A392" s="1" t="s">
        <v>4187</v>
      </c>
      <c r="B392" s="1" t="s">
        <v>4187</v>
      </c>
      <c r="C392" t="s">
        <v>6621</v>
      </c>
      <c r="D392" t="s">
        <v>6622</v>
      </c>
      <c r="E392" t="s">
        <v>3995</v>
      </c>
      <c r="F392" t="s">
        <v>6623</v>
      </c>
      <c r="G392" t="s">
        <v>6624</v>
      </c>
      <c r="H392" s="1" t="s">
        <v>4187</v>
      </c>
    </row>
    <row r="393" spans="1:8">
      <c r="A393" s="1" t="s">
        <v>4433</v>
      </c>
      <c r="B393" s="1" t="s">
        <v>4433</v>
      </c>
      <c r="C393" t="s">
        <v>4433</v>
      </c>
      <c r="D393" t="s">
        <v>6616</v>
      </c>
      <c r="E393" t="s">
        <v>104</v>
      </c>
      <c r="F393" t="s">
        <v>6617</v>
      </c>
      <c r="G393" t="s">
        <v>6618</v>
      </c>
      <c r="H393" s="1" t="s">
        <v>4433</v>
      </c>
    </row>
    <row r="394" spans="1:8">
      <c r="A394" s="1" t="s">
        <v>5706</v>
      </c>
      <c r="B394" s="1" t="s">
        <v>5706</v>
      </c>
      <c r="C394" t="s">
        <v>5706</v>
      </c>
      <c r="D394" t="s">
        <v>6293</v>
      </c>
      <c r="E394" t="s">
        <v>3995</v>
      </c>
      <c r="F394" t="s">
        <v>6628</v>
      </c>
      <c r="G394" t="s">
        <v>6596</v>
      </c>
      <c r="H394" s="1" t="s">
        <v>5706</v>
      </c>
    </row>
    <row r="395" spans="1:8">
      <c r="A395" s="1" t="s">
        <v>5164</v>
      </c>
      <c r="B395" s="1" t="s">
        <v>5164</v>
      </c>
      <c r="C395" t="s">
        <v>6613</v>
      </c>
      <c r="D395" t="s">
        <v>6461</v>
      </c>
      <c r="E395" t="s">
        <v>104</v>
      </c>
      <c r="F395" t="s">
        <v>6614</v>
      </c>
      <c r="G395" t="s">
        <v>6615</v>
      </c>
      <c r="H395" s="1" t="s">
        <v>5164</v>
      </c>
    </row>
    <row r="396" spans="1:8">
      <c r="A396" s="1" t="s">
        <v>5835</v>
      </c>
      <c r="B396" s="1" t="s">
        <v>5835</v>
      </c>
      <c r="C396" t="s">
        <v>5835</v>
      </c>
      <c r="D396" t="s">
        <v>6293</v>
      </c>
      <c r="E396" t="s">
        <v>3995</v>
      </c>
      <c r="F396" t="s">
        <v>6518</v>
      </c>
      <c r="G396" t="s">
        <v>6519</v>
      </c>
      <c r="H396" s="1" t="s">
        <v>5835</v>
      </c>
    </row>
    <row r="397" spans="1:8">
      <c r="A397" s="1" t="s">
        <v>4598</v>
      </c>
      <c r="B397" s="1" t="s">
        <v>6193</v>
      </c>
      <c r="C397" t="s">
        <v>6818</v>
      </c>
      <c r="D397" t="s">
        <v>6604</v>
      </c>
      <c r="E397" t="s">
        <v>3995</v>
      </c>
      <c r="F397" t="s">
        <v>6819</v>
      </c>
      <c r="G397" t="s">
        <v>6820</v>
      </c>
      <c r="H397" s="1" t="s">
        <v>6193</v>
      </c>
    </row>
    <row r="398" spans="1:8">
      <c r="A398" s="1" t="s">
        <v>5659</v>
      </c>
      <c r="B398" s="1" t="s">
        <v>5659</v>
      </c>
      <c r="C398" t="s">
        <v>6941</v>
      </c>
      <c r="D398" t="s">
        <v>6461</v>
      </c>
      <c r="E398" t="s">
        <v>104</v>
      </c>
      <c r="F398" t="s">
        <v>6942</v>
      </c>
      <c r="G398" t="s">
        <v>6943</v>
      </c>
      <c r="H398" s="1" t="s">
        <v>5659</v>
      </c>
    </row>
    <row r="399" spans="1:8">
      <c r="A399" s="1" t="s">
        <v>2758</v>
      </c>
      <c r="B399" s="1" t="s">
        <v>2758</v>
      </c>
      <c r="C399" t="s">
        <v>6597</v>
      </c>
      <c r="D399" t="s">
        <v>6293</v>
      </c>
      <c r="E399" t="s">
        <v>3995</v>
      </c>
      <c r="F399" t="s">
        <v>6598</v>
      </c>
      <c r="G399" t="s">
        <v>6599</v>
      </c>
      <c r="H399" s="1" t="s">
        <v>2758</v>
      </c>
    </row>
    <row r="400" spans="1:8">
      <c r="A400" s="1" t="s">
        <v>5811</v>
      </c>
      <c r="B400" s="1" t="s">
        <v>5811</v>
      </c>
      <c r="C400" t="s">
        <v>5811</v>
      </c>
      <c r="D400" t="s">
        <v>6950</v>
      </c>
      <c r="E400" t="s">
        <v>6394</v>
      </c>
      <c r="F400" t="s">
        <v>6951</v>
      </c>
      <c r="G400" t="s">
        <v>6952</v>
      </c>
      <c r="H400" s="1" t="s">
        <v>5811</v>
      </c>
    </row>
    <row r="401" spans="1:8">
      <c r="A401" s="1" t="s">
        <v>6173</v>
      </c>
      <c r="B401" s="1" t="s">
        <v>6173</v>
      </c>
      <c r="C401" t="s">
        <v>6173</v>
      </c>
      <c r="D401" t="s">
        <v>6662</v>
      </c>
      <c r="E401" t="s">
        <v>11</v>
      </c>
      <c r="F401" t="s">
        <v>6913</v>
      </c>
      <c r="G401" t="s">
        <v>6914</v>
      </c>
      <c r="H401" s="1" t="s">
        <v>6173</v>
      </c>
    </row>
    <row r="402" spans="1:8">
      <c r="A402" s="1" t="s">
        <v>5801</v>
      </c>
      <c r="B402" s="1" t="s">
        <v>6253</v>
      </c>
      <c r="C402" t="s">
        <v>6749</v>
      </c>
      <c r="D402" t="s">
        <v>6604</v>
      </c>
      <c r="E402" t="s">
        <v>3995</v>
      </c>
      <c r="F402" t="s">
        <v>6750</v>
      </c>
      <c r="G402" t="s">
        <v>6751</v>
      </c>
      <c r="H402" s="1" t="s">
        <v>6253</v>
      </c>
    </row>
    <row r="403" spans="1:8">
      <c r="A403" s="1" t="s">
        <v>4526</v>
      </c>
      <c r="B403" s="1" t="s">
        <v>4526</v>
      </c>
      <c r="C403" t="s">
        <v>6661</v>
      </c>
      <c r="D403" t="s">
        <v>6662</v>
      </c>
      <c r="E403" t="s">
        <v>11</v>
      </c>
      <c r="F403" t="s">
        <v>6663</v>
      </c>
      <c r="G403" t="s">
        <v>6664</v>
      </c>
      <c r="H403" s="1" t="s">
        <v>4526</v>
      </c>
    </row>
    <row r="404" spans="1:8">
      <c r="A404" s="1" t="s">
        <v>5769</v>
      </c>
      <c r="B404" s="1" t="s">
        <v>5769</v>
      </c>
      <c r="C404" t="s">
        <v>5769</v>
      </c>
      <c r="D404" t="s">
        <v>6604</v>
      </c>
      <c r="E404" t="s">
        <v>3995</v>
      </c>
      <c r="F404" t="s">
        <v>6619</v>
      </c>
      <c r="G404" t="s">
        <v>6620</v>
      </c>
      <c r="H404" s="1" t="s">
        <v>5769</v>
      </c>
    </row>
    <row r="405" spans="1:8">
      <c r="A405" s="1" t="s">
        <v>4197</v>
      </c>
      <c r="B405" s="1" t="s">
        <v>4197</v>
      </c>
      <c r="C405" t="s">
        <v>6805</v>
      </c>
      <c r="D405" t="s">
        <v>6604</v>
      </c>
      <c r="E405" t="s">
        <v>3995</v>
      </c>
      <c r="F405" t="s">
        <v>6806</v>
      </c>
      <c r="G405" t="s">
        <v>6807</v>
      </c>
      <c r="H405" s="1" t="s">
        <v>4197</v>
      </c>
    </row>
    <row r="406" spans="1:8">
      <c r="A406" s="1" t="s">
        <v>4643</v>
      </c>
      <c r="B406" s="1" t="s">
        <v>4643</v>
      </c>
      <c r="C406" t="s">
        <v>6681</v>
      </c>
      <c r="D406" t="s">
        <v>6416</v>
      </c>
      <c r="E406" t="s">
        <v>11</v>
      </c>
      <c r="F406" t="s">
        <v>6682</v>
      </c>
      <c r="G406" t="s">
        <v>6683</v>
      </c>
      <c r="H406" s="1" t="s">
        <v>4643</v>
      </c>
    </row>
    <row r="407" spans="1:8">
      <c r="A407" s="1" t="s">
        <v>5773</v>
      </c>
      <c r="B407" s="1" t="s">
        <v>5773</v>
      </c>
      <c r="C407" t="s">
        <v>5773</v>
      </c>
      <c r="D407" t="s">
        <v>6604</v>
      </c>
      <c r="E407" t="s">
        <v>3995</v>
      </c>
      <c r="F407" t="s">
        <v>6733</v>
      </c>
      <c r="G407" t="s">
        <v>6734</v>
      </c>
      <c r="H407" s="1" t="s">
        <v>5773</v>
      </c>
    </row>
    <row r="408" spans="1:8">
      <c r="A408" s="1" t="s">
        <v>5116</v>
      </c>
      <c r="B408" s="1" t="s">
        <v>5116</v>
      </c>
      <c r="C408" t="s">
        <v>6798</v>
      </c>
      <c r="D408" t="s">
        <v>6490</v>
      </c>
      <c r="E408" t="s">
        <v>6394</v>
      </c>
      <c r="F408" t="s">
        <v>6799</v>
      </c>
      <c r="G408" t="s">
        <v>6800</v>
      </c>
      <c r="H408" s="1" t="s">
        <v>5116</v>
      </c>
    </row>
    <row r="409" spans="1:8">
      <c r="A409" s="1" t="s">
        <v>4487</v>
      </c>
      <c r="B409" s="1" t="s">
        <v>4487</v>
      </c>
      <c r="C409" t="s">
        <v>4487</v>
      </c>
      <c r="D409" t="s">
        <v>6604</v>
      </c>
      <c r="E409" t="s">
        <v>3995</v>
      </c>
      <c r="F409" t="s">
        <v>6605</v>
      </c>
      <c r="G409" t="s">
        <v>6606</v>
      </c>
      <c r="H409" s="1" t="s">
        <v>4487</v>
      </c>
    </row>
    <row r="410" spans="1:8">
      <c r="A410" s="1" t="s">
        <v>61</v>
      </c>
      <c r="B410" s="1" t="s">
        <v>61</v>
      </c>
      <c r="C410" t="s">
        <v>61</v>
      </c>
      <c r="D410" t="s">
        <v>6291</v>
      </c>
      <c r="E410" t="s">
        <v>3995</v>
      </c>
      <c r="F410" t="s">
        <v>6814</v>
      </c>
      <c r="G410" t="s">
        <v>6815</v>
      </c>
      <c r="H410" s="1" t="s">
        <v>61</v>
      </c>
    </row>
    <row r="411" spans="1:8">
      <c r="A411" s="1" t="s">
        <v>4204</v>
      </c>
      <c r="B411" s="1" t="s">
        <v>4204</v>
      </c>
      <c r="C411" t="s">
        <v>6574</v>
      </c>
      <c r="D411" t="s">
        <v>6575</v>
      </c>
      <c r="E411" t="s">
        <v>3995</v>
      </c>
      <c r="F411" t="s">
        <v>6576</v>
      </c>
      <c r="G411" t="s">
        <v>6577</v>
      </c>
      <c r="H411" s="1" t="s">
        <v>4204</v>
      </c>
    </row>
    <row r="412" spans="1:8">
      <c r="A412" s="1" t="s">
        <v>4200</v>
      </c>
      <c r="B412" s="1" t="s">
        <v>4200</v>
      </c>
      <c r="C412" t="s">
        <v>6687</v>
      </c>
      <c r="D412" t="s">
        <v>6324</v>
      </c>
      <c r="E412" t="s">
        <v>11</v>
      </c>
      <c r="F412" t="s">
        <v>6688</v>
      </c>
      <c r="G412" t="s">
        <v>6689</v>
      </c>
      <c r="H412" s="1" t="s">
        <v>4200</v>
      </c>
    </row>
    <row r="413" spans="1:8">
      <c r="A413" s="1" t="s">
        <v>2760</v>
      </c>
      <c r="B413" s="1" t="s">
        <v>2760</v>
      </c>
      <c r="C413" t="s">
        <v>6632</v>
      </c>
      <c r="D413" t="s">
        <v>6416</v>
      </c>
      <c r="E413" t="s">
        <v>11</v>
      </c>
      <c r="F413" t="s">
        <v>6633</v>
      </c>
      <c r="G413" t="s">
        <v>6634</v>
      </c>
      <c r="H413" s="1" t="s">
        <v>2760</v>
      </c>
    </row>
    <row r="414" spans="1:8">
      <c r="A414" s="1" t="s">
        <v>67</v>
      </c>
      <c r="B414" s="1" t="s">
        <v>67</v>
      </c>
      <c r="C414" t="s">
        <v>67</v>
      </c>
      <c r="D414" t="s">
        <v>6416</v>
      </c>
      <c r="E414" t="s">
        <v>11</v>
      </c>
      <c r="F414" t="s">
        <v>6633</v>
      </c>
      <c r="G414" t="s">
        <v>6634</v>
      </c>
      <c r="H414" s="1" t="s">
        <v>67</v>
      </c>
    </row>
    <row r="415" spans="1:8">
      <c r="A415" s="1" t="s">
        <v>5694</v>
      </c>
      <c r="B415" s="1" t="s">
        <v>5694</v>
      </c>
      <c r="C415" t="s">
        <v>5694</v>
      </c>
      <c r="D415" t="s">
        <v>6604</v>
      </c>
      <c r="E415" t="s">
        <v>3995</v>
      </c>
      <c r="F415" t="s">
        <v>6939</v>
      </c>
      <c r="G415" t="s">
        <v>6940</v>
      </c>
      <c r="H415" s="1" t="s">
        <v>5694</v>
      </c>
    </row>
    <row r="416" spans="1:8">
      <c r="A416" s="1" t="s">
        <v>5096</v>
      </c>
      <c r="B416" s="1" t="s">
        <v>5096</v>
      </c>
      <c r="C416" t="s">
        <v>6971</v>
      </c>
      <c r="D416" t="s">
        <v>6972</v>
      </c>
      <c r="E416" t="s">
        <v>6973</v>
      </c>
      <c r="F416" t="s">
        <v>6974</v>
      </c>
      <c r="G416" s="14">
        <v>492325</v>
      </c>
      <c r="H416" s="1" t="s">
        <v>5096</v>
      </c>
    </row>
    <row r="417" spans="1:8">
      <c r="A417" s="1" t="s">
        <v>78</v>
      </c>
      <c r="B417" s="1" t="s">
        <v>6199</v>
      </c>
      <c r="C417" t="s">
        <v>6970</v>
      </c>
      <c r="D417" t="s">
        <v>6975</v>
      </c>
      <c r="E417" t="s">
        <v>6976</v>
      </c>
      <c r="F417" s="14">
        <v>98833</v>
      </c>
      <c r="G417" s="14">
        <v>451667</v>
      </c>
      <c r="H417" s="1" t="s">
        <v>6199</v>
      </c>
    </row>
    <row r="418" spans="1:8">
      <c r="A418" s="1" t="s">
        <v>5776</v>
      </c>
      <c r="B418" s="1" t="s">
        <v>5776</v>
      </c>
      <c r="C418" t="s">
        <v>6977</v>
      </c>
      <c r="D418" t="s">
        <v>6978</v>
      </c>
      <c r="E418" t="s">
        <v>6979</v>
      </c>
      <c r="F418" s="14">
        <v>71328</v>
      </c>
      <c r="G418" s="14">
        <v>510547</v>
      </c>
      <c r="H418" s="1" t="s">
        <v>5776</v>
      </c>
    </row>
    <row r="419" spans="1:8">
      <c r="A419" s="1" t="s">
        <v>4655</v>
      </c>
      <c r="B419" s="1" t="s">
        <v>4655</v>
      </c>
      <c r="C419" t="s">
        <v>6980</v>
      </c>
      <c r="D419" t="s">
        <v>6981</v>
      </c>
      <c r="E419" t="s">
        <v>6979</v>
      </c>
      <c r="F419" s="14">
        <v>137533</v>
      </c>
      <c r="G419" s="14">
        <v>507656</v>
      </c>
      <c r="H419" s="1" t="s">
        <v>4655</v>
      </c>
    </row>
    <row r="420" spans="1:8">
      <c r="A420" s="1" t="s">
        <v>6161</v>
      </c>
      <c r="B420" s="1" t="s">
        <v>6161</v>
      </c>
      <c r="C420" t="s">
        <v>6498</v>
      </c>
      <c r="D420" t="s">
        <v>6982</v>
      </c>
      <c r="E420" t="s">
        <v>6979</v>
      </c>
      <c r="F420" s="14">
        <v>83592</v>
      </c>
      <c r="G420" s="14">
        <v>496328</v>
      </c>
      <c r="H420" s="1" t="s">
        <v>6161</v>
      </c>
    </row>
    <row r="421" spans="1:8">
      <c r="A421" s="1" t="s">
        <v>228</v>
      </c>
      <c r="B421" s="1" t="s">
        <v>228</v>
      </c>
      <c r="C421" t="s">
        <v>6311</v>
      </c>
      <c r="D421" t="s">
        <v>6983</v>
      </c>
      <c r="E421" t="s">
        <v>6984</v>
      </c>
      <c r="F421" s="14" t="s">
        <v>6985</v>
      </c>
      <c r="G421" s="14">
        <v>524545</v>
      </c>
      <c r="H421" s="1" t="s">
        <v>228</v>
      </c>
    </row>
    <row r="422" spans="1:8">
      <c r="A422" s="1" t="s">
        <v>4471</v>
      </c>
      <c r="B422" s="1" t="s">
        <v>6180</v>
      </c>
      <c r="C422" t="s">
        <v>6320</v>
      </c>
      <c r="D422" t="s">
        <v>6986</v>
      </c>
      <c r="E422" t="s">
        <v>6973</v>
      </c>
      <c r="F422" s="14">
        <v>46350</v>
      </c>
      <c r="G422" s="14">
        <v>497790</v>
      </c>
      <c r="H422" s="1" t="s">
        <v>6180</v>
      </c>
    </row>
    <row r="423" spans="1:8">
      <c r="A423" s="1" t="s">
        <v>5663</v>
      </c>
      <c r="B423" s="1" t="s">
        <v>5663</v>
      </c>
      <c r="C423" t="s">
        <v>6987</v>
      </c>
      <c r="D423" t="s">
        <v>6988</v>
      </c>
      <c r="E423" t="s">
        <v>6979</v>
      </c>
      <c r="F423" s="14">
        <v>119010</v>
      </c>
      <c r="G423" s="14">
        <v>488450</v>
      </c>
      <c r="H423" s="1" t="s">
        <v>5663</v>
      </c>
    </row>
    <row r="424" spans="1:8">
      <c r="A424" s="1" t="s">
        <v>5664</v>
      </c>
      <c r="B424" s="1" t="s">
        <v>5664</v>
      </c>
      <c r="C424" t="s">
        <v>6987</v>
      </c>
      <c r="D424" t="s">
        <v>6988</v>
      </c>
      <c r="E424" t="s">
        <v>6979</v>
      </c>
      <c r="F424" s="14">
        <v>119010</v>
      </c>
      <c r="G424" s="14">
        <v>488450</v>
      </c>
      <c r="H424" s="1" t="s">
        <v>5664</v>
      </c>
    </row>
    <row r="425" spans="1:8">
      <c r="A425" s="1" t="s">
        <v>5163</v>
      </c>
      <c r="B425" s="1" t="s">
        <v>5163</v>
      </c>
      <c r="C425" t="s">
        <v>6989</v>
      </c>
      <c r="D425" t="s">
        <v>6990</v>
      </c>
      <c r="E425" t="s">
        <v>6991</v>
      </c>
      <c r="F425" s="14">
        <v>41437</v>
      </c>
      <c r="G425" s="14">
        <v>503861</v>
      </c>
      <c r="H425" s="1" t="s">
        <v>5163</v>
      </c>
    </row>
    <row r="426" spans="1:8">
      <c r="A426" s="1" t="s">
        <v>4591</v>
      </c>
      <c r="B426" s="1" t="s">
        <v>6182</v>
      </c>
      <c r="C426" t="s">
        <v>6989</v>
      </c>
      <c r="D426" t="s">
        <v>6990</v>
      </c>
      <c r="E426" t="s">
        <v>6991</v>
      </c>
      <c r="F426" s="14">
        <v>41437</v>
      </c>
      <c r="G426" s="14">
        <v>503861</v>
      </c>
      <c r="H426" s="1" t="s">
        <v>6182</v>
      </c>
    </row>
    <row r="427" spans="1:8">
      <c r="A427" s="1" t="s">
        <v>4029</v>
      </c>
      <c r="B427" s="1" t="s">
        <v>4029</v>
      </c>
      <c r="C427" t="s">
        <v>6992</v>
      </c>
      <c r="D427" t="s">
        <v>6993</v>
      </c>
      <c r="E427" t="s">
        <v>6994</v>
      </c>
      <c r="F427" s="14">
        <v>-40111</v>
      </c>
      <c r="G427" s="14">
        <v>381139</v>
      </c>
      <c r="H427" s="1" t="s">
        <v>4029</v>
      </c>
    </row>
    <row r="428" spans="1:8">
      <c r="A428" s="1" t="s">
        <v>4510</v>
      </c>
      <c r="B428" s="1" t="s">
        <v>4510</v>
      </c>
      <c r="C428" t="s">
        <v>6995</v>
      </c>
      <c r="D428" t="s">
        <v>6996</v>
      </c>
      <c r="E428" t="s">
        <v>6976</v>
      </c>
      <c r="F428" s="14">
        <v>138793</v>
      </c>
      <c r="G428" s="14">
        <v>423183</v>
      </c>
      <c r="H428" s="1" t="s">
        <v>4510</v>
      </c>
    </row>
    <row r="429" spans="1:8">
      <c r="A429" s="1" t="s">
        <v>4378</v>
      </c>
      <c r="B429" s="1" t="s">
        <v>6208</v>
      </c>
      <c r="C429" t="s">
        <v>6997</v>
      </c>
      <c r="D429" t="s">
        <v>6998</v>
      </c>
      <c r="E429" t="s">
        <v>6994</v>
      </c>
      <c r="F429" s="14">
        <v>-44647</v>
      </c>
      <c r="G429" s="14">
        <v>424528</v>
      </c>
      <c r="H429" s="1" t="s">
        <v>6208</v>
      </c>
    </row>
    <row r="430" spans="1:8">
      <c r="A430" s="1" t="s">
        <v>106</v>
      </c>
      <c r="B430" s="1" t="s">
        <v>106</v>
      </c>
      <c r="C430" t="s">
        <v>6380</v>
      </c>
      <c r="D430" t="s">
        <v>6999</v>
      </c>
      <c r="E430" t="s">
        <v>6984</v>
      </c>
      <c r="F430" s="14">
        <v>-45000</v>
      </c>
      <c r="G430" s="14">
        <v>500000</v>
      </c>
      <c r="H430" s="1" t="s">
        <v>106</v>
      </c>
    </row>
    <row r="431" spans="1:8">
      <c r="A431" s="1" t="s">
        <v>4624</v>
      </c>
      <c r="B431" s="1" t="s">
        <v>4624</v>
      </c>
      <c r="C431" t="s">
        <v>7027</v>
      </c>
      <c r="D431" t="s">
        <v>7028</v>
      </c>
      <c r="E431" t="s">
        <v>6973</v>
      </c>
      <c r="F431" s="14">
        <v>36597</v>
      </c>
      <c r="G431" s="14">
        <v>476425</v>
      </c>
      <c r="H431" s="1" t="s">
        <v>4624</v>
      </c>
    </row>
    <row r="432" spans="1:8">
      <c r="A432" s="1" t="s">
        <v>123</v>
      </c>
      <c r="B432" s="1" t="s">
        <v>6220</v>
      </c>
      <c r="C432" t="s">
        <v>7000</v>
      </c>
      <c r="D432" t="s">
        <v>7001</v>
      </c>
      <c r="E432" t="s">
        <v>7002</v>
      </c>
      <c r="F432" s="14">
        <v>-80600</v>
      </c>
      <c r="G432" s="14">
        <v>525200</v>
      </c>
      <c r="H432" s="1" t="s">
        <v>6220</v>
      </c>
    </row>
    <row r="433" spans="1:8">
      <c r="A433" s="1" t="s">
        <v>5063</v>
      </c>
      <c r="B433" s="1" t="s">
        <v>6222</v>
      </c>
      <c r="C433" t="s">
        <v>7003</v>
      </c>
      <c r="D433" t="s">
        <v>7004</v>
      </c>
      <c r="E433" t="s">
        <v>6973</v>
      </c>
      <c r="F433" s="14">
        <v>50000</v>
      </c>
      <c r="G433" s="14">
        <v>490000</v>
      </c>
      <c r="H433" s="1" t="s">
        <v>6222</v>
      </c>
    </row>
    <row r="434" spans="1:8">
      <c r="A434" s="1" t="s">
        <v>4156</v>
      </c>
      <c r="B434" s="1" t="s">
        <v>4156</v>
      </c>
      <c r="C434" t="s">
        <v>7005</v>
      </c>
      <c r="D434" t="s">
        <v>7006</v>
      </c>
      <c r="E434" t="s">
        <v>6976</v>
      </c>
      <c r="F434" s="14">
        <v>112167</v>
      </c>
      <c r="G434" s="14">
        <v>434000</v>
      </c>
      <c r="H434" s="1" t="s">
        <v>4156</v>
      </c>
    </row>
    <row r="435" spans="1:8">
      <c r="A435" s="1" t="s">
        <v>4051</v>
      </c>
      <c r="B435" s="1" t="s">
        <v>6233</v>
      </c>
      <c r="C435" t="s">
        <v>7007</v>
      </c>
      <c r="D435" t="s">
        <v>7008</v>
      </c>
      <c r="E435" t="s">
        <v>7009</v>
      </c>
      <c r="F435" s="14">
        <v>-81833</v>
      </c>
      <c r="G435" s="14">
        <v>402167</v>
      </c>
      <c r="H435" s="1" t="s">
        <v>6233</v>
      </c>
    </row>
    <row r="436" spans="1:8">
      <c r="A436" s="1" t="s">
        <v>4237</v>
      </c>
      <c r="B436" s="1" t="s">
        <v>4237</v>
      </c>
      <c r="C436" t="s">
        <v>7010</v>
      </c>
      <c r="D436" t="s">
        <v>7011</v>
      </c>
      <c r="E436" t="s">
        <v>6984</v>
      </c>
      <c r="F436" s="14">
        <v>-10530</v>
      </c>
      <c r="G436" s="14">
        <v>521180</v>
      </c>
      <c r="H436" s="1" t="s">
        <v>4237</v>
      </c>
    </row>
    <row r="437" spans="1:8">
      <c r="A437" s="1" t="s">
        <v>4635</v>
      </c>
      <c r="B437" s="1" t="s">
        <v>4635</v>
      </c>
      <c r="C437" t="s">
        <v>4635</v>
      </c>
      <c r="D437" t="s">
        <v>7004</v>
      </c>
      <c r="E437" t="s">
        <v>6973</v>
      </c>
      <c r="F437" s="14">
        <v>47000</v>
      </c>
      <c r="G437" s="14">
        <v>494500</v>
      </c>
      <c r="H437" s="1" t="s">
        <v>4635</v>
      </c>
    </row>
    <row r="438" spans="1:8">
      <c r="A438" s="1" t="s">
        <v>4453</v>
      </c>
      <c r="B438" s="1" t="s">
        <v>4453</v>
      </c>
      <c r="C438" t="s">
        <v>4453</v>
      </c>
      <c r="D438" t="s">
        <v>7012</v>
      </c>
      <c r="E438" t="s">
        <v>6973</v>
      </c>
      <c r="F438" s="14">
        <v>-15833</v>
      </c>
      <c r="G438" s="14">
        <v>466500</v>
      </c>
      <c r="H438" s="1" t="s">
        <v>4453</v>
      </c>
    </row>
    <row r="439" spans="1:8">
      <c r="A439" s="1" t="s">
        <v>4638</v>
      </c>
      <c r="B439" s="1" t="s">
        <v>4638</v>
      </c>
      <c r="C439" t="s">
        <v>7013</v>
      </c>
      <c r="D439" t="s">
        <v>7014</v>
      </c>
      <c r="E439" t="s">
        <v>6973</v>
      </c>
      <c r="F439" t="s">
        <v>7015</v>
      </c>
      <c r="G439" s="14">
        <v>472500</v>
      </c>
      <c r="H439" s="1" t="s">
        <v>4638</v>
      </c>
    </row>
    <row r="440" spans="1:8">
      <c r="A440" s="1" t="s">
        <v>4628</v>
      </c>
      <c r="B440" s="1" t="s">
        <v>4628</v>
      </c>
      <c r="C440" t="s">
        <v>7016</v>
      </c>
      <c r="D440" t="s">
        <v>7017</v>
      </c>
      <c r="E440" t="s">
        <v>6973</v>
      </c>
      <c r="F440" s="14">
        <v>15667</v>
      </c>
      <c r="G440" s="14">
        <v>496500</v>
      </c>
      <c r="H440" s="1" t="s">
        <v>4628</v>
      </c>
    </row>
    <row r="441" spans="1:8">
      <c r="A441" s="1" t="s">
        <v>4480</v>
      </c>
      <c r="B441" s="1" t="s">
        <v>4480</v>
      </c>
      <c r="C441" t="s">
        <v>7029</v>
      </c>
      <c r="D441" t="s">
        <v>7030</v>
      </c>
      <c r="E441" t="s">
        <v>6973</v>
      </c>
      <c r="F441" s="14">
        <v>-19437</v>
      </c>
      <c r="G441" s="14">
        <v>481303</v>
      </c>
      <c r="H441" s="1" t="s">
        <v>4480</v>
      </c>
    </row>
    <row r="442" spans="1:8">
      <c r="A442" s="1" t="s">
        <v>4045</v>
      </c>
      <c r="B442" s="1" t="s">
        <v>4045</v>
      </c>
      <c r="C442" t="s">
        <v>7018</v>
      </c>
      <c r="D442" t="s">
        <v>7019</v>
      </c>
      <c r="E442" t="s">
        <v>6991</v>
      </c>
      <c r="F442" s="14">
        <v>48000</v>
      </c>
      <c r="G442" s="14">
        <v>506500</v>
      </c>
      <c r="H442" s="1" t="s">
        <v>4045</v>
      </c>
    </row>
    <row r="443" spans="1:8">
      <c r="A443" s="1" t="s">
        <v>5662</v>
      </c>
      <c r="B443" s="1" t="s">
        <v>6247</v>
      </c>
      <c r="C443" t="s">
        <v>7020</v>
      </c>
      <c r="D443" t="s">
        <v>7021</v>
      </c>
      <c r="E443" t="s">
        <v>7009</v>
      </c>
      <c r="F443" s="14">
        <v>-86167</v>
      </c>
      <c r="G443" s="14">
        <v>411500</v>
      </c>
      <c r="H443" s="1" t="s">
        <v>6247</v>
      </c>
    </row>
    <row r="444" spans="1:8">
      <c r="A444" s="1" t="s">
        <v>4626</v>
      </c>
      <c r="B444" s="1" t="s">
        <v>4626</v>
      </c>
      <c r="C444" t="s">
        <v>7022</v>
      </c>
      <c r="D444" t="s">
        <v>6986</v>
      </c>
      <c r="E444" t="s">
        <v>6973</v>
      </c>
      <c r="F444" s="14">
        <v>43000</v>
      </c>
      <c r="G444" s="14">
        <v>498000</v>
      </c>
      <c r="H444" s="1" t="s">
        <v>4626</v>
      </c>
    </row>
    <row r="445" spans="1:8">
      <c r="A445" s="1" t="s">
        <v>2831</v>
      </c>
      <c r="B445" s="1" t="s">
        <v>2831</v>
      </c>
      <c r="C445" t="s">
        <v>7023</v>
      </c>
      <c r="D445" t="s">
        <v>7024</v>
      </c>
      <c r="E445" t="s">
        <v>6976</v>
      </c>
      <c r="F445" s="14">
        <v>106167</v>
      </c>
      <c r="G445" s="14">
        <v>442167</v>
      </c>
      <c r="H445" s="1" t="s">
        <v>2831</v>
      </c>
    </row>
    <row r="446" spans="1:8">
      <c r="A446" s="1" t="s">
        <v>4522</v>
      </c>
      <c r="B446" s="1" t="s">
        <v>4522</v>
      </c>
      <c r="C446" t="s">
        <v>7025</v>
      </c>
      <c r="D446" t="s">
        <v>7026</v>
      </c>
      <c r="E446" t="s">
        <v>6973</v>
      </c>
      <c r="F446" s="14">
        <v>63083</v>
      </c>
      <c r="G446" s="14">
        <v>453997</v>
      </c>
      <c r="H446" s="1" t="s">
        <v>4522</v>
      </c>
    </row>
  </sheetData>
  <sortState xmlns:xlrd2="http://schemas.microsoft.com/office/spreadsheetml/2017/richdata2" ref="A2:G446">
    <sortCondition ref="F1:F44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0DDFA-C69F-FE4F-BB37-B50355F6CE52}">
  <dimension ref="A1:U369"/>
  <sheetViews>
    <sheetView tabSelected="1" zoomScale="99" workbookViewId="0">
      <selection activeCell="B11" sqref="B11"/>
    </sheetView>
  </sheetViews>
  <sheetFormatPr baseColWidth="10" defaultRowHeight="16"/>
  <cols>
    <col min="2" max="2" width="40.33203125" bestFit="1" customWidth="1"/>
    <col min="13" max="14" width="13.6640625" bestFit="1" customWidth="1"/>
  </cols>
  <sheetData>
    <row r="1" spans="1:21" ht="17" thickBot="1">
      <c r="A1" s="8" t="s">
        <v>8742</v>
      </c>
      <c r="B1" s="9" t="s">
        <v>7</v>
      </c>
      <c r="C1" s="9" t="s">
        <v>9385</v>
      </c>
      <c r="D1" s="9" t="s">
        <v>8743</v>
      </c>
      <c r="E1" s="9" t="s">
        <v>8748</v>
      </c>
      <c r="F1" s="9" t="s">
        <v>8749</v>
      </c>
      <c r="G1" s="9" t="s">
        <v>8750</v>
      </c>
      <c r="H1" s="9" t="s">
        <v>8751</v>
      </c>
      <c r="I1" s="9" t="s">
        <v>8744</v>
      </c>
      <c r="J1" s="9" t="s">
        <v>8745</v>
      </c>
      <c r="K1" s="9" t="s">
        <v>8746</v>
      </c>
      <c r="L1" s="9" t="s">
        <v>8747</v>
      </c>
      <c r="M1" s="9" t="s">
        <v>485</v>
      </c>
      <c r="N1" s="9" t="s">
        <v>8752</v>
      </c>
      <c r="O1" s="9" t="s">
        <v>8056</v>
      </c>
      <c r="P1" s="9" t="s">
        <v>8057</v>
      </c>
      <c r="Q1" s="9" t="s">
        <v>5579</v>
      </c>
      <c r="R1" s="9" t="s">
        <v>9381</v>
      </c>
      <c r="S1" s="9" t="s">
        <v>9382</v>
      </c>
      <c r="T1" s="9" t="s">
        <v>9273</v>
      </c>
      <c r="U1" s="9"/>
    </row>
    <row r="2" spans="1:21">
      <c r="A2">
        <v>2</v>
      </c>
      <c r="B2" t="s">
        <v>3016</v>
      </c>
      <c r="C2">
        <v>1075</v>
      </c>
      <c r="D2" t="s">
        <v>3017</v>
      </c>
      <c r="E2" t="s">
        <v>3010</v>
      </c>
      <c r="F2" t="s">
        <v>3011</v>
      </c>
      <c r="G2" t="s">
        <v>3012</v>
      </c>
      <c r="H2" t="s">
        <v>3014</v>
      </c>
      <c r="I2" t="s">
        <v>3014</v>
      </c>
      <c r="J2" t="s">
        <v>3014</v>
      </c>
      <c r="K2" t="s">
        <v>3014</v>
      </c>
      <c r="L2" t="s">
        <v>3014</v>
      </c>
      <c r="M2" t="s">
        <v>3018</v>
      </c>
      <c r="N2" t="s">
        <v>1992</v>
      </c>
      <c r="O2" t="s">
        <v>8497</v>
      </c>
      <c r="P2" t="s">
        <v>8203</v>
      </c>
      <c r="Q2" t="s">
        <v>6400</v>
      </c>
      <c r="T2">
        <v>945</v>
      </c>
    </row>
    <row r="3" spans="1:21">
      <c r="A3">
        <v>1</v>
      </c>
      <c r="B3" t="s">
        <v>3009</v>
      </c>
      <c r="C3">
        <v>1075</v>
      </c>
      <c r="D3">
        <v>1075</v>
      </c>
      <c r="E3" t="s">
        <v>3010</v>
      </c>
      <c r="F3" t="s">
        <v>3011</v>
      </c>
      <c r="G3" t="s">
        <v>3012</v>
      </c>
      <c r="H3" t="s">
        <v>3340</v>
      </c>
      <c r="I3" t="s">
        <v>3014</v>
      </c>
      <c r="J3" t="s">
        <v>3014</v>
      </c>
      <c r="K3" t="s">
        <v>3340</v>
      </c>
      <c r="L3" t="s">
        <v>3014</v>
      </c>
      <c r="M3" t="s">
        <v>3015</v>
      </c>
      <c r="N3" t="s">
        <v>282</v>
      </c>
      <c r="O3" t="s">
        <v>8489</v>
      </c>
      <c r="P3" t="s">
        <v>8195</v>
      </c>
      <c r="Q3" t="s">
        <v>6907</v>
      </c>
      <c r="T3">
        <v>1253</v>
      </c>
    </row>
    <row r="4" spans="1:21">
      <c r="A4">
        <v>3</v>
      </c>
      <c r="B4" t="s">
        <v>3019</v>
      </c>
      <c r="C4">
        <v>1079</v>
      </c>
      <c r="D4">
        <v>1079</v>
      </c>
      <c r="E4" t="s">
        <v>3020</v>
      </c>
      <c r="F4" t="s">
        <v>3011</v>
      </c>
      <c r="G4" t="s">
        <v>3012</v>
      </c>
      <c r="H4" t="s">
        <v>3014</v>
      </c>
      <c r="I4" t="s">
        <v>3014</v>
      </c>
      <c r="J4" t="s">
        <v>3014</v>
      </c>
      <c r="K4" t="s">
        <v>3014</v>
      </c>
      <c r="L4" t="s">
        <v>3014</v>
      </c>
      <c r="M4" t="s">
        <v>3021</v>
      </c>
      <c r="N4" t="s">
        <v>6078</v>
      </c>
      <c r="O4" t="s">
        <v>8525</v>
      </c>
      <c r="P4" t="s">
        <v>8230</v>
      </c>
      <c r="Q4" t="s">
        <v>5620</v>
      </c>
      <c r="T4">
        <v>5</v>
      </c>
    </row>
    <row r="5" spans="1:21">
      <c r="A5">
        <v>6</v>
      </c>
      <c r="B5" t="s">
        <v>3030</v>
      </c>
      <c r="C5">
        <v>1083</v>
      </c>
      <c r="D5" t="s">
        <v>3031</v>
      </c>
      <c r="E5" t="s">
        <v>3010</v>
      </c>
      <c r="F5" t="s">
        <v>3011</v>
      </c>
      <c r="G5" t="s">
        <v>3012</v>
      </c>
      <c r="H5" t="s">
        <v>3014</v>
      </c>
      <c r="I5" t="s">
        <v>3014</v>
      </c>
      <c r="J5" t="s">
        <v>3014</v>
      </c>
      <c r="K5" t="s">
        <v>3014</v>
      </c>
      <c r="L5" t="s">
        <v>3014</v>
      </c>
      <c r="M5" t="s">
        <v>3032</v>
      </c>
      <c r="N5" t="s">
        <v>1994</v>
      </c>
      <c r="O5" t="s">
        <v>8483</v>
      </c>
      <c r="P5" t="s">
        <v>8188</v>
      </c>
      <c r="Q5" t="s">
        <v>6758</v>
      </c>
      <c r="T5">
        <v>948</v>
      </c>
    </row>
    <row r="6" spans="1:21">
      <c r="A6" t="s">
        <v>3025</v>
      </c>
      <c r="B6" t="s">
        <v>3026</v>
      </c>
      <c r="C6">
        <v>1083</v>
      </c>
      <c r="D6" t="s">
        <v>3027</v>
      </c>
      <c r="E6" t="s">
        <v>3028</v>
      </c>
      <c r="M6" t="s">
        <v>3029</v>
      </c>
      <c r="N6" t="s">
        <v>283</v>
      </c>
      <c r="O6" t="s">
        <v>8507</v>
      </c>
      <c r="P6" t="s">
        <v>8213</v>
      </c>
      <c r="Q6" t="s">
        <v>6501</v>
      </c>
      <c r="T6">
        <v>1181</v>
      </c>
    </row>
    <row r="7" spans="1:21">
      <c r="A7">
        <v>4</v>
      </c>
      <c r="B7" t="s">
        <v>3022</v>
      </c>
      <c r="C7">
        <v>1084</v>
      </c>
      <c r="D7">
        <v>1084</v>
      </c>
      <c r="E7" t="s">
        <v>3023</v>
      </c>
      <c r="F7" t="s">
        <v>3011</v>
      </c>
      <c r="G7" t="s">
        <v>3024</v>
      </c>
      <c r="H7" t="s">
        <v>3014</v>
      </c>
      <c r="I7" t="s">
        <v>3014</v>
      </c>
      <c r="J7" t="s">
        <v>3014</v>
      </c>
      <c r="K7" t="s">
        <v>3014</v>
      </c>
      <c r="L7" t="s">
        <v>3014</v>
      </c>
      <c r="M7" t="s">
        <v>2493</v>
      </c>
      <c r="N7" t="s">
        <v>2493</v>
      </c>
      <c r="O7" t="s">
        <v>8448</v>
      </c>
      <c r="P7" t="s">
        <v>8152</v>
      </c>
      <c r="Q7" t="s">
        <v>5162</v>
      </c>
      <c r="T7" t="e">
        <v>#N/A</v>
      </c>
    </row>
    <row r="8" spans="1:21">
      <c r="A8">
        <v>7</v>
      </c>
      <c r="B8" t="s">
        <v>3033</v>
      </c>
      <c r="C8">
        <v>1085</v>
      </c>
      <c r="D8" t="s">
        <v>3034</v>
      </c>
      <c r="E8" t="s">
        <v>3010</v>
      </c>
      <c r="F8" t="s">
        <v>3035</v>
      </c>
      <c r="G8" t="s">
        <v>3036</v>
      </c>
      <c r="H8" t="s">
        <v>3014</v>
      </c>
      <c r="I8" t="s">
        <v>3014</v>
      </c>
      <c r="J8" t="s">
        <v>3014</v>
      </c>
      <c r="K8" t="s">
        <v>3014</v>
      </c>
      <c r="L8" t="s">
        <v>3014</v>
      </c>
      <c r="M8" t="s">
        <v>3037</v>
      </c>
      <c r="N8" t="s">
        <v>1993</v>
      </c>
      <c r="O8" t="s">
        <v>8486</v>
      </c>
      <c r="P8" t="s">
        <v>8190</v>
      </c>
      <c r="Q8" t="s">
        <v>6424</v>
      </c>
      <c r="T8">
        <v>997</v>
      </c>
    </row>
    <row r="9" spans="1:21">
      <c r="A9">
        <v>8</v>
      </c>
      <c r="B9" t="s">
        <v>3038</v>
      </c>
      <c r="C9">
        <v>1086</v>
      </c>
      <c r="D9" t="s">
        <v>3039</v>
      </c>
      <c r="E9" t="s">
        <v>3010</v>
      </c>
      <c r="F9" t="s">
        <v>3035</v>
      </c>
      <c r="G9" t="s">
        <v>3036</v>
      </c>
      <c r="H9" t="s">
        <v>3014</v>
      </c>
      <c r="I9" t="s">
        <v>3014</v>
      </c>
      <c r="J9" t="s">
        <v>3014</v>
      </c>
      <c r="K9" t="s">
        <v>3014</v>
      </c>
      <c r="L9" t="s">
        <v>3014</v>
      </c>
      <c r="M9" t="s">
        <v>3037</v>
      </c>
      <c r="N9" t="s">
        <v>1993</v>
      </c>
      <c r="O9" t="s">
        <v>8486</v>
      </c>
      <c r="P9" t="s">
        <v>8190</v>
      </c>
      <c r="Q9" t="s">
        <v>6424</v>
      </c>
      <c r="T9">
        <v>997</v>
      </c>
    </row>
    <row r="10" spans="1:21">
      <c r="A10">
        <v>11</v>
      </c>
      <c r="B10" t="s">
        <v>3047</v>
      </c>
      <c r="C10">
        <v>1087</v>
      </c>
      <c r="D10" t="s">
        <v>3048</v>
      </c>
      <c r="E10" t="s">
        <v>3049</v>
      </c>
      <c r="F10" t="s">
        <v>3011</v>
      </c>
      <c r="G10" t="s">
        <v>3012</v>
      </c>
      <c r="H10" t="s">
        <v>3014</v>
      </c>
      <c r="I10" t="s">
        <v>3014</v>
      </c>
      <c r="J10" t="s">
        <v>3013</v>
      </c>
      <c r="K10" t="s">
        <v>3014</v>
      </c>
      <c r="L10" t="s">
        <v>3013</v>
      </c>
      <c r="M10" t="s">
        <v>3050</v>
      </c>
      <c r="N10" t="s">
        <v>1146</v>
      </c>
      <c r="O10" t="s">
        <v>8064</v>
      </c>
      <c r="P10" t="s">
        <v>8064</v>
      </c>
      <c r="Q10">
        <v>0</v>
      </c>
      <c r="S10">
        <v>1</v>
      </c>
      <c r="T10">
        <v>1069</v>
      </c>
    </row>
    <row r="11" spans="1:21">
      <c r="A11">
        <v>9</v>
      </c>
      <c r="B11" t="s">
        <v>3040</v>
      </c>
      <c r="C11">
        <v>1087</v>
      </c>
      <c r="D11" t="s">
        <v>3041</v>
      </c>
      <c r="E11" t="s">
        <v>3010</v>
      </c>
      <c r="F11" t="s">
        <v>3035</v>
      </c>
      <c r="G11" t="s">
        <v>3036</v>
      </c>
      <c r="H11" t="s">
        <v>3014</v>
      </c>
      <c r="I11" t="s">
        <v>3014</v>
      </c>
      <c r="J11" t="s">
        <v>3014</v>
      </c>
      <c r="K11" t="s">
        <v>3014</v>
      </c>
      <c r="L11" t="s">
        <v>3014</v>
      </c>
      <c r="M11" t="s">
        <v>3042</v>
      </c>
      <c r="N11" t="s">
        <v>1995</v>
      </c>
      <c r="O11" t="s">
        <v>8493</v>
      </c>
      <c r="P11" t="s">
        <v>8199</v>
      </c>
      <c r="Q11" t="s">
        <v>6465</v>
      </c>
      <c r="T11">
        <v>978</v>
      </c>
    </row>
    <row r="12" spans="1:21">
      <c r="A12">
        <v>10</v>
      </c>
      <c r="B12" t="s">
        <v>3043</v>
      </c>
      <c r="C12">
        <v>1087</v>
      </c>
      <c r="D12" t="s">
        <v>3044</v>
      </c>
      <c r="E12" t="s">
        <v>3045</v>
      </c>
      <c r="F12" t="s">
        <v>3011</v>
      </c>
      <c r="G12" t="s">
        <v>3024</v>
      </c>
      <c r="H12" t="s">
        <v>3014</v>
      </c>
      <c r="I12" t="s">
        <v>3014</v>
      </c>
      <c r="J12" t="s">
        <v>3014</v>
      </c>
      <c r="K12" t="s">
        <v>3014</v>
      </c>
      <c r="L12" t="s">
        <v>3013</v>
      </c>
      <c r="M12" t="s">
        <v>3046</v>
      </c>
      <c r="N12" t="s">
        <v>3046</v>
      </c>
      <c r="O12" t="s">
        <v>8064</v>
      </c>
      <c r="P12" t="s">
        <v>8064</v>
      </c>
      <c r="Q12">
        <v>0</v>
      </c>
      <c r="T12">
        <v>1277</v>
      </c>
    </row>
    <row r="13" spans="1:21">
      <c r="A13">
        <v>13</v>
      </c>
      <c r="B13" t="s">
        <v>3056</v>
      </c>
      <c r="C13">
        <v>1088</v>
      </c>
      <c r="D13" t="s">
        <v>3057</v>
      </c>
      <c r="E13" t="s">
        <v>3010</v>
      </c>
      <c r="F13" t="s">
        <v>3011</v>
      </c>
      <c r="G13" t="s">
        <v>3012</v>
      </c>
      <c r="H13" t="s">
        <v>3014</v>
      </c>
      <c r="I13" t="s">
        <v>3014</v>
      </c>
      <c r="J13" t="s">
        <v>3014</v>
      </c>
      <c r="K13" t="s">
        <v>3014</v>
      </c>
      <c r="L13" t="s">
        <v>3014</v>
      </c>
      <c r="M13" t="s">
        <v>3058</v>
      </c>
      <c r="N13" t="s">
        <v>1996</v>
      </c>
      <c r="O13" t="s">
        <v>6297</v>
      </c>
      <c r="P13" t="s">
        <v>8193</v>
      </c>
      <c r="Q13" t="s">
        <v>4422</v>
      </c>
      <c r="T13">
        <v>952</v>
      </c>
    </row>
    <row r="14" spans="1:21">
      <c r="A14" t="s">
        <v>3051</v>
      </c>
      <c r="B14" t="s">
        <v>3052</v>
      </c>
      <c r="C14">
        <v>1088</v>
      </c>
      <c r="D14" t="s">
        <v>3053</v>
      </c>
      <c r="E14" t="s">
        <v>3054</v>
      </c>
      <c r="M14" t="s">
        <v>3055</v>
      </c>
      <c r="N14" t="s">
        <v>858</v>
      </c>
      <c r="O14" t="s">
        <v>8452</v>
      </c>
      <c r="P14" t="s">
        <v>8156</v>
      </c>
      <c r="Q14" t="s">
        <v>6441</v>
      </c>
      <c r="T14">
        <v>263</v>
      </c>
    </row>
    <row r="15" spans="1:21">
      <c r="A15">
        <v>16</v>
      </c>
      <c r="B15" t="s">
        <v>3063</v>
      </c>
      <c r="C15">
        <v>1090</v>
      </c>
      <c r="D15" t="s">
        <v>3064</v>
      </c>
      <c r="E15" t="s">
        <v>3049</v>
      </c>
      <c r="F15" t="s">
        <v>3011</v>
      </c>
      <c r="G15" t="s">
        <v>3012</v>
      </c>
      <c r="H15" t="s">
        <v>3014</v>
      </c>
      <c r="I15" t="s">
        <v>3014</v>
      </c>
      <c r="J15" t="s">
        <v>3014</v>
      </c>
      <c r="K15" t="s">
        <v>3014</v>
      </c>
      <c r="L15" t="s">
        <v>3014</v>
      </c>
      <c r="M15" t="s">
        <v>3065</v>
      </c>
      <c r="N15" t="s">
        <v>1997</v>
      </c>
      <c r="O15" t="s">
        <v>8418</v>
      </c>
      <c r="P15" t="s">
        <v>8122</v>
      </c>
      <c r="Q15" t="s">
        <v>6285</v>
      </c>
      <c r="R15">
        <v>1</v>
      </c>
      <c r="S15">
        <v>1</v>
      </c>
      <c r="T15">
        <v>953</v>
      </c>
    </row>
    <row r="16" spans="1:21">
      <c r="A16">
        <v>14</v>
      </c>
      <c r="B16" t="s">
        <v>3059</v>
      </c>
      <c r="C16">
        <v>1090</v>
      </c>
      <c r="D16" t="s">
        <v>3060</v>
      </c>
      <c r="E16" t="s">
        <v>3049</v>
      </c>
      <c r="F16" t="s">
        <v>3024</v>
      </c>
      <c r="G16" t="s">
        <v>3036</v>
      </c>
      <c r="H16" t="s">
        <v>3014</v>
      </c>
      <c r="I16" t="s">
        <v>3014</v>
      </c>
      <c r="J16" t="s">
        <v>3014</v>
      </c>
      <c r="K16" t="s">
        <v>3014</v>
      </c>
      <c r="L16" t="s">
        <v>3014</v>
      </c>
      <c r="O16" t="s">
        <v>8064</v>
      </c>
      <c r="P16" t="s">
        <v>8064</v>
      </c>
      <c r="Q16" t="e">
        <v>#N/A</v>
      </c>
      <c r="S16">
        <v>1</v>
      </c>
    </row>
    <row r="17" spans="1:20">
      <c r="A17">
        <v>15</v>
      </c>
      <c r="B17" t="s">
        <v>3061</v>
      </c>
      <c r="C17">
        <v>1090</v>
      </c>
      <c r="D17" t="s">
        <v>3062</v>
      </c>
      <c r="E17" t="s">
        <v>3010</v>
      </c>
      <c r="F17" t="s">
        <v>3011</v>
      </c>
      <c r="G17" t="s">
        <v>3012</v>
      </c>
      <c r="H17" t="s">
        <v>3014</v>
      </c>
      <c r="I17" t="s">
        <v>3014</v>
      </c>
      <c r="J17" t="s">
        <v>3014</v>
      </c>
      <c r="K17" t="s">
        <v>3014</v>
      </c>
      <c r="L17" t="s">
        <v>3013</v>
      </c>
      <c r="M17" t="s">
        <v>3042</v>
      </c>
      <c r="N17" t="s">
        <v>1995</v>
      </c>
      <c r="O17" t="s">
        <v>8493</v>
      </c>
      <c r="P17" t="s">
        <v>8199</v>
      </c>
      <c r="Q17" t="s">
        <v>6465</v>
      </c>
      <c r="T17">
        <v>978</v>
      </c>
    </row>
    <row r="18" spans="1:20">
      <c r="A18">
        <v>17</v>
      </c>
      <c r="B18" t="s">
        <v>3066</v>
      </c>
      <c r="C18">
        <v>1091</v>
      </c>
      <c r="D18">
        <v>1091</v>
      </c>
      <c r="E18" t="s">
        <v>3010</v>
      </c>
      <c r="F18" t="s">
        <v>3035</v>
      </c>
      <c r="G18" t="s">
        <v>3024</v>
      </c>
      <c r="H18" t="s">
        <v>3014</v>
      </c>
      <c r="I18" t="s">
        <v>3014</v>
      </c>
      <c r="J18" t="s">
        <v>3014</v>
      </c>
      <c r="K18" t="s">
        <v>3014</v>
      </c>
      <c r="L18" t="s">
        <v>3013</v>
      </c>
      <c r="M18" t="s">
        <v>3067</v>
      </c>
      <c r="N18" t="s">
        <v>8753</v>
      </c>
      <c r="O18" t="s">
        <v>8064</v>
      </c>
      <c r="P18" t="s">
        <v>8064</v>
      </c>
      <c r="Q18" t="e">
        <v>#N/A</v>
      </c>
      <c r="T18" t="e">
        <v>#N/A</v>
      </c>
    </row>
    <row r="19" spans="1:20">
      <c r="A19">
        <v>20</v>
      </c>
      <c r="B19" t="s">
        <v>3076</v>
      </c>
      <c r="C19">
        <v>1093</v>
      </c>
      <c r="D19" t="s">
        <v>3077</v>
      </c>
      <c r="E19" t="s">
        <v>3010</v>
      </c>
      <c r="F19" t="s">
        <v>3011</v>
      </c>
      <c r="G19" t="s">
        <v>3012</v>
      </c>
      <c r="H19" t="s">
        <v>3014</v>
      </c>
      <c r="I19" t="s">
        <v>3014</v>
      </c>
      <c r="J19" t="s">
        <v>3014</v>
      </c>
      <c r="K19" t="s">
        <v>3014</v>
      </c>
      <c r="L19" t="s">
        <v>3014</v>
      </c>
      <c r="M19" t="s">
        <v>3078</v>
      </c>
      <c r="N19" t="s">
        <v>1522</v>
      </c>
      <c r="O19" t="s">
        <v>8651</v>
      </c>
      <c r="P19" t="s">
        <v>8353</v>
      </c>
      <c r="Q19" t="s">
        <v>4435</v>
      </c>
      <c r="T19">
        <v>716</v>
      </c>
    </row>
    <row r="20" spans="1:20">
      <c r="A20" t="s">
        <v>3072</v>
      </c>
      <c r="B20" t="s">
        <v>3073</v>
      </c>
      <c r="C20">
        <v>1093</v>
      </c>
      <c r="D20" t="s">
        <v>3074</v>
      </c>
      <c r="E20" t="s">
        <v>3010</v>
      </c>
      <c r="M20" t="s">
        <v>3075</v>
      </c>
      <c r="N20" t="s">
        <v>1998</v>
      </c>
      <c r="O20" t="s">
        <v>8064</v>
      </c>
      <c r="P20" t="s">
        <v>8064</v>
      </c>
      <c r="Q20">
        <v>0</v>
      </c>
      <c r="T20">
        <v>955</v>
      </c>
    </row>
    <row r="21" spans="1:20">
      <c r="A21" t="s">
        <v>3068</v>
      </c>
      <c r="B21" t="s">
        <v>3069</v>
      </c>
      <c r="C21">
        <v>1093</v>
      </c>
      <c r="D21">
        <v>1093</v>
      </c>
      <c r="E21" t="s">
        <v>3070</v>
      </c>
      <c r="M21" t="s">
        <v>3071</v>
      </c>
      <c r="N21" t="s">
        <v>285</v>
      </c>
      <c r="O21" t="s">
        <v>8523</v>
      </c>
      <c r="P21" t="s">
        <v>8228</v>
      </c>
      <c r="Q21" t="s">
        <v>7000</v>
      </c>
      <c r="T21">
        <v>1240</v>
      </c>
    </row>
    <row r="22" spans="1:20">
      <c r="A22">
        <v>21</v>
      </c>
      <c r="B22" t="s">
        <v>3079</v>
      </c>
      <c r="C22">
        <v>1095</v>
      </c>
      <c r="D22" t="s">
        <v>3080</v>
      </c>
      <c r="E22" t="s">
        <v>3023</v>
      </c>
      <c r="F22" t="s">
        <v>3011</v>
      </c>
      <c r="G22" t="s">
        <v>3012</v>
      </c>
      <c r="H22" t="s">
        <v>3014</v>
      </c>
      <c r="I22" t="s">
        <v>3014</v>
      </c>
      <c r="J22" t="s">
        <v>3014</v>
      </c>
      <c r="K22" t="s">
        <v>3014</v>
      </c>
      <c r="L22" t="s">
        <v>3014</v>
      </c>
      <c r="M22" t="s">
        <v>3081</v>
      </c>
      <c r="N22" t="s">
        <v>549</v>
      </c>
      <c r="O22" t="s">
        <v>8395</v>
      </c>
      <c r="P22" t="s">
        <v>8099</v>
      </c>
      <c r="Q22" t="s">
        <v>6873</v>
      </c>
      <c r="T22">
        <v>111</v>
      </c>
    </row>
    <row r="23" spans="1:20">
      <c r="A23">
        <v>22</v>
      </c>
      <c r="B23" t="s">
        <v>3082</v>
      </c>
      <c r="C23">
        <v>1095</v>
      </c>
      <c r="D23" t="s">
        <v>3083</v>
      </c>
      <c r="E23" t="s">
        <v>3049</v>
      </c>
      <c r="F23" t="s">
        <v>3011</v>
      </c>
      <c r="G23" t="s">
        <v>3024</v>
      </c>
      <c r="H23" t="s">
        <v>3014</v>
      </c>
      <c r="I23" t="s">
        <v>3014</v>
      </c>
      <c r="J23" t="s">
        <v>3014</v>
      </c>
      <c r="K23" t="s">
        <v>3014</v>
      </c>
      <c r="L23" t="s">
        <v>3014</v>
      </c>
      <c r="M23" t="s">
        <v>3084</v>
      </c>
      <c r="N23" t="s">
        <v>861</v>
      </c>
      <c r="O23" t="s">
        <v>8360</v>
      </c>
      <c r="P23" t="s">
        <v>8063</v>
      </c>
      <c r="Q23" t="s">
        <v>6348</v>
      </c>
      <c r="R23">
        <v>1</v>
      </c>
      <c r="S23">
        <v>1</v>
      </c>
      <c r="T23">
        <v>265</v>
      </c>
    </row>
    <row r="24" spans="1:20">
      <c r="A24">
        <v>23</v>
      </c>
      <c r="B24" t="s">
        <v>3085</v>
      </c>
      <c r="C24">
        <v>1095</v>
      </c>
      <c r="D24" t="s">
        <v>3086</v>
      </c>
      <c r="E24" t="s">
        <v>3010</v>
      </c>
      <c r="F24" t="s">
        <v>3011</v>
      </c>
      <c r="G24" t="s">
        <v>3024</v>
      </c>
      <c r="H24" t="s">
        <v>3014</v>
      </c>
      <c r="I24" t="s">
        <v>3014</v>
      </c>
      <c r="J24" t="s">
        <v>3014</v>
      </c>
      <c r="K24" t="s">
        <v>3014</v>
      </c>
      <c r="L24" t="s">
        <v>3014</v>
      </c>
      <c r="M24" t="s">
        <v>3087</v>
      </c>
      <c r="N24" t="s">
        <v>1521</v>
      </c>
      <c r="O24" t="s">
        <v>8392</v>
      </c>
      <c r="P24" t="s">
        <v>8096</v>
      </c>
      <c r="Q24" t="s">
        <v>4362</v>
      </c>
      <c r="T24">
        <v>719</v>
      </c>
    </row>
    <row r="25" spans="1:20">
      <c r="A25">
        <v>24</v>
      </c>
      <c r="B25" t="s">
        <v>3088</v>
      </c>
      <c r="C25">
        <v>1096</v>
      </c>
      <c r="D25" t="s">
        <v>3089</v>
      </c>
      <c r="E25" t="s">
        <v>3049</v>
      </c>
      <c r="F25" t="s">
        <v>3011</v>
      </c>
      <c r="G25" t="s">
        <v>3024</v>
      </c>
      <c r="H25" t="s">
        <v>3014</v>
      </c>
      <c r="I25" t="s">
        <v>3014</v>
      </c>
      <c r="J25" t="s">
        <v>3014</v>
      </c>
      <c r="K25" t="s">
        <v>3014</v>
      </c>
      <c r="L25" t="s">
        <v>3014</v>
      </c>
      <c r="M25" t="s">
        <v>3090</v>
      </c>
      <c r="N25" t="s">
        <v>551</v>
      </c>
      <c r="O25" t="s">
        <v>8358</v>
      </c>
      <c r="P25" t="s">
        <v>8061</v>
      </c>
      <c r="Q25" t="s">
        <v>6497</v>
      </c>
      <c r="R25">
        <v>1</v>
      </c>
      <c r="S25">
        <v>1</v>
      </c>
      <c r="T25">
        <v>168</v>
      </c>
    </row>
    <row r="26" spans="1:20">
      <c r="A26">
        <v>25</v>
      </c>
      <c r="B26" t="s">
        <v>3091</v>
      </c>
      <c r="C26">
        <v>1097</v>
      </c>
      <c r="D26">
        <v>1097</v>
      </c>
      <c r="E26" t="s">
        <v>3092</v>
      </c>
      <c r="F26" t="s">
        <v>3011</v>
      </c>
      <c r="G26" t="s">
        <v>3012</v>
      </c>
      <c r="H26" t="s">
        <v>3014</v>
      </c>
      <c r="I26" t="s">
        <v>3014</v>
      </c>
      <c r="J26" t="s">
        <v>3013</v>
      </c>
      <c r="K26" t="s">
        <v>3014</v>
      </c>
      <c r="L26" t="s">
        <v>3014</v>
      </c>
      <c r="M26" t="s">
        <v>3093</v>
      </c>
      <c r="N26" t="s">
        <v>2592</v>
      </c>
      <c r="O26" t="s">
        <v>8368</v>
      </c>
      <c r="P26" t="s">
        <v>8073</v>
      </c>
      <c r="Q26" t="s">
        <v>4646</v>
      </c>
      <c r="T26">
        <v>1371</v>
      </c>
    </row>
    <row r="27" spans="1:20">
      <c r="A27">
        <v>26</v>
      </c>
      <c r="B27" t="s">
        <v>3094</v>
      </c>
      <c r="C27">
        <v>1099</v>
      </c>
      <c r="D27">
        <v>1099</v>
      </c>
      <c r="E27" t="s">
        <v>3049</v>
      </c>
      <c r="F27" t="s">
        <v>3011</v>
      </c>
      <c r="G27" t="s">
        <v>3012</v>
      </c>
      <c r="H27" t="s">
        <v>3340</v>
      </c>
      <c r="I27" t="s">
        <v>3014</v>
      </c>
      <c r="J27" t="s">
        <v>3014</v>
      </c>
      <c r="K27" t="s">
        <v>3014</v>
      </c>
      <c r="L27" t="s">
        <v>3013</v>
      </c>
      <c r="M27" t="s">
        <v>3095</v>
      </c>
      <c r="N27" t="s">
        <v>554</v>
      </c>
      <c r="O27" t="s">
        <v>8408</v>
      </c>
      <c r="P27" t="s">
        <v>8059</v>
      </c>
      <c r="Q27" t="s">
        <v>6419</v>
      </c>
      <c r="R27">
        <v>1</v>
      </c>
      <c r="S27">
        <v>1</v>
      </c>
      <c r="T27">
        <v>130</v>
      </c>
    </row>
    <row r="28" spans="1:20">
      <c r="A28">
        <v>28</v>
      </c>
      <c r="B28" t="s">
        <v>3100</v>
      </c>
      <c r="C28">
        <v>1100</v>
      </c>
      <c r="D28" t="s">
        <v>3098</v>
      </c>
      <c r="E28" t="s">
        <v>3013</v>
      </c>
      <c r="F28" t="s">
        <v>3011</v>
      </c>
      <c r="G28" t="s">
        <v>3036</v>
      </c>
      <c r="H28" t="s">
        <v>3014</v>
      </c>
      <c r="I28" t="s">
        <v>3014</v>
      </c>
      <c r="J28" t="s">
        <v>3014</v>
      </c>
      <c r="K28" t="s">
        <v>3014</v>
      </c>
      <c r="L28" t="s">
        <v>3013</v>
      </c>
      <c r="M28" t="s">
        <v>3101</v>
      </c>
      <c r="N28" t="s">
        <v>8754</v>
      </c>
      <c r="O28" t="s">
        <v>8064</v>
      </c>
      <c r="P28" t="s">
        <v>8064</v>
      </c>
      <c r="Q28" t="e">
        <v>#N/A</v>
      </c>
      <c r="T28" t="e">
        <v>#N/A</v>
      </c>
    </row>
    <row r="29" spans="1:20">
      <c r="A29" t="s">
        <v>3096</v>
      </c>
      <c r="B29" t="s">
        <v>3097</v>
      </c>
      <c r="C29">
        <v>1100</v>
      </c>
      <c r="D29" t="s">
        <v>3098</v>
      </c>
      <c r="E29" t="s">
        <v>3049</v>
      </c>
      <c r="F29" t="s">
        <v>3011</v>
      </c>
      <c r="G29" t="s">
        <v>3012</v>
      </c>
      <c r="H29" t="s">
        <v>3014</v>
      </c>
      <c r="I29" t="s">
        <v>3014</v>
      </c>
      <c r="J29" t="s">
        <v>3014</v>
      </c>
      <c r="K29" t="s">
        <v>3014</v>
      </c>
      <c r="L29" t="s">
        <v>3014</v>
      </c>
      <c r="M29" t="s">
        <v>3099</v>
      </c>
      <c r="N29" t="s">
        <v>556</v>
      </c>
      <c r="O29" t="s">
        <v>8402</v>
      </c>
      <c r="P29" t="s">
        <v>8106</v>
      </c>
      <c r="Q29" t="s">
        <v>6886</v>
      </c>
      <c r="R29">
        <v>1</v>
      </c>
      <c r="S29">
        <v>1</v>
      </c>
      <c r="T29">
        <v>122</v>
      </c>
    </row>
    <row r="30" spans="1:20">
      <c r="A30">
        <v>29</v>
      </c>
      <c r="B30" t="s">
        <v>3102</v>
      </c>
      <c r="C30">
        <v>1100</v>
      </c>
      <c r="D30" t="s">
        <v>3103</v>
      </c>
      <c r="E30" t="s">
        <v>3010</v>
      </c>
      <c r="F30" t="s">
        <v>3035</v>
      </c>
      <c r="G30" t="s">
        <v>3012</v>
      </c>
      <c r="H30" t="s">
        <v>3014</v>
      </c>
      <c r="I30" t="s">
        <v>3014</v>
      </c>
      <c r="J30" t="s">
        <v>3014</v>
      </c>
      <c r="K30" t="s">
        <v>3014</v>
      </c>
      <c r="L30" t="s">
        <v>3014</v>
      </c>
      <c r="M30" t="s">
        <v>3104</v>
      </c>
      <c r="N30" t="s">
        <v>866</v>
      </c>
      <c r="O30" t="s">
        <v>8453</v>
      </c>
      <c r="P30" t="s">
        <v>8157</v>
      </c>
      <c r="Q30" t="s">
        <v>4425</v>
      </c>
      <c r="T30">
        <v>273</v>
      </c>
    </row>
    <row r="31" spans="1:20">
      <c r="A31">
        <v>31</v>
      </c>
      <c r="B31" t="s">
        <v>3107</v>
      </c>
      <c r="C31">
        <v>1103</v>
      </c>
      <c r="D31" t="s">
        <v>3108</v>
      </c>
      <c r="E31" t="s">
        <v>3092</v>
      </c>
      <c r="M31" t="s">
        <v>3109</v>
      </c>
      <c r="N31" t="s">
        <v>1329</v>
      </c>
      <c r="O31" t="s">
        <v>8370</v>
      </c>
      <c r="P31" t="s">
        <v>8075</v>
      </c>
      <c r="Q31" t="s">
        <v>6458</v>
      </c>
      <c r="T31">
        <v>415</v>
      </c>
    </row>
    <row r="32" spans="1:20">
      <c r="A32">
        <v>30</v>
      </c>
      <c r="B32" t="s">
        <v>3105</v>
      </c>
      <c r="C32">
        <v>1103</v>
      </c>
      <c r="D32">
        <v>1103</v>
      </c>
      <c r="E32" t="s">
        <v>3092</v>
      </c>
      <c r="F32" t="s">
        <v>3011</v>
      </c>
      <c r="G32" t="s">
        <v>3012</v>
      </c>
      <c r="H32" t="s">
        <v>3014</v>
      </c>
      <c r="I32" t="s">
        <v>3014</v>
      </c>
      <c r="J32" t="s">
        <v>3014</v>
      </c>
      <c r="K32" t="s">
        <v>3014</v>
      </c>
      <c r="L32" t="s">
        <v>3014</v>
      </c>
      <c r="M32" t="s">
        <v>3106</v>
      </c>
      <c r="N32" t="s">
        <v>2790</v>
      </c>
      <c r="O32" t="s">
        <v>8381</v>
      </c>
      <c r="P32" t="s">
        <v>8085</v>
      </c>
      <c r="Q32" t="s">
        <v>2787</v>
      </c>
      <c r="T32">
        <v>1</v>
      </c>
    </row>
    <row r="33" spans="1:20">
      <c r="A33">
        <v>32</v>
      </c>
      <c r="B33" t="s">
        <v>3110</v>
      </c>
      <c r="C33">
        <v>1104</v>
      </c>
      <c r="D33">
        <v>1104</v>
      </c>
      <c r="E33" t="s">
        <v>3092</v>
      </c>
      <c r="F33" t="s">
        <v>3011</v>
      </c>
      <c r="G33" t="s">
        <v>3111</v>
      </c>
      <c r="H33" t="s">
        <v>3014</v>
      </c>
      <c r="I33" t="s">
        <v>3014</v>
      </c>
      <c r="J33" t="s">
        <v>3013</v>
      </c>
      <c r="K33" t="s">
        <v>3014</v>
      </c>
      <c r="L33" t="s">
        <v>3013</v>
      </c>
      <c r="M33" t="s">
        <v>3112</v>
      </c>
      <c r="N33" t="s">
        <v>2863</v>
      </c>
      <c r="O33" t="s">
        <v>8064</v>
      </c>
      <c r="P33" t="s">
        <v>8064</v>
      </c>
      <c r="Q33" t="e">
        <v>#N/A</v>
      </c>
      <c r="T33" t="e">
        <v>#N/A</v>
      </c>
    </row>
    <row r="34" spans="1:20">
      <c r="A34">
        <v>33</v>
      </c>
      <c r="B34" t="s">
        <v>3113</v>
      </c>
      <c r="C34">
        <v>1105</v>
      </c>
      <c r="D34">
        <v>1105</v>
      </c>
      <c r="E34" t="s">
        <v>3023</v>
      </c>
      <c r="F34" t="s">
        <v>3035</v>
      </c>
      <c r="G34" t="s">
        <v>3036</v>
      </c>
      <c r="H34" t="s">
        <v>3014</v>
      </c>
      <c r="I34" t="s">
        <v>3014</v>
      </c>
      <c r="J34" t="s">
        <v>3014</v>
      </c>
      <c r="K34" t="s">
        <v>3014</v>
      </c>
      <c r="L34" t="s">
        <v>3013</v>
      </c>
      <c r="M34" t="s">
        <v>3078</v>
      </c>
      <c r="N34" t="s">
        <v>1522</v>
      </c>
      <c r="O34" t="s">
        <v>8651</v>
      </c>
      <c r="P34" t="s">
        <v>8353</v>
      </c>
      <c r="Q34" t="s">
        <v>4435</v>
      </c>
      <c r="T34">
        <v>716</v>
      </c>
    </row>
    <row r="35" spans="1:20">
      <c r="A35">
        <v>35</v>
      </c>
      <c r="B35" t="s">
        <v>3117</v>
      </c>
      <c r="C35">
        <v>1105</v>
      </c>
      <c r="D35" t="s">
        <v>3118</v>
      </c>
      <c r="E35" t="s">
        <v>3049</v>
      </c>
      <c r="F35" t="s">
        <v>3035</v>
      </c>
      <c r="G35" t="s">
        <v>3036</v>
      </c>
      <c r="H35" t="s">
        <v>3014</v>
      </c>
      <c r="I35" t="s">
        <v>3014</v>
      </c>
      <c r="J35" t="s">
        <v>3014</v>
      </c>
      <c r="K35" t="s">
        <v>3014</v>
      </c>
      <c r="L35" t="s">
        <v>3014</v>
      </c>
      <c r="M35" t="s">
        <v>3119</v>
      </c>
      <c r="N35" t="s">
        <v>560</v>
      </c>
      <c r="O35" t="s">
        <v>8360</v>
      </c>
      <c r="P35" t="s">
        <v>8063</v>
      </c>
      <c r="Q35" t="s">
        <v>6348</v>
      </c>
      <c r="R35">
        <v>1</v>
      </c>
      <c r="S35">
        <v>1</v>
      </c>
      <c r="T35">
        <v>186</v>
      </c>
    </row>
    <row r="36" spans="1:20">
      <c r="A36">
        <v>34</v>
      </c>
      <c r="B36" t="s">
        <v>3114</v>
      </c>
      <c r="C36">
        <v>1105</v>
      </c>
      <c r="D36" t="s">
        <v>3115</v>
      </c>
      <c r="E36" t="s">
        <v>3049</v>
      </c>
      <c r="F36" t="s">
        <v>3011</v>
      </c>
      <c r="G36" t="s">
        <v>3036</v>
      </c>
      <c r="H36" t="s">
        <v>3014</v>
      </c>
      <c r="I36" t="s">
        <v>3014</v>
      </c>
      <c r="J36" t="s">
        <v>3014</v>
      </c>
      <c r="K36" t="s">
        <v>3014</v>
      </c>
      <c r="L36" t="s">
        <v>3013</v>
      </c>
      <c r="M36" t="s">
        <v>3116</v>
      </c>
      <c r="N36" t="s">
        <v>562</v>
      </c>
      <c r="O36" t="s">
        <v>8358</v>
      </c>
      <c r="P36" t="s">
        <v>8061</v>
      </c>
      <c r="Q36" t="s">
        <v>6497</v>
      </c>
      <c r="R36">
        <v>1</v>
      </c>
      <c r="S36">
        <v>1</v>
      </c>
      <c r="T36">
        <v>158</v>
      </c>
    </row>
    <row r="37" spans="1:20">
      <c r="A37">
        <v>36</v>
      </c>
      <c r="B37" t="s">
        <v>3120</v>
      </c>
      <c r="C37">
        <v>1108</v>
      </c>
      <c r="D37" t="s">
        <v>3121</v>
      </c>
      <c r="E37" t="s">
        <v>3010</v>
      </c>
      <c r="F37" t="s">
        <v>3035</v>
      </c>
      <c r="G37" t="s">
        <v>3036</v>
      </c>
      <c r="H37" t="s">
        <v>3014</v>
      </c>
      <c r="I37" t="s">
        <v>3014</v>
      </c>
      <c r="J37" t="s">
        <v>3014</v>
      </c>
      <c r="K37" t="s">
        <v>3014</v>
      </c>
      <c r="L37" t="s">
        <v>3014</v>
      </c>
      <c r="M37" t="s">
        <v>3122</v>
      </c>
      <c r="N37" t="s">
        <v>3122</v>
      </c>
      <c r="O37" t="s">
        <v>8064</v>
      </c>
      <c r="P37" t="s">
        <v>8064</v>
      </c>
      <c r="Q37" t="e">
        <v>#N/A</v>
      </c>
      <c r="T37" t="e">
        <v>#N/A</v>
      </c>
    </row>
    <row r="38" spans="1:20">
      <c r="A38">
        <v>37</v>
      </c>
      <c r="B38" t="s">
        <v>3123</v>
      </c>
      <c r="C38">
        <v>1108</v>
      </c>
      <c r="D38" t="s">
        <v>3124</v>
      </c>
      <c r="E38" t="s">
        <v>3020</v>
      </c>
      <c r="F38" t="s">
        <v>3024</v>
      </c>
      <c r="G38" t="s">
        <v>3024</v>
      </c>
      <c r="H38" t="s">
        <v>3014</v>
      </c>
      <c r="I38" t="s">
        <v>3014</v>
      </c>
      <c r="J38" t="s">
        <v>3014</v>
      </c>
      <c r="K38" t="s">
        <v>3014</v>
      </c>
      <c r="L38" t="s">
        <v>3014</v>
      </c>
      <c r="M38" t="s">
        <v>3125</v>
      </c>
      <c r="N38" t="s">
        <v>8769</v>
      </c>
      <c r="O38" t="s">
        <v>8064</v>
      </c>
      <c r="P38" t="s">
        <v>8064</v>
      </c>
      <c r="Q38" t="e">
        <v>#N/A</v>
      </c>
      <c r="T38" t="e">
        <v>#N/A</v>
      </c>
    </row>
    <row r="39" spans="1:20">
      <c r="A39">
        <v>38</v>
      </c>
      <c r="B39" t="s">
        <v>3126</v>
      </c>
      <c r="C39">
        <v>1109</v>
      </c>
      <c r="D39">
        <v>1109</v>
      </c>
      <c r="E39" t="s">
        <v>3010</v>
      </c>
      <c r="F39" t="s">
        <v>3035</v>
      </c>
      <c r="G39" t="s">
        <v>3036</v>
      </c>
      <c r="H39" t="s">
        <v>3014</v>
      </c>
      <c r="I39" t="s">
        <v>3014</v>
      </c>
      <c r="J39" t="s">
        <v>3014</v>
      </c>
      <c r="K39" t="s">
        <v>3014</v>
      </c>
      <c r="L39" t="s">
        <v>3013</v>
      </c>
      <c r="M39" t="s">
        <v>3127</v>
      </c>
      <c r="N39" t="s">
        <v>1849</v>
      </c>
      <c r="O39" t="s">
        <v>8386</v>
      </c>
      <c r="P39" t="s">
        <v>8090</v>
      </c>
      <c r="Q39" t="s">
        <v>6368</v>
      </c>
      <c r="T39">
        <v>859</v>
      </c>
    </row>
    <row r="40" spans="1:20">
      <c r="A40">
        <v>39</v>
      </c>
      <c r="B40" t="s">
        <v>3128</v>
      </c>
      <c r="C40">
        <v>1109</v>
      </c>
      <c r="D40" t="s">
        <v>3129</v>
      </c>
      <c r="E40" t="s">
        <v>3010</v>
      </c>
      <c r="F40" t="s">
        <v>3024</v>
      </c>
      <c r="G40" t="s">
        <v>3024</v>
      </c>
      <c r="H40" t="s">
        <v>3014</v>
      </c>
      <c r="I40" t="s">
        <v>3014</v>
      </c>
      <c r="J40" t="s">
        <v>3014</v>
      </c>
      <c r="K40" t="s">
        <v>3014</v>
      </c>
      <c r="L40" t="s">
        <v>3014</v>
      </c>
      <c r="M40" t="s">
        <v>3130</v>
      </c>
      <c r="N40" t="s">
        <v>1986</v>
      </c>
      <c r="O40" t="s">
        <v>8363</v>
      </c>
      <c r="P40" t="s">
        <v>8067</v>
      </c>
      <c r="Q40" t="s">
        <v>4447</v>
      </c>
      <c r="T40">
        <v>960</v>
      </c>
    </row>
    <row r="41" spans="1:20">
      <c r="A41">
        <v>40</v>
      </c>
      <c r="B41" t="s">
        <v>3131</v>
      </c>
      <c r="C41">
        <v>1110</v>
      </c>
      <c r="D41" t="s">
        <v>3132</v>
      </c>
      <c r="E41" t="s">
        <v>3049</v>
      </c>
      <c r="F41" t="s">
        <v>3035</v>
      </c>
      <c r="G41" t="s">
        <v>3036</v>
      </c>
      <c r="H41" t="s">
        <v>3014</v>
      </c>
      <c r="I41" t="s">
        <v>3014</v>
      </c>
      <c r="J41" t="s">
        <v>3014</v>
      </c>
      <c r="K41" t="s">
        <v>3340</v>
      </c>
      <c r="L41" t="s">
        <v>3014</v>
      </c>
      <c r="M41" t="s">
        <v>3133</v>
      </c>
      <c r="N41" t="s">
        <v>284</v>
      </c>
      <c r="O41" t="s">
        <v>8402</v>
      </c>
      <c r="P41" t="s">
        <v>8117</v>
      </c>
      <c r="Q41" t="s">
        <v>6725</v>
      </c>
      <c r="R41">
        <v>1</v>
      </c>
      <c r="S41">
        <v>1</v>
      </c>
      <c r="T41">
        <v>1272</v>
      </c>
    </row>
    <row r="42" spans="1:20">
      <c r="A42">
        <v>42</v>
      </c>
      <c r="B42" t="s">
        <v>3136</v>
      </c>
      <c r="C42">
        <v>1111</v>
      </c>
      <c r="D42" t="s">
        <v>3137</v>
      </c>
      <c r="E42" t="s">
        <v>3049</v>
      </c>
      <c r="F42" t="s">
        <v>3035</v>
      </c>
      <c r="G42" t="s">
        <v>3036</v>
      </c>
      <c r="H42" t="s">
        <v>3014</v>
      </c>
      <c r="I42" t="s">
        <v>3014</v>
      </c>
      <c r="J42" t="s">
        <v>3014</v>
      </c>
      <c r="K42" t="s">
        <v>3014</v>
      </c>
      <c r="L42" t="s">
        <v>3014</v>
      </c>
      <c r="M42" t="s">
        <v>3138</v>
      </c>
      <c r="N42" t="s">
        <v>564</v>
      </c>
      <c r="O42" t="s">
        <v>8447</v>
      </c>
      <c r="P42" t="s">
        <v>8151</v>
      </c>
      <c r="Q42" t="s">
        <v>6746</v>
      </c>
      <c r="R42">
        <v>1</v>
      </c>
      <c r="S42">
        <v>1</v>
      </c>
      <c r="T42">
        <v>239</v>
      </c>
    </row>
    <row r="43" spans="1:20">
      <c r="A43">
        <v>41</v>
      </c>
      <c r="B43" t="s">
        <v>3134</v>
      </c>
      <c r="C43">
        <v>1111</v>
      </c>
      <c r="D43">
        <v>1111</v>
      </c>
      <c r="E43" t="s">
        <v>3010</v>
      </c>
      <c r="F43" t="s">
        <v>3035</v>
      </c>
      <c r="G43" t="s">
        <v>3036</v>
      </c>
      <c r="H43" t="s">
        <v>3014</v>
      </c>
      <c r="I43" t="s">
        <v>3014</v>
      </c>
      <c r="J43" t="s">
        <v>3014</v>
      </c>
      <c r="K43" t="s">
        <v>3014</v>
      </c>
      <c r="L43" t="s">
        <v>3013</v>
      </c>
      <c r="M43" t="s">
        <v>3135</v>
      </c>
      <c r="N43" t="s">
        <v>1850</v>
      </c>
      <c r="O43" t="s">
        <v>8386</v>
      </c>
      <c r="P43" t="s">
        <v>8090</v>
      </c>
      <c r="Q43" t="s">
        <v>6368</v>
      </c>
      <c r="T43">
        <v>850</v>
      </c>
    </row>
    <row r="44" spans="1:20">
      <c r="A44">
        <v>43</v>
      </c>
      <c r="B44" t="s">
        <v>3139</v>
      </c>
      <c r="C44">
        <v>1112</v>
      </c>
      <c r="D44" t="s">
        <v>3140</v>
      </c>
      <c r="E44" t="s">
        <v>3141</v>
      </c>
      <c r="F44" t="s">
        <v>3024</v>
      </c>
      <c r="G44" t="s">
        <v>3012</v>
      </c>
      <c r="H44" t="s">
        <v>3014</v>
      </c>
      <c r="I44" t="s">
        <v>3014</v>
      </c>
      <c r="J44" t="s">
        <v>3340</v>
      </c>
      <c r="K44" t="s">
        <v>3014</v>
      </c>
      <c r="L44" t="s">
        <v>3013</v>
      </c>
      <c r="M44" t="s">
        <v>3142</v>
      </c>
      <c r="N44" t="s">
        <v>6115</v>
      </c>
      <c r="O44" t="s">
        <v>8543</v>
      </c>
      <c r="P44" t="s">
        <v>8249</v>
      </c>
      <c r="Q44" t="s">
        <v>5642</v>
      </c>
      <c r="T44">
        <v>63</v>
      </c>
    </row>
    <row r="45" spans="1:20">
      <c r="A45">
        <v>45</v>
      </c>
      <c r="B45" t="s">
        <v>3146</v>
      </c>
      <c r="C45">
        <v>1113</v>
      </c>
      <c r="D45" t="s">
        <v>3147</v>
      </c>
      <c r="E45" t="s">
        <v>3010</v>
      </c>
      <c r="F45" t="s">
        <v>3011</v>
      </c>
      <c r="G45" t="s">
        <v>3012</v>
      </c>
      <c r="H45" t="s">
        <v>3014</v>
      </c>
      <c r="I45" t="s">
        <v>3014</v>
      </c>
      <c r="J45" t="s">
        <v>3014</v>
      </c>
      <c r="K45" t="s">
        <v>3014</v>
      </c>
      <c r="L45" t="s">
        <v>3014</v>
      </c>
      <c r="M45" t="s">
        <v>3148</v>
      </c>
      <c r="N45" t="s">
        <v>1456</v>
      </c>
      <c r="O45" t="s">
        <v>8577</v>
      </c>
      <c r="P45" t="s">
        <v>8282</v>
      </c>
      <c r="Q45" t="s">
        <v>6377</v>
      </c>
      <c r="T45">
        <v>645</v>
      </c>
    </row>
    <row r="46" spans="1:20">
      <c r="A46">
        <v>44</v>
      </c>
      <c r="B46" t="s">
        <v>3143</v>
      </c>
      <c r="C46">
        <v>1113</v>
      </c>
      <c r="D46" t="s">
        <v>3144</v>
      </c>
      <c r="E46" t="s">
        <v>3010</v>
      </c>
      <c r="F46" t="s">
        <v>3035</v>
      </c>
      <c r="G46" t="s">
        <v>3036</v>
      </c>
      <c r="H46" t="s">
        <v>3014</v>
      </c>
      <c r="I46" t="s">
        <v>3014</v>
      </c>
      <c r="J46" t="s">
        <v>3014</v>
      </c>
      <c r="K46" t="s">
        <v>3014</v>
      </c>
      <c r="L46" t="s">
        <v>3014</v>
      </c>
      <c r="M46" t="s">
        <v>3145</v>
      </c>
      <c r="N46" t="s">
        <v>1457</v>
      </c>
      <c r="O46" t="s">
        <v>8576</v>
      </c>
      <c r="P46" t="s">
        <v>8281</v>
      </c>
      <c r="Q46" t="s">
        <v>6389</v>
      </c>
      <c r="T46">
        <v>533</v>
      </c>
    </row>
    <row r="47" spans="1:20">
      <c r="A47">
        <v>46</v>
      </c>
      <c r="B47" t="s">
        <v>3149</v>
      </c>
      <c r="C47">
        <v>1113</v>
      </c>
      <c r="D47" t="s">
        <v>3150</v>
      </c>
      <c r="E47" t="s">
        <v>3092</v>
      </c>
      <c r="F47" t="s">
        <v>3024</v>
      </c>
      <c r="G47" t="s">
        <v>3012</v>
      </c>
      <c r="H47" t="s">
        <v>3014</v>
      </c>
      <c r="I47" t="s">
        <v>3014</v>
      </c>
      <c r="J47" t="s">
        <v>3014</v>
      </c>
      <c r="K47" t="s">
        <v>3014</v>
      </c>
      <c r="L47" t="s">
        <v>3013</v>
      </c>
      <c r="M47" t="s">
        <v>3151</v>
      </c>
      <c r="N47" t="s">
        <v>2788</v>
      </c>
      <c r="O47" t="s">
        <v>8381</v>
      </c>
      <c r="P47" t="s">
        <v>8085</v>
      </c>
      <c r="Q47" t="s">
        <v>2787</v>
      </c>
      <c r="T47">
        <v>0</v>
      </c>
    </row>
    <row r="48" spans="1:20">
      <c r="A48">
        <v>47</v>
      </c>
      <c r="B48" t="s">
        <v>3152</v>
      </c>
      <c r="C48">
        <v>1114</v>
      </c>
      <c r="D48" t="s">
        <v>3153</v>
      </c>
      <c r="E48" t="s">
        <v>3010</v>
      </c>
      <c r="F48" t="s">
        <v>3035</v>
      </c>
      <c r="G48" t="s">
        <v>3036</v>
      </c>
      <c r="H48" t="s">
        <v>3014</v>
      </c>
      <c r="I48" t="s">
        <v>3014</v>
      </c>
      <c r="J48" t="s">
        <v>3014</v>
      </c>
      <c r="K48" t="s">
        <v>3014</v>
      </c>
      <c r="L48" t="s">
        <v>3014</v>
      </c>
      <c r="M48" t="s">
        <v>3154</v>
      </c>
      <c r="N48" t="s">
        <v>1286</v>
      </c>
      <c r="O48" t="s">
        <v>8565</v>
      </c>
      <c r="P48" t="s">
        <v>8270</v>
      </c>
      <c r="Q48" t="s">
        <v>4445</v>
      </c>
      <c r="T48">
        <v>467</v>
      </c>
    </row>
    <row r="49" spans="1:20">
      <c r="A49">
        <v>48</v>
      </c>
      <c r="B49" t="s">
        <v>3155</v>
      </c>
      <c r="C49">
        <v>1116</v>
      </c>
      <c r="D49" t="s">
        <v>3156</v>
      </c>
      <c r="E49" t="s">
        <v>3010</v>
      </c>
      <c r="F49" t="s">
        <v>3035</v>
      </c>
      <c r="G49" t="s">
        <v>3036</v>
      </c>
      <c r="H49" t="s">
        <v>3315</v>
      </c>
      <c r="I49" t="s">
        <v>3014</v>
      </c>
      <c r="J49" t="s">
        <v>3370</v>
      </c>
      <c r="K49" t="s">
        <v>3014</v>
      </c>
      <c r="L49" t="s">
        <v>3014</v>
      </c>
      <c r="M49" t="s">
        <v>3127</v>
      </c>
      <c r="N49" t="s">
        <v>1849</v>
      </c>
      <c r="O49" t="s">
        <v>8386</v>
      </c>
      <c r="P49" t="s">
        <v>8090</v>
      </c>
      <c r="Q49" t="s">
        <v>6368</v>
      </c>
      <c r="T49">
        <v>859</v>
      </c>
    </row>
    <row r="50" spans="1:20">
      <c r="A50">
        <v>51</v>
      </c>
      <c r="B50" t="s">
        <v>3163</v>
      </c>
      <c r="C50">
        <v>1117</v>
      </c>
      <c r="D50" t="s">
        <v>3164</v>
      </c>
      <c r="E50" t="s">
        <v>3165</v>
      </c>
      <c r="F50" t="s">
        <v>3035</v>
      </c>
      <c r="G50" t="s">
        <v>3012</v>
      </c>
      <c r="H50" t="s">
        <v>3014</v>
      </c>
      <c r="I50" t="s">
        <v>3014</v>
      </c>
      <c r="J50" t="s">
        <v>3014</v>
      </c>
      <c r="K50" t="s">
        <v>3014</v>
      </c>
      <c r="L50" t="s">
        <v>3014</v>
      </c>
      <c r="M50" t="s">
        <v>3166</v>
      </c>
      <c r="N50" t="s">
        <v>3166</v>
      </c>
      <c r="O50" t="s">
        <v>8626</v>
      </c>
      <c r="P50" t="s">
        <v>8333</v>
      </c>
      <c r="Q50" t="s">
        <v>6453</v>
      </c>
      <c r="T50">
        <v>1161</v>
      </c>
    </row>
    <row r="51" spans="1:20">
      <c r="A51">
        <v>50</v>
      </c>
      <c r="B51" t="s">
        <v>3160</v>
      </c>
      <c r="C51">
        <v>1117</v>
      </c>
      <c r="D51" t="s">
        <v>3161</v>
      </c>
      <c r="E51" t="s">
        <v>3049</v>
      </c>
      <c r="F51" t="s">
        <v>3024</v>
      </c>
      <c r="G51" t="s">
        <v>3036</v>
      </c>
      <c r="H51" t="s">
        <v>3014</v>
      </c>
      <c r="I51" t="s">
        <v>3014</v>
      </c>
      <c r="J51" t="s">
        <v>3014</v>
      </c>
      <c r="K51" t="s">
        <v>3014</v>
      </c>
      <c r="L51" t="s">
        <v>3014</v>
      </c>
      <c r="M51" t="s">
        <v>3162</v>
      </c>
      <c r="N51" t="s">
        <v>286</v>
      </c>
      <c r="O51" t="s">
        <v>8414</v>
      </c>
      <c r="P51" t="s">
        <v>8118</v>
      </c>
      <c r="Q51" t="s">
        <v>6339</v>
      </c>
      <c r="R51">
        <v>1</v>
      </c>
      <c r="S51">
        <v>1</v>
      </c>
      <c r="T51">
        <v>1237</v>
      </c>
    </row>
    <row r="52" spans="1:20">
      <c r="A52">
        <v>52</v>
      </c>
      <c r="B52" t="s">
        <v>3167</v>
      </c>
      <c r="C52">
        <v>1117</v>
      </c>
      <c r="D52" t="s">
        <v>3164</v>
      </c>
      <c r="E52" t="s">
        <v>3010</v>
      </c>
      <c r="F52" t="s">
        <v>3035</v>
      </c>
      <c r="G52" t="s">
        <v>3036</v>
      </c>
      <c r="H52" t="s">
        <v>3014</v>
      </c>
      <c r="I52" t="s">
        <v>3014</v>
      </c>
      <c r="J52" t="s">
        <v>3014</v>
      </c>
      <c r="K52" t="s">
        <v>3014</v>
      </c>
      <c r="L52" t="s">
        <v>3014</v>
      </c>
      <c r="M52" t="s">
        <v>3168</v>
      </c>
      <c r="N52" t="s">
        <v>1524</v>
      </c>
      <c r="O52" t="s">
        <v>8427</v>
      </c>
      <c r="P52" t="s">
        <v>8131</v>
      </c>
      <c r="Q52" t="s">
        <v>4455</v>
      </c>
      <c r="T52">
        <v>699</v>
      </c>
    </row>
    <row r="53" spans="1:20">
      <c r="A53">
        <v>49</v>
      </c>
      <c r="B53" t="s">
        <v>3157</v>
      </c>
      <c r="C53">
        <v>1117</v>
      </c>
      <c r="D53" t="s">
        <v>3158</v>
      </c>
      <c r="E53" t="s">
        <v>3010</v>
      </c>
      <c r="F53" t="s">
        <v>3035</v>
      </c>
      <c r="G53" t="s">
        <v>3036</v>
      </c>
      <c r="H53" t="s">
        <v>3340</v>
      </c>
      <c r="I53" t="s">
        <v>3014</v>
      </c>
      <c r="J53" t="s">
        <v>3014</v>
      </c>
      <c r="K53" t="s">
        <v>3014</v>
      </c>
      <c r="L53" t="s">
        <v>3014</v>
      </c>
      <c r="M53" t="s">
        <v>3159</v>
      </c>
      <c r="N53" t="s">
        <v>8770</v>
      </c>
      <c r="O53" t="s">
        <v>8064</v>
      </c>
      <c r="P53" t="s">
        <v>8064</v>
      </c>
      <c r="Q53" t="e">
        <v>#N/A</v>
      </c>
      <c r="T53" t="e">
        <v>#N/A</v>
      </c>
    </row>
    <row r="54" spans="1:20">
      <c r="A54">
        <v>53</v>
      </c>
      <c r="B54" t="s">
        <v>3169</v>
      </c>
      <c r="C54">
        <v>1118</v>
      </c>
      <c r="D54" t="s">
        <v>3170</v>
      </c>
      <c r="E54" t="s">
        <v>3049</v>
      </c>
      <c r="F54" t="s">
        <v>3035</v>
      </c>
      <c r="G54" t="s">
        <v>3036</v>
      </c>
      <c r="H54" t="s">
        <v>3014</v>
      </c>
      <c r="I54" t="s">
        <v>3014</v>
      </c>
      <c r="J54" t="s">
        <v>3014</v>
      </c>
      <c r="K54" t="s">
        <v>3014</v>
      </c>
      <c r="L54" t="s">
        <v>3014</v>
      </c>
      <c r="M54" t="s">
        <v>3171</v>
      </c>
      <c r="N54" t="s">
        <v>3171</v>
      </c>
      <c r="O54" t="s">
        <v>8357</v>
      </c>
      <c r="P54" t="s">
        <v>8060</v>
      </c>
      <c r="Q54" t="s">
        <v>6486</v>
      </c>
      <c r="R54">
        <v>1</v>
      </c>
      <c r="S54">
        <v>1</v>
      </c>
      <c r="T54">
        <v>1146</v>
      </c>
    </row>
    <row r="55" spans="1:20">
      <c r="A55">
        <v>54</v>
      </c>
      <c r="B55" t="s">
        <v>3172</v>
      </c>
      <c r="C55">
        <v>1118</v>
      </c>
      <c r="D55" t="s">
        <v>3173</v>
      </c>
      <c r="E55" t="s">
        <v>3010</v>
      </c>
      <c r="F55" t="s">
        <v>3035</v>
      </c>
      <c r="G55" t="s">
        <v>3036</v>
      </c>
      <c r="H55" t="s">
        <v>3013</v>
      </c>
      <c r="I55" t="s">
        <v>3014</v>
      </c>
      <c r="J55" t="s">
        <v>3014</v>
      </c>
      <c r="K55" t="s">
        <v>3014</v>
      </c>
      <c r="L55" t="s">
        <v>3013</v>
      </c>
      <c r="M55" t="s">
        <v>3174</v>
      </c>
      <c r="N55" t="s">
        <v>1285</v>
      </c>
      <c r="O55" t="s">
        <v>8566</v>
      </c>
      <c r="P55" t="s">
        <v>8271</v>
      </c>
      <c r="Q55" t="s">
        <v>6657</v>
      </c>
      <c r="T55">
        <v>466</v>
      </c>
    </row>
    <row r="56" spans="1:20">
      <c r="A56">
        <v>55</v>
      </c>
      <c r="B56" t="s">
        <v>3175</v>
      </c>
      <c r="C56">
        <v>1119</v>
      </c>
      <c r="D56" t="s">
        <v>3176</v>
      </c>
      <c r="E56" t="s">
        <v>3049</v>
      </c>
      <c r="F56" t="s">
        <v>3035</v>
      </c>
      <c r="G56" t="s">
        <v>3036</v>
      </c>
      <c r="H56" t="s">
        <v>3014</v>
      </c>
      <c r="I56" t="s">
        <v>3014</v>
      </c>
      <c r="J56" t="s">
        <v>3014</v>
      </c>
      <c r="K56" t="s">
        <v>3014</v>
      </c>
      <c r="L56" t="s">
        <v>3013</v>
      </c>
      <c r="M56" t="s">
        <v>3177</v>
      </c>
      <c r="N56" t="s">
        <v>872</v>
      </c>
      <c r="O56" t="s">
        <v>8064</v>
      </c>
      <c r="P56" t="s">
        <v>8064</v>
      </c>
      <c r="Q56">
        <v>0</v>
      </c>
      <c r="S56">
        <v>1</v>
      </c>
      <c r="T56">
        <v>300</v>
      </c>
    </row>
    <row r="57" spans="1:20">
      <c r="A57">
        <v>61</v>
      </c>
      <c r="B57" t="s">
        <v>3193</v>
      </c>
      <c r="C57">
        <v>1120</v>
      </c>
      <c r="D57" t="s">
        <v>3194</v>
      </c>
      <c r="E57" t="s">
        <v>3049</v>
      </c>
      <c r="F57" t="s">
        <v>3035</v>
      </c>
      <c r="G57" t="s">
        <v>3036</v>
      </c>
      <c r="H57" t="s">
        <v>3014</v>
      </c>
      <c r="I57" t="s">
        <v>3014</v>
      </c>
      <c r="J57" t="s">
        <v>3014</v>
      </c>
      <c r="K57" t="s">
        <v>3014</v>
      </c>
      <c r="L57" t="s">
        <v>3014</v>
      </c>
      <c r="M57" t="s">
        <v>3195</v>
      </c>
      <c r="N57" t="s">
        <v>566</v>
      </c>
      <c r="O57" t="s">
        <v>8447</v>
      </c>
      <c r="P57" t="s">
        <v>8151</v>
      </c>
      <c r="Q57" t="s">
        <v>6746</v>
      </c>
      <c r="R57">
        <v>1</v>
      </c>
      <c r="S57">
        <v>1</v>
      </c>
      <c r="T57">
        <v>237</v>
      </c>
    </row>
    <row r="58" spans="1:20">
      <c r="A58">
        <v>57</v>
      </c>
      <c r="B58" t="s">
        <v>3181</v>
      </c>
      <c r="C58">
        <v>1120</v>
      </c>
      <c r="D58" t="s">
        <v>3179</v>
      </c>
      <c r="E58" t="s">
        <v>3049</v>
      </c>
      <c r="F58" t="s">
        <v>3035</v>
      </c>
      <c r="G58" t="s">
        <v>3036</v>
      </c>
      <c r="H58" t="s">
        <v>3014</v>
      </c>
      <c r="I58" t="s">
        <v>3014</v>
      </c>
      <c r="J58" t="s">
        <v>3014</v>
      </c>
      <c r="K58" t="s">
        <v>3013</v>
      </c>
      <c r="L58" t="s">
        <v>3014</v>
      </c>
      <c r="M58" t="s">
        <v>3182</v>
      </c>
      <c r="N58" t="s">
        <v>570</v>
      </c>
      <c r="O58" t="s">
        <v>8416</v>
      </c>
      <c r="P58" t="s">
        <v>8120</v>
      </c>
      <c r="Q58" t="s">
        <v>6312</v>
      </c>
      <c r="R58">
        <v>1</v>
      </c>
      <c r="S58">
        <v>1</v>
      </c>
      <c r="T58">
        <v>162</v>
      </c>
    </row>
    <row r="59" spans="1:20">
      <c r="A59">
        <v>59</v>
      </c>
      <c r="B59" t="s">
        <v>3187</v>
      </c>
      <c r="C59">
        <v>1120</v>
      </c>
      <c r="D59" t="s">
        <v>3188</v>
      </c>
      <c r="E59" t="s">
        <v>3010</v>
      </c>
      <c r="F59" t="s">
        <v>3035</v>
      </c>
      <c r="G59" t="s">
        <v>3024</v>
      </c>
      <c r="H59" t="s">
        <v>3014</v>
      </c>
      <c r="I59" t="s">
        <v>3014</v>
      </c>
      <c r="J59" t="s">
        <v>3014</v>
      </c>
      <c r="K59" t="s">
        <v>3014</v>
      </c>
      <c r="L59" t="s">
        <v>3014</v>
      </c>
      <c r="M59" t="s">
        <v>3189</v>
      </c>
      <c r="N59" t="s">
        <v>878</v>
      </c>
      <c r="O59" t="s">
        <v>8064</v>
      </c>
      <c r="P59" t="s">
        <v>8064</v>
      </c>
      <c r="Q59">
        <v>0</v>
      </c>
      <c r="T59">
        <v>270</v>
      </c>
    </row>
    <row r="60" spans="1:20">
      <c r="A60" t="s">
        <v>3183</v>
      </c>
      <c r="B60" t="s">
        <v>3184</v>
      </c>
      <c r="C60">
        <v>1120</v>
      </c>
      <c r="D60" t="s">
        <v>3185</v>
      </c>
      <c r="E60" t="s">
        <v>3010</v>
      </c>
      <c r="M60" t="s">
        <v>3186</v>
      </c>
      <c r="N60" t="s">
        <v>3186</v>
      </c>
      <c r="O60" t="s">
        <v>8064</v>
      </c>
      <c r="P60" t="s">
        <v>8064</v>
      </c>
      <c r="Q60" t="e">
        <v>#N/A</v>
      </c>
      <c r="T60" t="e">
        <v>#N/A</v>
      </c>
    </row>
    <row r="61" spans="1:20">
      <c r="A61" t="s">
        <v>3190</v>
      </c>
      <c r="B61" t="s">
        <v>3191</v>
      </c>
      <c r="C61">
        <v>1120</v>
      </c>
      <c r="D61" t="s">
        <v>3185</v>
      </c>
      <c r="E61" t="s">
        <v>3010</v>
      </c>
      <c r="M61" t="s">
        <v>3192</v>
      </c>
      <c r="N61" t="s">
        <v>3192</v>
      </c>
      <c r="O61" t="s">
        <v>8064</v>
      </c>
      <c r="P61" t="s">
        <v>8064</v>
      </c>
      <c r="Q61" t="e">
        <v>#N/A</v>
      </c>
      <c r="T61" t="e">
        <v>#N/A</v>
      </c>
    </row>
    <row r="62" spans="1:20">
      <c r="A62">
        <v>56</v>
      </c>
      <c r="B62" t="s">
        <v>3178</v>
      </c>
      <c r="C62">
        <v>1120</v>
      </c>
      <c r="D62" t="s">
        <v>3179</v>
      </c>
      <c r="E62" t="s">
        <v>3010</v>
      </c>
      <c r="F62" t="s">
        <v>3011</v>
      </c>
      <c r="G62" t="s">
        <v>3012</v>
      </c>
      <c r="H62" t="s">
        <v>3014</v>
      </c>
      <c r="I62" t="s">
        <v>3014</v>
      </c>
      <c r="J62" t="s">
        <v>3014</v>
      </c>
      <c r="K62" t="s">
        <v>3014</v>
      </c>
      <c r="L62" t="s">
        <v>3013</v>
      </c>
      <c r="M62" t="s">
        <v>3180</v>
      </c>
      <c r="N62" t="s">
        <v>4926</v>
      </c>
      <c r="O62" t="s">
        <v>8489</v>
      </c>
      <c r="P62" t="s">
        <v>8195</v>
      </c>
      <c r="Q62" t="s">
        <v>4402</v>
      </c>
      <c r="T62">
        <v>921</v>
      </c>
    </row>
    <row r="63" spans="1:20">
      <c r="A63">
        <v>63</v>
      </c>
      <c r="B63" t="s">
        <v>3199</v>
      </c>
      <c r="C63">
        <v>1121</v>
      </c>
      <c r="D63" t="s">
        <v>3200</v>
      </c>
      <c r="E63" t="s">
        <v>3049</v>
      </c>
      <c r="F63" t="s">
        <v>3035</v>
      </c>
      <c r="G63" t="s">
        <v>3036</v>
      </c>
      <c r="H63" t="s">
        <v>3014</v>
      </c>
      <c r="I63" t="s">
        <v>3014</v>
      </c>
      <c r="J63" t="s">
        <v>3014</v>
      </c>
      <c r="K63" t="s">
        <v>3014</v>
      </c>
      <c r="L63" t="s">
        <v>3014</v>
      </c>
      <c r="M63" t="s">
        <v>3201</v>
      </c>
      <c r="N63" t="s">
        <v>875</v>
      </c>
      <c r="O63" t="s">
        <v>8360</v>
      </c>
      <c r="P63" t="s">
        <v>8063</v>
      </c>
      <c r="Q63" t="s">
        <v>6348</v>
      </c>
      <c r="R63">
        <v>1</v>
      </c>
      <c r="S63">
        <v>1</v>
      </c>
      <c r="T63">
        <v>269</v>
      </c>
    </row>
    <row r="64" spans="1:20">
      <c r="A64">
        <v>64</v>
      </c>
      <c r="B64" t="s">
        <v>3202</v>
      </c>
      <c r="C64">
        <v>1121</v>
      </c>
      <c r="D64" t="s">
        <v>3203</v>
      </c>
      <c r="E64" t="s">
        <v>3049</v>
      </c>
      <c r="F64" t="s">
        <v>3035</v>
      </c>
      <c r="G64" t="s">
        <v>3036</v>
      </c>
      <c r="H64" t="s">
        <v>3014</v>
      </c>
      <c r="I64" t="s">
        <v>3014</v>
      </c>
      <c r="J64" t="s">
        <v>3014</v>
      </c>
      <c r="K64" t="s">
        <v>3014</v>
      </c>
      <c r="L64" t="s">
        <v>3013</v>
      </c>
      <c r="M64" t="s">
        <v>3204</v>
      </c>
      <c r="N64" t="s">
        <v>287</v>
      </c>
      <c r="O64" t="s">
        <v>8445</v>
      </c>
      <c r="P64" t="s">
        <v>8149</v>
      </c>
      <c r="Q64" t="s">
        <v>6366</v>
      </c>
      <c r="R64">
        <v>1</v>
      </c>
      <c r="S64">
        <v>1</v>
      </c>
      <c r="T64">
        <v>1259</v>
      </c>
    </row>
    <row r="65" spans="1:20">
      <c r="A65" t="s">
        <v>3196</v>
      </c>
      <c r="B65" t="s">
        <v>3197</v>
      </c>
      <c r="C65">
        <v>1121</v>
      </c>
      <c r="D65">
        <v>1121</v>
      </c>
      <c r="E65" t="s">
        <v>3049</v>
      </c>
      <c r="M65" t="s">
        <v>3198</v>
      </c>
      <c r="N65" t="s">
        <v>290</v>
      </c>
      <c r="O65" t="s">
        <v>8420</v>
      </c>
      <c r="P65" t="s">
        <v>8124</v>
      </c>
      <c r="Q65" t="s">
        <v>6684</v>
      </c>
      <c r="R65">
        <v>1</v>
      </c>
      <c r="S65">
        <v>1</v>
      </c>
      <c r="T65">
        <v>1230</v>
      </c>
    </row>
    <row r="66" spans="1:20">
      <c r="A66">
        <v>65</v>
      </c>
      <c r="B66" t="s">
        <v>3205</v>
      </c>
      <c r="C66">
        <v>1122</v>
      </c>
      <c r="D66" t="s">
        <v>3206</v>
      </c>
      <c r="E66" t="s">
        <v>3010</v>
      </c>
      <c r="F66" t="s">
        <v>3035</v>
      </c>
      <c r="G66" t="s">
        <v>3036</v>
      </c>
      <c r="H66" t="s">
        <v>3014</v>
      </c>
      <c r="I66" t="s">
        <v>3014</v>
      </c>
      <c r="J66" t="s">
        <v>3014</v>
      </c>
      <c r="K66" t="s">
        <v>3014</v>
      </c>
      <c r="L66" t="s">
        <v>3013</v>
      </c>
      <c r="M66" t="s">
        <v>3207</v>
      </c>
      <c r="N66" t="s">
        <v>1287</v>
      </c>
      <c r="O66" t="s">
        <v>8566</v>
      </c>
      <c r="P66" t="s">
        <v>8271</v>
      </c>
      <c r="Q66" t="s">
        <v>6657</v>
      </c>
      <c r="T66">
        <v>469</v>
      </c>
    </row>
    <row r="67" spans="1:20">
      <c r="A67">
        <v>66</v>
      </c>
      <c r="B67" t="s">
        <v>3208</v>
      </c>
      <c r="C67">
        <v>1122</v>
      </c>
      <c r="D67" t="s">
        <v>3206</v>
      </c>
      <c r="E67" t="s">
        <v>3010</v>
      </c>
      <c r="F67" t="s">
        <v>3035</v>
      </c>
      <c r="G67" t="s">
        <v>3036</v>
      </c>
      <c r="H67" t="s">
        <v>3014</v>
      </c>
      <c r="I67" t="s">
        <v>3014</v>
      </c>
      <c r="J67" t="s">
        <v>3014</v>
      </c>
      <c r="K67" t="s">
        <v>3014</v>
      </c>
      <c r="L67" t="s">
        <v>3014</v>
      </c>
      <c r="M67" t="s">
        <v>3207</v>
      </c>
      <c r="N67" t="s">
        <v>1287</v>
      </c>
      <c r="O67" t="s">
        <v>8566</v>
      </c>
      <c r="P67" t="s">
        <v>8271</v>
      </c>
      <c r="Q67" t="s">
        <v>6657</v>
      </c>
      <c r="T67">
        <v>469</v>
      </c>
    </row>
    <row r="68" spans="1:20">
      <c r="A68">
        <v>67</v>
      </c>
      <c r="B68" t="s">
        <v>3209</v>
      </c>
      <c r="C68">
        <v>1123</v>
      </c>
      <c r="D68" t="s">
        <v>3210</v>
      </c>
      <c r="E68" t="s">
        <v>3010</v>
      </c>
      <c r="F68" t="s">
        <v>3035</v>
      </c>
      <c r="G68" t="s">
        <v>3036</v>
      </c>
      <c r="H68" t="s">
        <v>3014</v>
      </c>
      <c r="I68" t="s">
        <v>3014</v>
      </c>
      <c r="J68" t="s">
        <v>3014</v>
      </c>
      <c r="K68" t="s">
        <v>3014</v>
      </c>
      <c r="L68" t="s">
        <v>3014</v>
      </c>
      <c r="M68" t="s">
        <v>3168</v>
      </c>
      <c r="N68" t="s">
        <v>1524</v>
      </c>
      <c r="O68" t="s">
        <v>8427</v>
      </c>
      <c r="P68" t="s">
        <v>8131</v>
      </c>
      <c r="Q68" t="s">
        <v>4455</v>
      </c>
      <c r="T68">
        <v>699</v>
      </c>
    </row>
    <row r="69" spans="1:20">
      <c r="A69">
        <v>69</v>
      </c>
      <c r="B69" t="s">
        <v>3213</v>
      </c>
      <c r="C69">
        <v>1125</v>
      </c>
      <c r="D69">
        <v>1125</v>
      </c>
      <c r="E69" t="s">
        <v>3023</v>
      </c>
      <c r="F69" t="s">
        <v>3035</v>
      </c>
      <c r="G69" t="s">
        <v>3024</v>
      </c>
      <c r="H69" t="s">
        <v>3014</v>
      </c>
      <c r="I69" t="s">
        <v>3014</v>
      </c>
      <c r="J69" t="s">
        <v>3014</v>
      </c>
      <c r="K69" t="s">
        <v>3014</v>
      </c>
      <c r="L69" t="s">
        <v>3014</v>
      </c>
      <c r="M69" t="s">
        <v>3214</v>
      </c>
      <c r="N69" t="s">
        <v>3214</v>
      </c>
      <c r="O69" t="s">
        <v>8627</v>
      </c>
      <c r="P69" t="s">
        <v>8094</v>
      </c>
      <c r="Q69" t="s">
        <v>5065</v>
      </c>
      <c r="T69">
        <v>1162</v>
      </c>
    </row>
    <row r="70" spans="1:20">
      <c r="A70">
        <v>75</v>
      </c>
      <c r="B70" t="s">
        <v>3226</v>
      </c>
      <c r="C70">
        <v>1125</v>
      </c>
      <c r="D70" t="s">
        <v>3227</v>
      </c>
      <c r="E70" t="s">
        <v>3049</v>
      </c>
      <c r="F70" t="s">
        <v>3035</v>
      </c>
      <c r="G70" t="s">
        <v>3036</v>
      </c>
      <c r="H70" t="s">
        <v>3014</v>
      </c>
      <c r="I70" t="s">
        <v>3014</v>
      </c>
      <c r="J70" t="s">
        <v>3014</v>
      </c>
      <c r="K70" t="s">
        <v>3014</v>
      </c>
      <c r="L70" t="s">
        <v>3014</v>
      </c>
      <c r="M70" t="s">
        <v>3228</v>
      </c>
      <c r="N70" t="s">
        <v>881</v>
      </c>
      <c r="O70" t="s">
        <v>8419</v>
      </c>
      <c r="P70" t="s">
        <v>8123</v>
      </c>
      <c r="Q70" t="s">
        <v>6391</v>
      </c>
      <c r="R70">
        <v>1</v>
      </c>
      <c r="S70">
        <v>1</v>
      </c>
      <c r="T70">
        <v>272</v>
      </c>
    </row>
    <row r="71" spans="1:20">
      <c r="A71">
        <v>68</v>
      </c>
      <c r="B71" t="s">
        <v>3211</v>
      </c>
      <c r="C71">
        <v>1125</v>
      </c>
      <c r="D71">
        <v>1125</v>
      </c>
      <c r="E71" t="s">
        <v>3049</v>
      </c>
      <c r="F71" t="s">
        <v>3035</v>
      </c>
      <c r="G71" t="s">
        <v>3036</v>
      </c>
      <c r="H71" t="s">
        <v>3014</v>
      </c>
      <c r="I71" t="s">
        <v>3014</v>
      </c>
      <c r="J71" t="s">
        <v>3014</v>
      </c>
      <c r="K71" t="s">
        <v>3014</v>
      </c>
      <c r="L71" t="s">
        <v>3014</v>
      </c>
      <c r="M71" t="s">
        <v>3212</v>
      </c>
      <c r="N71" t="s">
        <v>294</v>
      </c>
      <c r="O71" t="s">
        <v>8362</v>
      </c>
      <c r="P71" t="s">
        <v>8066</v>
      </c>
      <c r="Q71" t="s">
        <v>6450</v>
      </c>
      <c r="R71">
        <v>1</v>
      </c>
      <c r="S71">
        <v>1</v>
      </c>
      <c r="T71">
        <v>1266</v>
      </c>
    </row>
    <row r="72" spans="1:20">
      <c r="A72">
        <v>72</v>
      </c>
      <c r="B72" t="s">
        <v>3220</v>
      </c>
      <c r="C72">
        <v>1125</v>
      </c>
      <c r="D72" t="s">
        <v>3218</v>
      </c>
      <c r="E72" t="s">
        <v>3049</v>
      </c>
      <c r="F72" t="s">
        <v>3024</v>
      </c>
      <c r="G72" t="s">
        <v>3036</v>
      </c>
      <c r="H72" t="s">
        <v>3014</v>
      </c>
      <c r="I72" t="s">
        <v>3014</v>
      </c>
      <c r="J72" t="s">
        <v>3014</v>
      </c>
      <c r="K72" t="s">
        <v>3014</v>
      </c>
      <c r="L72" t="s">
        <v>3014</v>
      </c>
      <c r="M72" t="s">
        <v>3221</v>
      </c>
      <c r="N72" t="s">
        <v>8755</v>
      </c>
      <c r="O72" t="s">
        <v>8064</v>
      </c>
      <c r="P72" t="s">
        <v>8064</v>
      </c>
      <c r="Q72" t="e">
        <v>#N/A</v>
      </c>
      <c r="S72">
        <v>1</v>
      </c>
    </row>
    <row r="73" spans="1:20">
      <c r="A73">
        <v>73</v>
      </c>
      <c r="B73" t="s">
        <v>3222</v>
      </c>
      <c r="C73">
        <v>1125</v>
      </c>
      <c r="D73" t="s">
        <v>3223</v>
      </c>
      <c r="E73" t="s">
        <v>3010</v>
      </c>
      <c r="F73" t="s">
        <v>3035</v>
      </c>
      <c r="G73" t="s">
        <v>3024</v>
      </c>
      <c r="H73" t="s">
        <v>3014</v>
      </c>
      <c r="I73" t="s">
        <v>3014</v>
      </c>
      <c r="J73" t="s">
        <v>3014</v>
      </c>
      <c r="K73" t="s">
        <v>3014</v>
      </c>
      <c r="L73" t="s">
        <v>3014</v>
      </c>
      <c r="M73" t="s">
        <v>3224</v>
      </c>
      <c r="N73" t="s">
        <v>1985</v>
      </c>
      <c r="O73" t="s">
        <v>8363</v>
      </c>
      <c r="P73" t="s">
        <v>8067</v>
      </c>
      <c r="Q73" t="s">
        <v>4447</v>
      </c>
      <c r="T73">
        <v>959</v>
      </c>
    </row>
    <row r="74" spans="1:20">
      <c r="A74">
        <v>74</v>
      </c>
      <c r="B74" t="s">
        <v>3225</v>
      </c>
      <c r="C74">
        <v>1125</v>
      </c>
      <c r="D74" t="s">
        <v>3223</v>
      </c>
      <c r="E74" t="s">
        <v>3010</v>
      </c>
      <c r="F74" t="s">
        <v>3024</v>
      </c>
      <c r="G74" t="s">
        <v>3036</v>
      </c>
      <c r="H74" t="s">
        <v>3014</v>
      </c>
      <c r="I74" t="s">
        <v>3014</v>
      </c>
      <c r="J74" t="s">
        <v>3014</v>
      </c>
      <c r="K74" t="s">
        <v>3014</v>
      </c>
      <c r="L74" t="s">
        <v>3014</v>
      </c>
      <c r="M74" t="s">
        <v>3130</v>
      </c>
      <c r="N74" t="s">
        <v>1986</v>
      </c>
      <c r="O74" t="s">
        <v>8363</v>
      </c>
      <c r="P74" t="s">
        <v>8067</v>
      </c>
      <c r="Q74" t="s">
        <v>4447</v>
      </c>
      <c r="T74">
        <v>960</v>
      </c>
    </row>
    <row r="75" spans="1:20">
      <c r="A75">
        <v>71</v>
      </c>
      <c r="B75" t="s">
        <v>3217</v>
      </c>
      <c r="C75">
        <v>1125</v>
      </c>
      <c r="D75" t="s">
        <v>3218</v>
      </c>
      <c r="E75" t="s">
        <v>3010</v>
      </c>
      <c r="F75" t="s">
        <v>3035</v>
      </c>
      <c r="G75" t="s">
        <v>3036</v>
      </c>
      <c r="H75" t="s">
        <v>3014</v>
      </c>
      <c r="I75" t="s">
        <v>3014</v>
      </c>
      <c r="J75" t="s">
        <v>3014</v>
      </c>
      <c r="K75" t="s">
        <v>3014</v>
      </c>
      <c r="L75" t="s">
        <v>3013</v>
      </c>
      <c r="M75" t="s">
        <v>3219</v>
      </c>
      <c r="N75" t="s">
        <v>1851</v>
      </c>
      <c r="O75" t="s">
        <v>8480</v>
      </c>
      <c r="P75" t="s">
        <v>8185</v>
      </c>
      <c r="Q75" t="s">
        <v>4457</v>
      </c>
      <c r="T75">
        <v>853</v>
      </c>
    </row>
    <row r="76" spans="1:20">
      <c r="A76">
        <v>76</v>
      </c>
      <c r="B76" t="s">
        <v>3229</v>
      </c>
      <c r="C76">
        <v>1125</v>
      </c>
      <c r="D76" t="s">
        <v>3230</v>
      </c>
      <c r="E76" t="s">
        <v>3231</v>
      </c>
      <c r="F76" t="s">
        <v>3024</v>
      </c>
      <c r="G76" t="s">
        <v>3036</v>
      </c>
      <c r="H76" t="s">
        <v>3014</v>
      </c>
      <c r="I76" t="s">
        <v>3014</v>
      </c>
      <c r="J76" t="s">
        <v>3014</v>
      </c>
      <c r="K76" t="s">
        <v>3014</v>
      </c>
      <c r="L76" t="s">
        <v>3014</v>
      </c>
      <c r="M76" t="s">
        <v>3232</v>
      </c>
      <c r="N76" t="s">
        <v>8771</v>
      </c>
      <c r="O76" t="s">
        <v>8064</v>
      </c>
      <c r="P76" t="s">
        <v>8064</v>
      </c>
      <c r="Q76" t="e">
        <v>#N/A</v>
      </c>
      <c r="T76" t="e">
        <v>#N/A</v>
      </c>
    </row>
    <row r="77" spans="1:20">
      <c r="A77">
        <v>70</v>
      </c>
      <c r="B77" t="s">
        <v>3215</v>
      </c>
      <c r="C77">
        <v>1125</v>
      </c>
      <c r="D77">
        <v>1125</v>
      </c>
      <c r="E77" t="s">
        <v>3092</v>
      </c>
      <c r="F77" t="s">
        <v>3024</v>
      </c>
      <c r="G77" t="s">
        <v>3024</v>
      </c>
      <c r="H77" t="s">
        <v>3014</v>
      </c>
      <c r="I77" t="s">
        <v>3014</v>
      </c>
      <c r="J77" t="s">
        <v>3013</v>
      </c>
      <c r="K77" t="s">
        <v>3014</v>
      </c>
      <c r="L77" t="s">
        <v>3014</v>
      </c>
      <c r="M77" t="s">
        <v>3216</v>
      </c>
      <c r="N77" t="s">
        <v>2996</v>
      </c>
      <c r="O77" t="s">
        <v>8064</v>
      </c>
      <c r="P77" t="s">
        <v>8064</v>
      </c>
      <c r="Q77" t="e">
        <v>#N/A</v>
      </c>
      <c r="T77" t="e">
        <v>#N/A</v>
      </c>
    </row>
    <row r="78" spans="1:20">
      <c r="A78">
        <v>77</v>
      </c>
      <c r="B78" t="s">
        <v>3233</v>
      </c>
      <c r="C78">
        <v>1126</v>
      </c>
      <c r="D78" t="s">
        <v>3234</v>
      </c>
      <c r="E78" t="s">
        <v>3049</v>
      </c>
      <c r="F78" t="s">
        <v>3035</v>
      </c>
      <c r="G78" t="s">
        <v>3036</v>
      </c>
      <c r="H78" t="s">
        <v>3014</v>
      </c>
      <c r="I78" t="s">
        <v>3014</v>
      </c>
      <c r="J78" t="s">
        <v>3014</v>
      </c>
      <c r="K78" t="s">
        <v>3014</v>
      </c>
      <c r="L78" t="s">
        <v>3014</v>
      </c>
      <c r="M78" t="s">
        <v>3235</v>
      </c>
      <c r="N78" t="s">
        <v>888</v>
      </c>
      <c r="O78" t="s">
        <v>8360</v>
      </c>
      <c r="P78" t="s">
        <v>8063</v>
      </c>
      <c r="Q78" t="s">
        <v>6348</v>
      </c>
      <c r="R78">
        <v>1</v>
      </c>
      <c r="S78">
        <v>1</v>
      </c>
      <c r="T78">
        <v>277</v>
      </c>
    </row>
    <row r="79" spans="1:20">
      <c r="A79">
        <v>78</v>
      </c>
      <c r="B79" t="s">
        <v>3236</v>
      </c>
      <c r="C79">
        <v>1127</v>
      </c>
      <c r="D79" t="s">
        <v>3237</v>
      </c>
      <c r="E79" t="s">
        <v>3023</v>
      </c>
      <c r="F79" t="s">
        <v>3035</v>
      </c>
      <c r="G79" t="s">
        <v>3036</v>
      </c>
      <c r="H79" t="s">
        <v>3340</v>
      </c>
      <c r="I79" t="s">
        <v>3340</v>
      </c>
      <c r="J79" t="s">
        <v>3014</v>
      </c>
      <c r="K79" t="s">
        <v>3014</v>
      </c>
      <c r="L79" t="s">
        <v>3315</v>
      </c>
      <c r="M79" t="s">
        <v>3238</v>
      </c>
      <c r="N79" t="s">
        <v>1289</v>
      </c>
      <c r="O79" t="s">
        <v>8563</v>
      </c>
      <c r="P79" t="s">
        <v>8268</v>
      </c>
      <c r="Q79" t="s">
        <v>4441</v>
      </c>
      <c r="T79">
        <v>481</v>
      </c>
    </row>
    <row r="80" spans="1:20">
      <c r="A80">
        <v>79</v>
      </c>
      <c r="B80" t="s">
        <v>3239</v>
      </c>
      <c r="C80">
        <v>1128</v>
      </c>
      <c r="D80" t="s">
        <v>3240</v>
      </c>
      <c r="E80" t="s">
        <v>3049</v>
      </c>
      <c r="F80" t="s">
        <v>3035</v>
      </c>
      <c r="G80" t="s">
        <v>3024</v>
      </c>
      <c r="H80" t="s">
        <v>3013</v>
      </c>
      <c r="I80" t="s">
        <v>3014</v>
      </c>
      <c r="J80" t="s">
        <v>3014</v>
      </c>
      <c r="K80" t="s">
        <v>3014</v>
      </c>
      <c r="L80" t="s">
        <v>3014</v>
      </c>
      <c r="M80" t="s">
        <v>3241</v>
      </c>
      <c r="N80" t="s">
        <v>576</v>
      </c>
      <c r="O80" t="s">
        <v>8420</v>
      </c>
      <c r="P80" t="s">
        <v>8124</v>
      </c>
      <c r="Q80" t="s">
        <v>6684</v>
      </c>
      <c r="R80">
        <v>1</v>
      </c>
      <c r="S80">
        <v>1</v>
      </c>
      <c r="T80">
        <v>173</v>
      </c>
    </row>
    <row r="81" spans="1:20">
      <c r="A81">
        <v>80</v>
      </c>
      <c r="B81" t="s">
        <v>3242</v>
      </c>
      <c r="C81">
        <v>1128</v>
      </c>
      <c r="D81" t="s">
        <v>3243</v>
      </c>
      <c r="E81" t="s">
        <v>3049</v>
      </c>
      <c r="F81" t="s">
        <v>3035</v>
      </c>
      <c r="G81" t="s">
        <v>3036</v>
      </c>
      <c r="H81" t="s">
        <v>3014</v>
      </c>
      <c r="I81" t="s">
        <v>3014</v>
      </c>
      <c r="J81" t="s">
        <v>3014</v>
      </c>
      <c r="K81" t="s">
        <v>3014</v>
      </c>
      <c r="L81" t="s">
        <v>3013</v>
      </c>
      <c r="M81" t="s">
        <v>3244</v>
      </c>
      <c r="N81" t="s">
        <v>293</v>
      </c>
      <c r="O81" t="s">
        <v>8064</v>
      </c>
      <c r="P81" t="s">
        <v>8064</v>
      </c>
      <c r="Q81">
        <v>0</v>
      </c>
      <c r="S81">
        <v>1</v>
      </c>
      <c r="T81">
        <v>1275</v>
      </c>
    </row>
    <row r="82" spans="1:20">
      <c r="A82">
        <v>84</v>
      </c>
      <c r="B82" t="s">
        <v>3252</v>
      </c>
      <c r="C82">
        <v>1129</v>
      </c>
      <c r="D82" t="s">
        <v>3253</v>
      </c>
      <c r="E82" t="s">
        <v>3049</v>
      </c>
      <c r="F82" t="s">
        <v>3024</v>
      </c>
      <c r="G82" t="s">
        <v>3111</v>
      </c>
      <c r="H82" t="s">
        <v>3014</v>
      </c>
      <c r="I82" t="s">
        <v>3014</v>
      </c>
      <c r="J82" t="s">
        <v>3014</v>
      </c>
      <c r="K82" t="s">
        <v>3014</v>
      </c>
      <c r="L82" t="s">
        <v>3014</v>
      </c>
      <c r="M82" t="s">
        <v>3254</v>
      </c>
      <c r="N82" t="s">
        <v>914</v>
      </c>
      <c r="O82" t="s">
        <v>8414</v>
      </c>
      <c r="P82" t="s">
        <v>8118</v>
      </c>
      <c r="Q82" t="s">
        <v>6339</v>
      </c>
      <c r="R82">
        <v>1</v>
      </c>
      <c r="S82">
        <v>1</v>
      </c>
      <c r="T82">
        <v>249</v>
      </c>
    </row>
    <row r="83" spans="1:20">
      <c r="A83">
        <v>82</v>
      </c>
      <c r="B83" t="s">
        <v>3247</v>
      </c>
      <c r="C83">
        <v>1129</v>
      </c>
      <c r="D83">
        <v>1129</v>
      </c>
      <c r="E83" t="s">
        <v>3049</v>
      </c>
      <c r="F83" t="s">
        <v>3035</v>
      </c>
      <c r="G83" t="s">
        <v>3036</v>
      </c>
      <c r="H83" t="s">
        <v>3014</v>
      </c>
      <c r="I83" t="s">
        <v>3014</v>
      </c>
      <c r="J83" t="s">
        <v>3014</v>
      </c>
      <c r="K83" t="s">
        <v>3014</v>
      </c>
      <c r="L83" t="s">
        <v>3014</v>
      </c>
      <c r="M83" t="s">
        <v>3248</v>
      </c>
      <c r="N83" t="s">
        <v>383</v>
      </c>
      <c r="O83" t="s">
        <v>8362</v>
      </c>
      <c r="P83" t="s">
        <v>8066</v>
      </c>
      <c r="Q83" t="s">
        <v>6450</v>
      </c>
      <c r="R83">
        <v>1</v>
      </c>
      <c r="S83">
        <v>1</v>
      </c>
      <c r="T83">
        <v>1247</v>
      </c>
    </row>
    <row r="84" spans="1:20">
      <c r="A84">
        <v>81</v>
      </c>
      <c r="B84" t="s">
        <v>3245</v>
      </c>
      <c r="C84">
        <v>1129</v>
      </c>
      <c r="D84">
        <v>1129</v>
      </c>
      <c r="E84" t="s">
        <v>3010</v>
      </c>
      <c r="F84" t="s">
        <v>3035</v>
      </c>
      <c r="G84" t="s">
        <v>3024</v>
      </c>
      <c r="H84" t="s">
        <v>3014</v>
      </c>
      <c r="I84" t="s">
        <v>3014</v>
      </c>
      <c r="J84" t="s">
        <v>3014</v>
      </c>
      <c r="K84" t="s">
        <v>3014</v>
      </c>
      <c r="L84" t="s">
        <v>3014</v>
      </c>
      <c r="M84" t="s">
        <v>3246</v>
      </c>
      <c r="N84" t="s">
        <v>579</v>
      </c>
      <c r="O84" t="s">
        <v>8387</v>
      </c>
      <c r="P84" t="s">
        <v>8091</v>
      </c>
      <c r="Q84" t="s">
        <v>6862</v>
      </c>
      <c r="T84">
        <v>100</v>
      </c>
    </row>
    <row r="85" spans="1:20">
      <c r="A85">
        <v>83</v>
      </c>
      <c r="B85" t="s">
        <v>3249</v>
      </c>
      <c r="C85">
        <v>1129</v>
      </c>
      <c r="D85" t="s">
        <v>3250</v>
      </c>
      <c r="E85" t="s">
        <v>3010</v>
      </c>
      <c r="F85" t="s">
        <v>3035</v>
      </c>
      <c r="G85" t="s">
        <v>3024</v>
      </c>
      <c r="H85" t="s">
        <v>3014</v>
      </c>
      <c r="I85" t="s">
        <v>3014</v>
      </c>
      <c r="J85" t="s">
        <v>3014</v>
      </c>
      <c r="K85" t="s">
        <v>3013</v>
      </c>
      <c r="L85" t="s">
        <v>3014</v>
      </c>
      <c r="M85" t="s">
        <v>3251</v>
      </c>
      <c r="N85" t="s">
        <v>1525</v>
      </c>
      <c r="O85" t="s">
        <v>8597</v>
      </c>
      <c r="P85" t="s">
        <v>8303</v>
      </c>
      <c r="Q85" t="s">
        <v>4458</v>
      </c>
      <c r="T85">
        <v>698</v>
      </c>
    </row>
    <row r="86" spans="1:20">
      <c r="A86">
        <v>87</v>
      </c>
      <c r="B86" t="s">
        <v>3260</v>
      </c>
      <c r="C86">
        <v>1130</v>
      </c>
      <c r="D86" t="s">
        <v>3261</v>
      </c>
      <c r="E86" t="s">
        <v>3049</v>
      </c>
      <c r="F86" t="s">
        <v>3024</v>
      </c>
      <c r="G86" t="s">
        <v>3036</v>
      </c>
      <c r="H86" t="s">
        <v>3014</v>
      </c>
      <c r="I86" t="s">
        <v>3014</v>
      </c>
      <c r="J86" t="s">
        <v>3014</v>
      </c>
      <c r="K86" t="s">
        <v>3014</v>
      </c>
      <c r="L86" t="s">
        <v>3013</v>
      </c>
      <c r="M86" t="s">
        <v>3262</v>
      </c>
      <c r="N86" t="s">
        <v>885</v>
      </c>
      <c r="O86" t="s">
        <v>8414</v>
      </c>
      <c r="P86" t="s">
        <v>8118</v>
      </c>
      <c r="Q86" t="s">
        <v>6339</v>
      </c>
      <c r="R86">
        <v>1</v>
      </c>
      <c r="S86">
        <v>1</v>
      </c>
      <c r="T86">
        <v>318</v>
      </c>
    </row>
    <row r="87" spans="1:20">
      <c r="A87">
        <v>88</v>
      </c>
      <c r="B87" t="s">
        <v>3263</v>
      </c>
      <c r="C87">
        <v>1130</v>
      </c>
      <c r="D87" t="s">
        <v>3264</v>
      </c>
      <c r="E87" t="s">
        <v>3010</v>
      </c>
      <c r="F87" t="s">
        <v>3035</v>
      </c>
      <c r="G87" t="s">
        <v>3036</v>
      </c>
      <c r="H87" t="s">
        <v>3014</v>
      </c>
      <c r="I87" t="s">
        <v>3014</v>
      </c>
      <c r="J87" t="s">
        <v>3013</v>
      </c>
      <c r="K87" t="s">
        <v>3014</v>
      </c>
      <c r="L87" t="s">
        <v>3014</v>
      </c>
      <c r="M87" t="s">
        <v>3265</v>
      </c>
      <c r="N87" t="s">
        <v>8772</v>
      </c>
      <c r="O87" t="s">
        <v>8064</v>
      </c>
      <c r="P87" t="s">
        <v>8064</v>
      </c>
      <c r="Q87" t="e">
        <v>#N/A</v>
      </c>
      <c r="T87" t="e">
        <v>#N/A</v>
      </c>
    </row>
    <row r="88" spans="1:20">
      <c r="A88">
        <v>86</v>
      </c>
      <c r="B88" t="s">
        <v>3258</v>
      </c>
      <c r="C88">
        <v>1130</v>
      </c>
      <c r="D88" t="s">
        <v>3256</v>
      </c>
      <c r="E88" t="s">
        <v>3010</v>
      </c>
      <c r="F88" t="s">
        <v>3035</v>
      </c>
      <c r="G88" t="s">
        <v>3024</v>
      </c>
      <c r="H88" t="s">
        <v>3014</v>
      </c>
      <c r="I88" t="s">
        <v>3014</v>
      </c>
      <c r="J88" t="s">
        <v>3014</v>
      </c>
      <c r="K88" t="s">
        <v>3014</v>
      </c>
      <c r="L88" t="s">
        <v>3014</v>
      </c>
      <c r="M88" t="s">
        <v>3259</v>
      </c>
      <c r="N88" t="s">
        <v>581</v>
      </c>
      <c r="O88" t="s">
        <v>8387</v>
      </c>
      <c r="P88" t="s">
        <v>8091</v>
      </c>
      <c r="Q88" t="s">
        <v>6862</v>
      </c>
      <c r="T88">
        <v>97</v>
      </c>
    </row>
    <row r="89" spans="1:20">
      <c r="A89">
        <v>85</v>
      </c>
      <c r="B89" t="s">
        <v>3255</v>
      </c>
      <c r="C89">
        <v>1130</v>
      </c>
      <c r="D89" t="s">
        <v>3256</v>
      </c>
      <c r="E89" t="s">
        <v>3231</v>
      </c>
      <c r="F89" t="s">
        <v>3035</v>
      </c>
      <c r="G89" t="s">
        <v>3024</v>
      </c>
      <c r="H89" t="s">
        <v>3014</v>
      </c>
      <c r="I89" t="s">
        <v>3014</v>
      </c>
      <c r="J89" t="s">
        <v>3014</v>
      </c>
      <c r="K89" t="s">
        <v>3014</v>
      </c>
      <c r="L89" t="s">
        <v>3014</v>
      </c>
      <c r="M89" t="s">
        <v>3257</v>
      </c>
      <c r="N89" t="s">
        <v>3257</v>
      </c>
      <c r="O89" t="s">
        <v>8064</v>
      </c>
      <c r="P89" t="s">
        <v>8064</v>
      </c>
      <c r="Q89" t="e">
        <v>#N/A</v>
      </c>
      <c r="T89" t="e">
        <v>#N/A</v>
      </c>
    </row>
    <row r="90" spans="1:20">
      <c r="A90">
        <v>89</v>
      </c>
      <c r="B90" t="s">
        <v>3266</v>
      </c>
      <c r="C90">
        <v>1131</v>
      </c>
      <c r="D90" t="s">
        <v>3267</v>
      </c>
      <c r="E90" t="s">
        <v>3049</v>
      </c>
      <c r="F90" t="s">
        <v>3035</v>
      </c>
      <c r="G90" t="s">
        <v>3036</v>
      </c>
      <c r="H90" t="s">
        <v>3014</v>
      </c>
      <c r="I90" t="s">
        <v>3014</v>
      </c>
      <c r="J90" t="s">
        <v>3014</v>
      </c>
      <c r="K90" t="s">
        <v>3014</v>
      </c>
      <c r="L90" t="s">
        <v>3014</v>
      </c>
      <c r="M90" t="s">
        <v>3268</v>
      </c>
      <c r="N90" t="s">
        <v>1150</v>
      </c>
      <c r="O90" t="s">
        <v>8362</v>
      </c>
      <c r="P90" t="s">
        <v>8066</v>
      </c>
      <c r="Q90" t="s">
        <v>6450</v>
      </c>
      <c r="R90">
        <v>1</v>
      </c>
      <c r="S90">
        <v>1</v>
      </c>
      <c r="T90">
        <v>1088</v>
      </c>
    </row>
    <row r="91" spans="1:20">
      <c r="A91">
        <v>90</v>
      </c>
      <c r="B91" t="s">
        <v>3269</v>
      </c>
      <c r="C91">
        <v>1131</v>
      </c>
      <c r="D91" t="s">
        <v>452</v>
      </c>
      <c r="E91" t="s">
        <v>3049</v>
      </c>
      <c r="F91" t="s">
        <v>3035</v>
      </c>
      <c r="G91" t="s">
        <v>3036</v>
      </c>
      <c r="H91" t="s">
        <v>3013</v>
      </c>
      <c r="I91" t="s">
        <v>3014</v>
      </c>
      <c r="J91" t="s">
        <v>3014</v>
      </c>
      <c r="K91" t="s">
        <v>3013</v>
      </c>
      <c r="L91" t="s">
        <v>3013</v>
      </c>
      <c r="M91" t="s">
        <v>3270</v>
      </c>
      <c r="N91" t="s">
        <v>583</v>
      </c>
      <c r="O91" t="s">
        <v>8064</v>
      </c>
      <c r="P91" t="s">
        <v>8064</v>
      </c>
      <c r="Q91">
        <v>0</v>
      </c>
      <c r="S91">
        <v>1</v>
      </c>
      <c r="T91">
        <v>179</v>
      </c>
    </row>
    <row r="92" spans="1:20">
      <c r="A92">
        <v>94</v>
      </c>
      <c r="B92" t="s">
        <v>3278</v>
      </c>
      <c r="C92">
        <v>1132</v>
      </c>
      <c r="D92" t="s">
        <v>3279</v>
      </c>
      <c r="E92" t="s">
        <v>3049</v>
      </c>
      <c r="F92" t="s">
        <v>3035</v>
      </c>
      <c r="G92" t="s">
        <v>3036</v>
      </c>
      <c r="H92" t="s">
        <v>3014</v>
      </c>
      <c r="I92" t="s">
        <v>3014</v>
      </c>
      <c r="J92" t="s">
        <v>3014</v>
      </c>
      <c r="K92" t="s">
        <v>3014</v>
      </c>
      <c r="L92" t="s">
        <v>3014</v>
      </c>
      <c r="M92" t="s">
        <v>3280</v>
      </c>
      <c r="N92" t="s">
        <v>295</v>
      </c>
      <c r="O92" t="s">
        <v>8414</v>
      </c>
      <c r="P92" t="s">
        <v>8118</v>
      </c>
      <c r="Q92" t="s">
        <v>6339</v>
      </c>
      <c r="R92">
        <v>1</v>
      </c>
      <c r="S92">
        <v>1</v>
      </c>
      <c r="T92">
        <v>1252</v>
      </c>
    </row>
    <row r="93" spans="1:20">
      <c r="A93">
        <v>92</v>
      </c>
      <c r="B93" t="s">
        <v>3274</v>
      </c>
      <c r="C93">
        <v>1132</v>
      </c>
      <c r="D93" t="s">
        <v>3272</v>
      </c>
      <c r="E93" t="s">
        <v>3049</v>
      </c>
      <c r="F93" t="s">
        <v>3035</v>
      </c>
      <c r="G93" t="s">
        <v>3036</v>
      </c>
      <c r="H93" t="s">
        <v>3014</v>
      </c>
      <c r="I93" t="s">
        <v>3014</v>
      </c>
      <c r="J93" t="s">
        <v>3014</v>
      </c>
      <c r="K93" t="s">
        <v>3013</v>
      </c>
      <c r="L93" t="s">
        <v>3013</v>
      </c>
      <c r="M93" t="s">
        <v>3275</v>
      </c>
      <c r="N93" t="s">
        <v>900</v>
      </c>
      <c r="O93" t="s">
        <v>8422</v>
      </c>
      <c r="P93" t="s">
        <v>8126</v>
      </c>
      <c r="Q93" t="s">
        <v>6729</v>
      </c>
      <c r="R93">
        <v>1</v>
      </c>
      <c r="S93">
        <v>1</v>
      </c>
      <c r="T93">
        <v>297</v>
      </c>
    </row>
    <row r="94" spans="1:20">
      <c r="A94">
        <v>93</v>
      </c>
      <c r="B94" t="s">
        <v>3276</v>
      </c>
      <c r="C94">
        <v>1132</v>
      </c>
      <c r="D94" t="s">
        <v>3277</v>
      </c>
      <c r="E94" t="s">
        <v>3010</v>
      </c>
      <c r="F94" t="s">
        <v>3024</v>
      </c>
      <c r="G94" t="s">
        <v>3036</v>
      </c>
      <c r="H94" t="s">
        <v>3014</v>
      </c>
      <c r="I94" t="s">
        <v>3014</v>
      </c>
      <c r="J94" t="s">
        <v>3014</v>
      </c>
      <c r="K94" t="s">
        <v>3014</v>
      </c>
      <c r="L94" t="s">
        <v>3014</v>
      </c>
      <c r="M94" t="s">
        <v>3238</v>
      </c>
      <c r="N94" t="s">
        <v>1289</v>
      </c>
      <c r="O94" t="s">
        <v>8563</v>
      </c>
      <c r="P94" t="s">
        <v>8268</v>
      </c>
      <c r="Q94" t="s">
        <v>4441</v>
      </c>
      <c r="T94">
        <v>481</v>
      </c>
    </row>
    <row r="95" spans="1:20">
      <c r="A95">
        <v>91</v>
      </c>
      <c r="B95" t="s">
        <v>3271</v>
      </c>
      <c r="C95">
        <v>1132</v>
      </c>
      <c r="D95" t="s">
        <v>3272</v>
      </c>
      <c r="E95" t="s">
        <v>3092</v>
      </c>
      <c r="F95" t="s">
        <v>3024</v>
      </c>
      <c r="G95" t="s">
        <v>3012</v>
      </c>
      <c r="H95" t="s">
        <v>3014</v>
      </c>
      <c r="I95" t="s">
        <v>3014</v>
      </c>
      <c r="J95" t="s">
        <v>3014</v>
      </c>
      <c r="K95" t="s">
        <v>3014</v>
      </c>
      <c r="L95" t="s">
        <v>3014</v>
      </c>
      <c r="M95" t="s">
        <v>3273</v>
      </c>
      <c r="N95" t="s">
        <v>2820</v>
      </c>
      <c r="O95" t="s">
        <v>8381</v>
      </c>
      <c r="P95" t="s">
        <v>8085</v>
      </c>
      <c r="Q95" t="s">
        <v>2787</v>
      </c>
      <c r="T95">
        <v>1378</v>
      </c>
    </row>
    <row r="96" spans="1:20">
      <c r="A96">
        <v>96</v>
      </c>
      <c r="B96" t="s">
        <v>3284</v>
      </c>
      <c r="C96">
        <v>1133</v>
      </c>
      <c r="D96" t="s">
        <v>3285</v>
      </c>
      <c r="E96" t="s">
        <v>3023</v>
      </c>
      <c r="F96" t="s">
        <v>3035</v>
      </c>
      <c r="G96" t="s">
        <v>3036</v>
      </c>
      <c r="H96" t="s">
        <v>3014</v>
      </c>
      <c r="I96" t="s">
        <v>3014</v>
      </c>
      <c r="J96" t="s">
        <v>3014</v>
      </c>
      <c r="K96" t="s">
        <v>3014</v>
      </c>
      <c r="L96" t="s">
        <v>3014</v>
      </c>
      <c r="M96" t="s">
        <v>2494</v>
      </c>
      <c r="N96" t="s">
        <v>2494</v>
      </c>
      <c r="O96" t="s">
        <v>8546</v>
      </c>
      <c r="P96" t="s">
        <v>8252</v>
      </c>
      <c r="Q96" t="s">
        <v>6989</v>
      </c>
      <c r="T96" t="e">
        <v>#N/A</v>
      </c>
    </row>
    <row r="97" spans="1:20">
      <c r="A97">
        <v>95</v>
      </c>
      <c r="B97" t="s">
        <v>3281</v>
      </c>
      <c r="C97">
        <v>1133</v>
      </c>
      <c r="D97">
        <v>1133</v>
      </c>
      <c r="E97" t="s">
        <v>3282</v>
      </c>
      <c r="F97" t="s">
        <v>3035</v>
      </c>
      <c r="G97" t="s">
        <v>3036</v>
      </c>
      <c r="H97" t="s">
        <v>3013</v>
      </c>
      <c r="I97" t="s">
        <v>3014</v>
      </c>
      <c r="J97" t="s">
        <v>3013</v>
      </c>
      <c r="K97" t="s">
        <v>3014</v>
      </c>
      <c r="L97" t="s">
        <v>3013</v>
      </c>
      <c r="M97" t="s">
        <v>3283</v>
      </c>
      <c r="N97" t="s">
        <v>1458</v>
      </c>
      <c r="O97" t="s">
        <v>8558</v>
      </c>
      <c r="P97" t="s">
        <v>8263</v>
      </c>
      <c r="Q97" t="s">
        <v>4418</v>
      </c>
      <c r="T97">
        <v>608</v>
      </c>
    </row>
    <row r="98" spans="1:20">
      <c r="A98">
        <v>97</v>
      </c>
      <c r="B98" t="s">
        <v>3286</v>
      </c>
      <c r="C98">
        <v>1134</v>
      </c>
      <c r="D98">
        <v>1134</v>
      </c>
      <c r="E98" t="s">
        <v>3141</v>
      </c>
      <c r="F98" t="s">
        <v>3035</v>
      </c>
      <c r="G98" t="s">
        <v>3012</v>
      </c>
      <c r="H98" t="s">
        <v>3014</v>
      </c>
      <c r="I98" t="s">
        <v>3014</v>
      </c>
      <c r="J98" t="s">
        <v>3014</v>
      </c>
      <c r="K98" t="s">
        <v>3014</v>
      </c>
      <c r="L98" t="s">
        <v>3014</v>
      </c>
      <c r="M98" t="s">
        <v>3287</v>
      </c>
      <c r="N98" t="s">
        <v>6080</v>
      </c>
      <c r="O98" t="s">
        <v>8529</v>
      </c>
      <c r="P98" t="s">
        <v>8234</v>
      </c>
      <c r="Q98" t="s">
        <v>5723</v>
      </c>
      <c r="T98">
        <v>6</v>
      </c>
    </row>
    <row r="99" spans="1:20">
      <c r="A99">
        <v>98</v>
      </c>
      <c r="B99" t="s">
        <v>3288</v>
      </c>
      <c r="C99">
        <v>1134</v>
      </c>
      <c r="D99">
        <v>1134</v>
      </c>
      <c r="E99" t="s">
        <v>3023</v>
      </c>
      <c r="F99" t="s">
        <v>3024</v>
      </c>
      <c r="G99" t="s">
        <v>3036</v>
      </c>
      <c r="H99" t="s">
        <v>3014</v>
      </c>
      <c r="I99" t="s">
        <v>3014</v>
      </c>
      <c r="J99" t="s">
        <v>3014</v>
      </c>
      <c r="K99" t="s">
        <v>3014</v>
      </c>
      <c r="L99" t="s">
        <v>3014</v>
      </c>
      <c r="M99" t="s">
        <v>3289</v>
      </c>
      <c r="N99" t="s">
        <v>8756</v>
      </c>
      <c r="O99" t="s">
        <v>8064</v>
      </c>
      <c r="P99" t="s">
        <v>8064</v>
      </c>
      <c r="Q99" t="e">
        <v>#N/A</v>
      </c>
      <c r="T99" t="e">
        <v>#N/A</v>
      </c>
    </row>
    <row r="100" spans="1:20">
      <c r="A100">
        <v>99</v>
      </c>
      <c r="B100" t="s">
        <v>3290</v>
      </c>
      <c r="C100">
        <v>1134</v>
      </c>
      <c r="D100" t="s">
        <v>3291</v>
      </c>
      <c r="E100" t="s">
        <v>3049</v>
      </c>
      <c r="F100" t="s">
        <v>3035</v>
      </c>
      <c r="G100" t="s">
        <v>3036</v>
      </c>
      <c r="H100" t="s">
        <v>3014</v>
      </c>
      <c r="I100" t="s">
        <v>3014</v>
      </c>
      <c r="J100" t="s">
        <v>3014</v>
      </c>
      <c r="K100" t="s">
        <v>3014</v>
      </c>
      <c r="L100" t="s">
        <v>3014</v>
      </c>
      <c r="M100" t="s">
        <v>3292</v>
      </c>
      <c r="N100" t="s">
        <v>891</v>
      </c>
      <c r="O100" t="s">
        <v>8362</v>
      </c>
      <c r="P100" t="s">
        <v>8066</v>
      </c>
      <c r="Q100" t="s">
        <v>6450</v>
      </c>
      <c r="R100">
        <v>1</v>
      </c>
      <c r="S100">
        <v>1</v>
      </c>
      <c r="T100">
        <v>323</v>
      </c>
    </row>
    <row r="101" spans="1:20">
      <c r="A101">
        <v>101</v>
      </c>
      <c r="B101" t="s">
        <v>3296</v>
      </c>
      <c r="C101">
        <v>1137</v>
      </c>
      <c r="D101" t="s">
        <v>3297</v>
      </c>
      <c r="E101" t="s">
        <v>3049</v>
      </c>
      <c r="F101" t="s">
        <v>3035</v>
      </c>
      <c r="G101" t="s">
        <v>3024</v>
      </c>
      <c r="H101" t="s">
        <v>3014</v>
      </c>
      <c r="I101" t="s">
        <v>3014</v>
      </c>
      <c r="J101" t="s">
        <v>3014</v>
      </c>
      <c r="K101" t="s">
        <v>3014</v>
      </c>
      <c r="L101" t="s">
        <v>3013</v>
      </c>
      <c r="M101" t="s">
        <v>3298</v>
      </c>
      <c r="N101" t="s">
        <v>897</v>
      </c>
      <c r="O101" t="s">
        <v>8358</v>
      </c>
      <c r="P101" t="s">
        <v>8061</v>
      </c>
      <c r="Q101" t="s">
        <v>6497</v>
      </c>
      <c r="R101">
        <v>1</v>
      </c>
      <c r="S101">
        <v>1</v>
      </c>
      <c r="T101">
        <v>332</v>
      </c>
    </row>
    <row r="102" spans="1:20">
      <c r="A102">
        <v>102</v>
      </c>
      <c r="B102" t="s">
        <v>3299</v>
      </c>
      <c r="C102">
        <v>1137</v>
      </c>
      <c r="D102" t="s">
        <v>3294</v>
      </c>
      <c r="E102" t="s">
        <v>3049</v>
      </c>
      <c r="F102" t="s">
        <v>3035</v>
      </c>
      <c r="G102" t="s">
        <v>3036</v>
      </c>
      <c r="H102" t="s">
        <v>3014</v>
      </c>
      <c r="I102" t="s">
        <v>3014</v>
      </c>
      <c r="J102" t="s">
        <v>3014</v>
      </c>
      <c r="K102" t="s">
        <v>3014</v>
      </c>
      <c r="L102" t="s">
        <v>3013</v>
      </c>
      <c r="M102" t="s">
        <v>3300</v>
      </c>
      <c r="N102" t="s">
        <v>8758</v>
      </c>
      <c r="O102" t="s">
        <v>8064</v>
      </c>
      <c r="P102" t="s">
        <v>8064</v>
      </c>
      <c r="Q102" t="e">
        <v>#N/A</v>
      </c>
      <c r="S102">
        <v>1</v>
      </c>
    </row>
    <row r="103" spans="1:20">
      <c r="A103">
        <v>100</v>
      </c>
      <c r="B103" t="s">
        <v>3293</v>
      </c>
      <c r="C103">
        <v>1137</v>
      </c>
      <c r="D103" t="s">
        <v>3294</v>
      </c>
      <c r="E103" t="s">
        <v>3020</v>
      </c>
      <c r="F103" t="s">
        <v>3035</v>
      </c>
      <c r="G103" t="s">
        <v>3012</v>
      </c>
      <c r="H103" t="s">
        <v>3014</v>
      </c>
      <c r="I103" t="s">
        <v>3014</v>
      </c>
      <c r="J103" t="s">
        <v>3014</v>
      </c>
      <c r="K103" t="s">
        <v>3014</v>
      </c>
      <c r="L103" t="s">
        <v>3014</v>
      </c>
      <c r="M103" t="s">
        <v>3295</v>
      </c>
      <c r="N103" t="s">
        <v>8757</v>
      </c>
      <c r="O103" t="s">
        <v>8064</v>
      </c>
      <c r="P103" t="s">
        <v>8064</v>
      </c>
      <c r="Q103" t="e">
        <v>#N/A</v>
      </c>
      <c r="T103" t="e">
        <v>#N/A</v>
      </c>
    </row>
    <row r="104" spans="1:20">
      <c r="A104">
        <v>103</v>
      </c>
      <c r="B104" t="s">
        <v>3301</v>
      </c>
      <c r="C104">
        <v>1137</v>
      </c>
      <c r="D104" t="s">
        <v>3302</v>
      </c>
      <c r="E104" t="s">
        <v>3303</v>
      </c>
      <c r="F104" t="s">
        <v>3035</v>
      </c>
      <c r="G104" t="s">
        <v>3036</v>
      </c>
      <c r="H104" t="s">
        <v>3013</v>
      </c>
      <c r="I104" t="s">
        <v>3014</v>
      </c>
      <c r="J104" t="s">
        <v>3013</v>
      </c>
      <c r="K104" t="s">
        <v>3014</v>
      </c>
      <c r="L104" t="s">
        <v>3013</v>
      </c>
      <c r="M104" t="s">
        <v>3304</v>
      </c>
      <c r="N104" t="s">
        <v>585</v>
      </c>
      <c r="O104" t="s">
        <v>8407</v>
      </c>
      <c r="P104" t="s">
        <v>8111</v>
      </c>
      <c r="Q104" t="s">
        <v>6421</v>
      </c>
      <c r="T104">
        <v>187</v>
      </c>
    </row>
    <row r="105" spans="1:20">
      <c r="A105">
        <v>104</v>
      </c>
      <c r="B105" t="s">
        <v>3305</v>
      </c>
      <c r="C105">
        <v>1138</v>
      </c>
      <c r="D105">
        <v>1138</v>
      </c>
      <c r="E105" t="s">
        <v>3013</v>
      </c>
      <c r="F105" t="s">
        <v>3035</v>
      </c>
      <c r="G105" t="s">
        <v>3111</v>
      </c>
      <c r="H105" t="s">
        <v>3013</v>
      </c>
      <c r="I105" t="s">
        <v>3014</v>
      </c>
      <c r="J105" t="s">
        <v>3014</v>
      </c>
      <c r="K105" t="s">
        <v>3014</v>
      </c>
      <c r="L105" t="s">
        <v>3013</v>
      </c>
      <c r="M105" t="s">
        <v>3306</v>
      </c>
      <c r="N105" t="s">
        <v>1290</v>
      </c>
      <c r="O105" t="s">
        <v>8558</v>
      </c>
      <c r="P105" t="s">
        <v>8263</v>
      </c>
      <c r="Q105" t="s">
        <v>4418</v>
      </c>
      <c r="T105">
        <v>461</v>
      </c>
    </row>
    <row r="106" spans="1:20">
      <c r="A106">
        <v>107</v>
      </c>
      <c r="B106" t="s">
        <v>3310</v>
      </c>
      <c r="C106">
        <v>1138</v>
      </c>
      <c r="D106" t="s">
        <v>3311</v>
      </c>
      <c r="E106" t="s">
        <v>3010</v>
      </c>
      <c r="F106" t="s">
        <v>3035</v>
      </c>
      <c r="G106" t="s">
        <v>3036</v>
      </c>
      <c r="H106" t="s">
        <v>3014</v>
      </c>
      <c r="I106" t="s">
        <v>3014</v>
      </c>
      <c r="J106" t="s">
        <v>3014</v>
      </c>
      <c r="K106" t="s">
        <v>3014</v>
      </c>
      <c r="L106" t="s">
        <v>3014</v>
      </c>
      <c r="M106" t="s">
        <v>3312</v>
      </c>
      <c r="N106" t="s">
        <v>3312</v>
      </c>
      <c r="O106" t="s">
        <v>8619</v>
      </c>
      <c r="P106" t="s">
        <v>8325</v>
      </c>
      <c r="Q106" t="s">
        <v>6971</v>
      </c>
      <c r="T106">
        <v>1144</v>
      </c>
    </row>
    <row r="107" spans="1:20">
      <c r="A107" t="s">
        <v>3307</v>
      </c>
      <c r="B107" t="s">
        <v>3308</v>
      </c>
      <c r="C107">
        <v>1138</v>
      </c>
      <c r="D107">
        <v>1138</v>
      </c>
      <c r="E107" t="s">
        <v>3070</v>
      </c>
      <c r="M107" t="s">
        <v>3309</v>
      </c>
      <c r="N107" t="s">
        <v>594</v>
      </c>
      <c r="O107" t="s">
        <v>8435</v>
      </c>
      <c r="P107" t="s">
        <v>8139</v>
      </c>
      <c r="Q107" t="s">
        <v>6302</v>
      </c>
      <c r="T107">
        <v>209</v>
      </c>
    </row>
    <row r="108" spans="1:20">
      <c r="A108">
        <v>108</v>
      </c>
      <c r="B108" t="s">
        <v>3313</v>
      </c>
      <c r="C108">
        <v>1139</v>
      </c>
      <c r="D108">
        <v>1139</v>
      </c>
      <c r="E108" t="s">
        <v>3013</v>
      </c>
      <c r="F108" t="s">
        <v>3035</v>
      </c>
      <c r="G108" t="s">
        <v>3036</v>
      </c>
      <c r="H108" t="s">
        <v>3014</v>
      </c>
      <c r="I108" t="s">
        <v>3014</v>
      </c>
      <c r="J108" t="s">
        <v>3014</v>
      </c>
      <c r="K108" t="s">
        <v>3014</v>
      </c>
      <c r="L108" t="s">
        <v>3014</v>
      </c>
      <c r="M108" t="s">
        <v>2495</v>
      </c>
      <c r="N108" t="s">
        <v>2495</v>
      </c>
      <c r="O108" t="s">
        <v>8064</v>
      </c>
      <c r="P108" t="s">
        <v>8064</v>
      </c>
      <c r="Q108">
        <v>0</v>
      </c>
      <c r="T108" t="e">
        <v>#N/A</v>
      </c>
    </row>
    <row r="109" spans="1:20">
      <c r="A109">
        <v>109</v>
      </c>
      <c r="B109" t="s">
        <v>3314</v>
      </c>
      <c r="C109">
        <v>1139</v>
      </c>
      <c r="D109">
        <v>1139</v>
      </c>
      <c r="E109" t="s">
        <v>3013</v>
      </c>
      <c r="F109" t="s">
        <v>3035</v>
      </c>
      <c r="G109" t="s">
        <v>3036</v>
      </c>
      <c r="H109" t="s">
        <v>3014</v>
      </c>
      <c r="I109" t="s">
        <v>3014</v>
      </c>
      <c r="J109" t="s">
        <v>3014</v>
      </c>
      <c r="K109" t="s">
        <v>3014</v>
      </c>
      <c r="L109" t="s">
        <v>3315</v>
      </c>
      <c r="M109" t="s">
        <v>2496</v>
      </c>
      <c r="N109" t="s">
        <v>2496</v>
      </c>
      <c r="O109" t="s">
        <v>8064</v>
      </c>
      <c r="P109" t="s">
        <v>8064</v>
      </c>
      <c r="Q109">
        <v>0</v>
      </c>
      <c r="T109" t="e">
        <v>#N/A</v>
      </c>
    </row>
    <row r="110" spans="1:20">
      <c r="A110">
        <v>111</v>
      </c>
      <c r="B110" t="s">
        <v>3319</v>
      </c>
      <c r="C110">
        <v>1139</v>
      </c>
      <c r="D110" t="s">
        <v>3320</v>
      </c>
      <c r="E110" t="s">
        <v>3049</v>
      </c>
      <c r="F110" t="s">
        <v>3024</v>
      </c>
      <c r="G110" t="s">
        <v>3036</v>
      </c>
      <c r="H110" t="s">
        <v>3014</v>
      </c>
      <c r="I110" t="s">
        <v>3014</v>
      </c>
      <c r="J110" t="s">
        <v>3014</v>
      </c>
      <c r="K110" t="s">
        <v>3014</v>
      </c>
      <c r="L110" t="s">
        <v>3014</v>
      </c>
      <c r="M110" t="s">
        <v>3321</v>
      </c>
      <c r="N110" t="s">
        <v>297</v>
      </c>
      <c r="O110" t="s">
        <v>8358</v>
      </c>
      <c r="P110" t="s">
        <v>8061</v>
      </c>
      <c r="Q110" t="s">
        <v>6497</v>
      </c>
      <c r="R110">
        <v>1</v>
      </c>
      <c r="S110">
        <v>1</v>
      </c>
      <c r="T110">
        <v>1255</v>
      </c>
    </row>
    <row r="111" spans="1:20">
      <c r="A111">
        <v>110</v>
      </c>
      <c r="B111" t="s">
        <v>3316</v>
      </c>
      <c r="C111">
        <v>1139</v>
      </c>
      <c r="D111" t="s">
        <v>3317</v>
      </c>
      <c r="E111" t="s">
        <v>3282</v>
      </c>
      <c r="F111" t="s">
        <v>3035</v>
      </c>
      <c r="G111" t="s">
        <v>3036</v>
      </c>
      <c r="H111" t="s">
        <v>3014</v>
      </c>
      <c r="I111" t="s">
        <v>3014</v>
      </c>
      <c r="J111" t="s">
        <v>3014</v>
      </c>
      <c r="K111" t="s">
        <v>3014</v>
      </c>
      <c r="L111" t="s">
        <v>3014</v>
      </c>
      <c r="M111" t="s">
        <v>3318</v>
      </c>
      <c r="N111" t="s">
        <v>1460</v>
      </c>
      <c r="O111" t="s">
        <v>8363</v>
      </c>
      <c r="P111" t="s">
        <v>8067</v>
      </c>
      <c r="Q111" t="s">
        <v>4447</v>
      </c>
      <c r="T111">
        <v>607</v>
      </c>
    </row>
    <row r="112" spans="1:20">
      <c r="A112">
        <v>114</v>
      </c>
      <c r="B112" t="s">
        <v>3327</v>
      </c>
      <c r="C112">
        <v>1140</v>
      </c>
      <c r="D112" t="s">
        <v>454</v>
      </c>
      <c r="E112" t="s">
        <v>3049</v>
      </c>
      <c r="F112" t="s">
        <v>3035</v>
      </c>
      <c r="G112" t="s">
        <v>3036</v>
      </c>
      <c r="H112" t="s">
        <v>3014</v>
      </c>
      <c r="I112" t="s">
        <v>3014</v>
      </c>
      <c r="J112" t="s">
        <v>3013</v>
      </c>
      <c r="K112" t="s">
        <v>3014</v>
      </c>
      <c r="L112" t="s">
        <v>3014</v>
      </c>
      <c r="M112" t="s">
        <v>3328</v>
      </c>
      <c r="N112" t="s">
        <v>596</v>
      </c>
      <c r="O112" t="s">
        <v>8384</v>
      </c>
      <c r="P112" t="s">
        <v>8088</v>
      </c>
      <c r="Q112" t="s">
        <v>6693</v>
      </c>
      <c r="R112">
        <v>1</v>
      </c>
      <c r="S112">
        <v>1</v>
      </c>
      <c r="T112">
        <v>92</v>
      </c>
    </row>
    <row r="113" spans="1:20">
      <c r="A113">
        <v>113</v>
      </c>
      <c r="B113" t="s">
        <v>3325</v>
      </c>
      <c r="C113">
        <v>1140</v>
      </c>
      <c r="D113" t="s">
        <v>454</v>
      </c>
      <c r="E113" t="s">
        <v>3049</v>
      </c>
      <c r="F113" t="s">
        <v>3035</v>
      </c>
      <c r="G113" t="s">
        <v>3036</v>
      </c>
      <c r="H113" t="s">
        <v>3014</v>
      </c>
      <c r="I113" t="s">
        <v>3014</v>
      </c>
      <c r="J113" t="s">
        <v>3014</v>
      </c>
      <c r="K113" t="s">
        <v>3014</v>
      </c>
      <c r="L113" t="s">
        <v>3014</v>
      </c>
      <c r="M113" t="s">
        <v>3326</v>
      </c>
      <c r="N113" t="s">
        <v>598</v>
      </c>
      <c r="O113" t="s">
        <v>8360</v>
      </c>
      <c r="P113" t="s">
        <v>8063</v>
      </c>
      <c r="Q113" t="s">
        <v>6348</v>
      </c>
      <c r="R113">
        <v>1</v>
      </c>
      <c r="S113">
        <v>1</v>
      </c>
      <c r="T113">
        <v>159</v>
      </c>
    </row>
    <row r="114" spans="1:20">
      <c r="A114">
        <v>112</v>
      </c>
      <c r="B114" t="s">
        <v>3322</v>
      </c>
      <c r="C114">
        <v>1140</v>
      </c>
      <c r="D114" t="s">
        <v>3323</v>
      </c>
      <c r="E114" t="s">
        <v>3049</v>
      </c>
      <c r="F114" t="s">
        <v>3035</v>
      </c>
      <c r="G114" t="s">
        <v>3036</v>
      </c>
      <c r="H114" t="s">
        <v>3014</v>
      </c>
      <c r="I114" t="s">
        <v>3014</v>
      </c>
      <c r="J114" t="s">
        <v>3014</v>
      </c>
      <c r="K114" t="s">
        <v>3014</v>
      </c>
      <c r="L114" t="s">
        <v>3014</v>
      </c>
      <c r="M114" t="s">
        <v>3324</v>
      </c>
      <c r="N114" t="s">
        <v>903</v>
      </c>
      <c r="O114" t="s">
        <v>8064</v>
      </c>
      <c r="P114" t="s">
        <v>8064</v>
      </c>
      <c r="Q114">
        <v>0</v>
      </c>
      <c r="S114">
        <v>1</v>
      </c>
      <c r="T114">
        <v>298</v>
      </c>
    </row>
    <row r="115" spans="1:20">
      <c r="A115">
        <v>115</v>
      </c>
      <c r="B115" t="s">
        <v>3329</v>
      </c>
      <c r="C115">
        <v>1140</v>
      </c>
      <c r="D115" t="s">
        <v>3330</v>
      </c>
      <c r="E115" t="s">
        <v>3010</v>
      </c>
      <c r="F115" t="s">
        <v>3035</v>
      </c>
      <c r="G115" t="s">
        <v>3036</v>
      </c>
      <c r="H115" t="s">
        <v>3014</v>
      </c>
      <c r="I115" t="s">
        <v>3014</v>
      </c>
      <c r="J115" t="s">
        <v>3014</v>
      </c>
      <c r="K115" t="s">
        <v>3014</v>
      </c>
      <c r="L115" t="s">
        <v>3014</v>
      </c>
      <c r="M115" t="s">
        <v>3331</v>
      </c>
      <c r="N115" t="s">
        <v>1975</v>
      </c>
      <c r="O115" t="s">
        <v>6297</v>
      </c>
      <c r="P115" t="s">
        <v>8193</v>
      </c>
      <c r="Q115" t="s">
        <v>4417</v>
      </c>
      <c r="T115">
        <v>968</v>
      </c>
    </row>
    <row r="116" spans="1:20">
      <c r="A116">
        <v>116</v>
      </c>
      <c r="B116" t="s">
        <v>3332</v>
      </c>
      <c r="C116">
        <v>1141</v>
      </c>
      <c r="D116" t="s">
        <v>3333</v>
      </c>
      <c r="E116" t="s">
        <v>3010</v>
      </c>
      <c r="F116" t="s">
        <v>3024</v>
      </c>
      <c r="G116" t="s">
        <v>3036</v>
      </c>
      <c r="H116" t="s">
        <v>3014</v>
      </c>
      <c r="I116" t="s">
        <v>3014</v>
      </c>
      <c r="J116" t="s">
        <v>3014</v>
      </c>
      <c r="K116" t="s">
        <v>3014</v>
      </c>
      <c r="L116" t="s">
        <v>3014</v>
      </c>
      <c r="M116" t="s">
        <v>3318</v>
      </c>
      <c r="N116" t="s">
        <v>1460</v>
      </c>
      <c r="O116" t="s">
        <v>8363</v>
      </c>
      <c r="P116" t="s">
        <v>8067</v>
      </c>
      <c r="Q116" t="s">
        <v>4447</v>
      </c>
      <c r="T116">
        <v>607</v>
      </c>
    </row>
    <row r="117" spans="1:20">
      <c r="A117">
        <v>117</v>
      </c>
      <c r="B117" t="s">
        <v>3334</v>
      </c>
      <c r="C117">
        <v>1142</v>
      </c>
      <c r="D117">
        <v>1142</v>
      </c>
      <c r="E117" t="s">
        <v>3141</v>
      </c>
      <c r="F117" t="s">
        <v>3035</v>
      </c>
      <c r="G117" t="s">
        <v>3012</v>
      </c>
      <c r="H117" t="s">
        <v>3014</v>
      </c>
      <c r="I117" t="s">
        <v>3014</v>
      </c>
      <c r="J117" t="s">
        <v>3014</v>
      </c>
      <c r="K117" t="s">
        <v>3014</v>
      </c>
      <c r="L117" t="s">
        <v>3014</v>
      </c>
      <c r="M117" t="s">
        <v>3335</v>
      </c>
      <c r="N117" t="s">
        <v>6081</v>
      </c>
      <c r="O117" t="s">
        <v>8533</v>
      </c>
      <c r="P117" t="s">
        <v>8238</v>
      </c>
      <c r="Q117" t="s">
        <v>6426</v>
      </c>
      <c r="T117">
        <v>22</v>
      </c>
    </row>
    <row r="118" spans="1:20">
      <c r="A118">
        <v>119</v>
      </c>
      <c r="B118" t="s">
        <v>3338</v>
      </c>
      <c r="C118">
        <v>1142</v>
      </c>
      <c r="D118" t="s">
        <v>3339</v>
      </c>
      <c r="E118" t="s">
        <v>3010</v>
      </c>
      <c r="F118" t="s">
        <v>3035</v>
      </c>
      <c r="G118" t="s">
        <v>3036</v>
      </c>
      <c r="H118" t="s">
        <v>3014</v>
      </c>
      <c r="I118" t="s">
        <v>3340</v>
      </c>
      <c r="J118" t="s">
        <v>3014</v>
      </c>
      <c r="K118" t="s">
        <v>3014</v>
      </c>
      <c r="L118" t="s">
        <v>3013</v>
      </c>
      <c r="M118" t="s">
        <v>3306</v>
      </c>
      <c r="N118" t="s">
        <v>1290</v>
      </c>
      <c r="O118" t="s">
        <v>8558</v>
      </c>
      <c r="P118" t="s">
        <v>8263</v>
      </c>
      <c r="Q118" t="s">
        <v>4418</v>
      </c>
      <c r="T118">
        <v>461</v>
      </c>
    </row>
    <row r="119" spans="1:20">
      <c r="A119">
        <v>120</v>
      </c>
      <c r="B119" t="s">
        <v>3341</v>
      </c>
      <c r="C119">
        <v>1142</v>
      </c>
      <c r="D119" t="s">
        <v>3339</v>
      </c>
      <c r="E119" t="s">
        <v>3010</v>
      </c>
      <c r="F119" t="s">
        <v>3035</v>
      </c>
      <c r="G119" t="s">
        <v>3036</v>
      </c>
      <c r="H119" t="s">
        <v>3014</v>
      </c>
      <c r="I119" t="s">
        <v>3014</v>
      </c>
      <c r="J119" t="s">
        <v>3014</v>
      </c>
      <c r="K119" t="s">
        <v>3014</v>
      </c>
      <c r="L119" t="s">
        <v>3014</v>
      </c>
      <c r="M119" t="s">
        <v>3283</v>
      </c>
      <c r="N119" t="s">
        <v>1458</v>
      </c>
      <c r="O119" t="s">
        <v>8558</v>
      </c>
      <c r="P119" t="s">
        <v>8263</v>
      </c>
      <c r="Q119" t="s">
        <v>4418</v>
      </c>
      <c r="T119">
        <v>608</v>
      </c>
    </row>
    <row r="120" spans="1:20">
      <c r="A120">
        <v>121</v>
      </c>
      <c r="B120" t="s">
        <v>3342</v>
      </c>
      <c r="C120">
        <v>1142</v>
      </c>
      <c r="D120" t="s">
        <v>3339</v>
      </c>
      <c r="E120" t="s">
        <v>3010</v>
      </c>
      <c r="F120" t="s">
        <v>3035</v>
      </c>
      <c r="G120" t="s">
        <v>3036</v>
      </c>
      <c r="H120" t="s">
        <v>3014</v>
      </c>
      <c r="I120" t="s">
        <v>3014</v>
      </c>
      <c r="J120" t="s">
        <v>3014</v>
      </c>
      <c r="K120" t="s">
        <v>3014</v>
      </c>
      <c r="L120" t="s">
        <v>3013</v>
      </c>
      <c r="M120" t="s">
        <v>3343</v>
      </c>
      <c r="N120" t="s">
        <v>1459</v>
      </c>
      <c r="O120" t="s">
        <v>8558</v>
      </c>
      <c r="P120" t="s">
        <v>8263</v>
      </c>
      <c r="Q120" t="s">
        <v>4418</v>
      </c>
      <c r="T120">
        <v>589</v>
      </c>
    </row>
    <row r="121" spans="1:20">
      <c r="A121">
        <v>122</v>
      </c>
      <c r="B121" t="s">
        <v>3344</v>
      </c>
      <c r="C121">
        <v>1142</v>
      </c>
      <c r="D121" t="s">
        <v>3345</v>
      </c>
      <c r="E121" t="s">
        <v>3010</v>
      </c>
      <c r="F121" t="s">
        <v>3035</v>
      </c>
      <c r="G121" t="s">
        <v>3036</v>
      </c>
      <c r="H121" t="s">
        <v>3014</v>
      </c>
      <c r="I121" t="s">
        <v>3014</v>
      </c>
      <c r="J121" t="s">
        <v>3014</v>
      </c>
      <c r="K121" t="s">
        <v>3014</v>
      </c>
      <c r="L121" t="s">
        <v>3014</v>
      </c>
      <c r="M121" t="s">
        <v>3343</v>
      </c>
      <c r="N121" t="s">
        <v>1459</v>
      </c>
      <c r="O121" t="s">
        <v>8558</v>
      </c>
      <c r="P121" t="s">
        <v>8263</v>
      </c>
      <c r="Q121" t="s">
        <v>4418</v>
      </c>
      <c r="T121">
        <v>589</v>
      </c>
    </row>
    <row r="122" spans="1:20">
      <c r="A122">
        <v>118</v>
      </c>
      <c r="B122" t="s">
        <v>3336</v>
      </c>
      <c r="C122">
        <v>1142</v>
      </c>
      <c r="D122">
        <v>1142</v>
      </c>
      <c r="E122" t="s">
        <v>3010</v>
      </c>
      <c r="F122" t="s">
        <v>3035</v>
      </c>
      <c r="G122" t="s">
        <v>3036</v>
      </c>
      <c r="H122" t="s">
        <v>3014</v>
      </c>
      <c r="I122" t="s">
        <v>3014</v>
      </c>
      <c r="J122" t="s">
        <v>3014</v>
      </c>
      <c r="K122" t="s">
        <v>3014</v>
      </c>
      <c r="L122" t="s">
        <v>3014</v>
      </c>
      <c r="M122" t="s">
        <v>3337</v>
      </c>
      <c r="N122" t="s">
        <v>601</v>
      </c>
      <c r="O122" t="s">
        <v>8386</v>
      </c>
      <c r="P122" t="s">
        <v>8090</v>
      </c>
      <c r="Q122" t="s">
        <v>6368</v>
      </c>
      <c r="T122">
        <v>95</v>
      </c>
    </row>
    <row r="123" spans="1:20">
      <c r="A123">
        <v>124</v>
      </c>
      <c r="B123" t="s">
        <v>3348</v>
      </c>
      <c r="C123">
        <v>1143</v>
      </c>
      <c r="D123" t="s">
        <v>3349</v>
      </c>
      <c r="E123" t="s">
        <v>3010</v>
      </c>
      <c r="F123" t="s">
        <v>3035</v>
      </c>
      <c r="G123" t="s">
        <v>3036</v>
      </c>
      <c r="H123" t="s">
        <v>3013</v>
      </c>
      <c r="I123" t="s">
        <v>3014</v>
      </c>
      <c r="J123" t="s">
        <v>3014</v>
      </c>
      <c r="K123" t="s">
        <v>3340</v>
      </c>
      <c r="L123" t="s">
        <v>3014</v>
      </c>
      <c r="M123" t="s">
        <v>3350</v>
      </c>
      <c r="N123" t="s">
        <v>1526</v>
      </c>
      <c r="O123" t="s">
        <v>8595</v>
      </c>
      <c r="P123" t="s">
        <v>8300</v>
      </c>
      <c r="Q123" t="s">
        <v>4468</v>
      </c>
      <c r="T123">
        <v>720</v>
      </c>
    </row>
    <row r="124" spans="1:20">
      <c r="A124">
        <v>123</v>
      </c>
      <c r="B124" t="s">
        <v>3346</v>
      </c>
      <c r="C124">
        <v>1143</v>
      </c>
      <c r="D124" t="s">
        <v>8781</v>
      </c>
      <c r="E124" t="s">
        <v>3020</v>
      </c>
      <c r="F124" t="s">
        <v>3035</v>
      </c>
      <c r="G124" t="s">
        <v>3024</v>
      </c>
      <c r="H124" t="s">
        <v>3014</v>
      </c>
      <c r="I124" t="s">
        <v>3014</v>
      </c>
      <c r="J124" t="s">
        <v>3014</v>
      </c>
      <c r="K124" t="s">
        <v>3014</v>
      </c>
      <c r="L124" t="s">
        <v>3014</v>
      </c>
      <c r="M124" t="s">
        <v>3347</v>
      </c>
      <c r="N124" t="s">
        <v>6083</v>
      </c>
      <c r="O124" t="s">
        <v>8064</v>
      </c>
      <c r="P124" t="s">
        <v>8064</v>
      </c>
      <c r="Q124">
        <v>0</v>
      </c>
      <c r="T124">
        <v>8</v>
      </c>
    </row>
    <row r="125" spans="1:20">
      <c r="A125">
        <v>125</v>
      </c>
      <c r="B125" t="s">
        <v>3351</v>
      </c>
      <c r="C125">
        <v>1143</v>
      </c>
      <c r="D125" t="s">
        <v>3352</v>
      </c>
      <c r="E125" t="s">
        <v>3020</v>
      </c>
      <c r="F125" t="s">
        <v>3011</v>
      </c>
      <c r="G125" t="s">
        <v>3036</v>
      </c>
      <c r="H125" t="s">
        <v>3014</v>
      </c>
      <c r="I125" t="s">
        <v>3014</v>
      </c>
      <c r="J125" t="s">
        <v>3014</v>
      </c>
      <c r="K125" t="s">
        <v>3014</v>
      </c>
      <c r="L125" t="s">
        <v>3014</v>
      </c>
      <c r="M125" t="s">
        <v>3353</v>
      </c>
      <c r="N125" t="s">
        <v>5949</v>
      </c>
      <c r="O125" t="s">
        <v>8632</v>
      </c>
      <c r="P125" t="s">
        <v>8300</v>
      </c>
      <c r="Q125" t="s">
        <v>5835</v>
      </c>
      <c r="T125">
        <v>1338</v>
      </c>
    </row>
    <row r="126" spans="1:20">
      <c r="A126">
        <v>126</v>
      </c>
      <c r="B126" t="s">
        <v>3354</v>
      </c>
      <c r="C126">
        <v>1144</v>
      </c>
      <c r="D126" t="s">
        <v>3355</v>
      </c>
      <c r="E126" t="s">
        <v>3010</v>
      </c>
      <c r="F126" t="s">
        <v>3035</v>
      </c>
      <c r="G126" t="s">
        <v>3024</v>
      </c>
      <c r="H126" t="s">
        <v>3014</v>
      </c>
      <c r="I126" t="s">
        <v>3014</v>
      </c>
      <c r="J126" t="s">
        <v>3014</v>
      </c>
      <c r="K126" t="s">
        <v>3014</v>
      </c>
      <c r="L126" t="s">
        <v>3013</v>
      </c>
      <c r="M126" t="s">
        <v>3356</v>
      </c>
      <c r="N126" t="s">
        <v>4906</v>
      </c>
      <c r="O126" t="s">
        <v>8605</v>
      </c>
      <c r="P126" t="s">
        <v>8311</v>
      </c>
      <c r="Q126" t="s">
        <v>4469</v>
      </c>
      <c r="T126">
        <v>905</v>
      </c>
    </row>
    <row r="127" spans="1:20">
      <c r="A127" t="s">
        <v>3360</v>
      </c>
      <c r="B127" t="s">
        <v>3361</v>
      </c>
      <c r="C127">
        <v>1145</v>
      </c>
      <c r="D127" t="s">
        <v>3362</v>
      </c>
      <c r="E127" t="s">
        <v>3010</v>
      </c>
      <c r="M127" t="s">
        <v>3331</v>
      </c>
      <c r="N127" t="s">
        <v>1975</v>
      </c>
      <c r="O127" t="s">
        <v>6297</v>
      </c>
      <c r="P127" t="s">
        <v>8193</v>
      </c>
      <c r="Q127" t="s">
        <v>4417</v>
      </c>
      <c r="T127">
        <v>968</v>
      </c>
    </row>
    <row r="128" spans="1:20">
      <c r="A128">
        <v>127</v>
      </c>
      <c r="B128" t="s">
        <v>3357</v>
      </c>
      <c r="C128">
        <v>1145</v>
      </c>
      <c r="D128">
        <v>1145</v>
      </c>
      <c r="E128" t="s">
        <v>3092</v>
      </c>
      <c r="F128" t="s">
        <v>3035</v>
      </c>
      <c r="G128" t="s">
        <v>3012</v>
      </c>
      <c r="H128" t="s">
        <v>3014</v>
      </c>
      <c r="I128" t="s">
        <v>3014</v>
      </c>
      <c r="J128" t="s">
        <v>3014</v>
      </c>
      <c r="K128" t="s">
        <v>3014</v>
      </c>
      <c r="L128" t="s">
        <v>3358</v>
      </c>
      <c r="M128" t="s">
        <v>3359</v>
      </c>
      <c r="N128" t="s">
        <v>301</v>
      </c>
      <c r="O128" t="s">
        <v>8513</v>
      </c>
      <c r="P128" t="s">
        <v>8219</v>
      </c>
      <c r="Q128" t="s">
        <v>6970</v>
      </c>
      <c r="T128">
        <v>1198</v>
      </c>
    </row>
    <row r="129" spans="1:20">
      <c r="A129">
        <v>129</v>
      </c>
      <c r="B129" t="s">
        <v>3363</v>
      </c>
      <c r="C129">
        <v>1146</v>
      </c>
      <c r="D129" t="s">
        <v>3364</v>
      </c>
      <c r="E129" t="s">
        <v>3049</v>
      </c>
      <c r="F129" t="s">
        <v>3035</v>
      </c>
      <c r="G129" t="s">
        <v>3036</v>
      </c>
      <c r="H129" t="s">
        <v>3014</v>
      </c>
      <c r="I129" t="s">
        <v>3014</v>
      </c>
      <c r="J129" t="s">
        <v>3014</v>
      </c>
      <c r="K129" t="s">
        <v>3014</v>
      </c>
      <c r="L129" t="s">
        <v>3014</v>
      </c>
      <c r="M129" t="s">
        <v>3365</v>
      </c>
      <c r="N129" t="s">
        <v>603</v>
      </c>
      <c r="O129" t="s">
        <v>8404</v>
      </c>
      <c r="P129" t="s">
        <v>8108</v>
      </c>
      <c r="Q129" t="s">
        <v>4364</v>
      </c>
      <c r="R129">
        <v>1</v>
      </c>
      <c r="S129">
        <v>1</v>
      </c>
      <c r="T129">
        <v>125</v>
      </c>
    </row>
    <row r="130" spans="1:20">
      <c r="A130">
        <v>130</v>
      </c>
      <c r="B130" t="s">
        <v>3366</v>
      </c>
      <c r="C130">
        <v>1146</v>
      </c>
      <c r="D130" t="s">
        <v>3367</v>
      </c>
      <c r="E130" t="s">
        <v>3010</v>
      </c>
      <c r="F130" t="s">
        <v>3035</v>
      </c>
      <c r="G130" t="s">
        <v>3036</v>
      </c>
      <c r="H130" t="s">
        <v>3013</v>
      </c>
      <c r="I130" t="s">
        <v>3014</v>
      </c>
      <c r="J130" t="s">
        <v>3014</v>
      </c>
      <c r="K130" t="s">
        <v>3014</v>
      </c>
      <c r="L130" t="s">
        <v>3013</v>
      </c>
      <c r="M130" t="s">
        <v>3368</v>
      </c>
      <c r="N130" t="s">
        <v>1781</v>
      </c>
      <c r="O130" t="s">
        <v>8064</v>
      </c>
      <c r="P130" t="s">
        <v>8064</v>
      </c>
      <c r="Q130">
        <v>0</v>
      </c>
      <c r="T130">
        <v>785</v>
      </c>
    </row>
    <row r="131" spans="1:20">
      <c r="A131">
        <v>131</v>
      </c>
      <c r="B131" t="s">
        <v>3369</v>
      </c>
      <c r="C131">
        <v>1147</v>
      </c>
      <c r="D131">
        <v>1147</v>
      </c>
      <c r="E131" t="s">
        <v>3010</v>
      </c>
      <c r="F131" t="s">
        <v>3035</v>
      </c>
      <c r="G131" t="s">
        <v>3036</v>
      </c>
      <c r="H131" t="s">
        <v>3014</v>
      </c>
      <c r="I131" t="s">
        <v>3315</v>
      </c>
      <c r="J131" t="s">
        <v>3014</v>
      </c>
      <c r="K131" t="s">
        <v>3014</v>
      </c>
      <c r="L131" t="s">
        <v>3013</v>
      </c>
      <c r="M131" t="s">
        <v>3371</v>
      </c>
      <c r="N131" t="s">
        <v>8759</v>
      </c>
      <c r="O131" t="s">
        <v>8064</v>
      </c>
      <c r="P131" t="s">
        <v>8064</v>
      </c>
      <c r="Q131" t="e">
        <v>#N/A</v>
      </c>
      <c r="T131" t="e">
        <v>#N/A</v>
      </c>
    </row>
    <row r="132" spans="1:20">
      <c r="A132">
        <v>132</v>
      </c>
      <c r="B132" t="s">
        <v>3372</v>
      </c>
      <c r="C132">
        <v>1147</v>
      </c>
      <c r="D132" t="s">
        <v>3373</v>
      </c>
      <c r="E132" t="s">
        <v>3020</v>
      </c>
      <c r="F132" t="s">
        <v>3024</v>
      </c>
      <c r="G132" t="s">
        <v>3024</v>
      </c>
      <c r="H132" t="s">
        <v>3014</v>
      </c>
      <c r="I132" t="s">
        <v>3014</v>
      </c>
      <c r="J132" t="s">
        <v>3014</v>
      </c>
      <c r="K132" t="s">
        <v>3014</v>
      </c>
      <c r="L132" t="s">
        <v>3014</v>
      </c>
      <c r="M132" t="s">
        <v>3374</v>
      </c>
      <c r="N132" t="s">
        <v>3374</v>
      </c>
      <c r="O132" t="s">
        <v>8620</v>
      </c>
      <c r="P132" t="s">
        <v>8327</v>
      </c>
      <c r="Q132" t="s">
        <v>6498</v>
      </c>
      <c r="T132">
        <v>1148</v>
      </c>
    </row>
    <row r="133" spans="1:20">
      <c r="A133">
        <v>134</v>
      </c>
      <c r="B133" t="s">
        <v>3377</v>
      </c>
      <c r="C133">
        <v>1148</v>
      </c>
      <c r="D133">
        <v>1148</v>
      </c>
      <c r="E133" t="s">
        <v>3023</v>
      </c>
      <c r="F133" t="s">
        <v>3035</v>
      </c>
      <c r="G133" t="s">
        <v>3036</v>
      </c>
      <c r="H133" t="s">
        <v>3014</v>
      </c>
      <c r="I133" t="s">
        <v>3014</v>
      </c>
      <c r="J133" t="s">
        <v>3014</v>
      </c>
      <c r="K133" t="s">
        <v>3014</v>
      </c>
      <c r="L133" t="s">
        <v>3315</v>
      </c>
      <c r="M133" t="s">
        <v>3378</v>
      </c>
      <c r="N133" t="s">
        <v>8760</v>
      </c>
      <c r="O133" t="s">
        <v>8064</v>
      </c>
      <c r="P133" t="s">
        <v>8064</v>
      </c>
      <c r="Q133" t="e">
        <v>#N/A</v>
      </c>
      <c r="T133" t="e">
        <v>#N/A</v>
      </c>
    </row>
    <row r="134" spans="1:20">
      <c r="A134">
        <v>137</v>
      </c>
      <c r="B134" t="s">
        <v>3384</v>
      </c>
      <c r="C134">
        <v>1148</v>
      </c>
      <c r="D134" t="s">
        <v>3382</v>
      </c>
      <c r="E134" t="s">
        <v>3049</v>
      </c>
      <c r="F134" t="s">
        <v>3035</v>
      </c>
      <c r="G134" t="s">
        <v>3036</v>
      </c>
      <c r="H134" t="s">
        <v>3013</v>
      </c>
      <c r="I134" t="s">
        <v>3014</v>
      </c>
      <c r="J134" t="s">
        <v>3014</v>
      </c>
      <c r="K134" t="s">
        <v>3014</v>
      </c>
      <c r="L134" t="s">
        <v>3013</v>
      </c>
      <c r="M134" t="s">
        <v>3385</v>
      </c>
      <c r="N134" t="s">
        <v>1156</v>
      </c>
      <c r="O134" t="s">
        <v>8356</v>
      </c>
      <c r="P134" t="s">
        <v>8059</v>
      </c>
      <c r="Q134" t="s">
        <v>6960</v>
      </c>
      <c r="R134">
        <v>1</v>
      </c>
      <c r="S134">
        <v>1</v>
      </c>
      <c r="T134">
        <v>1074</v>
      </c>
    </row>
    <row r="135" spans="1:20">
      <c r="A135">
        <v>136</v>
      </c>
      <c r="B135" t="s">
        <v>3381</v>
      </c>
      <c r="C135">
        <v>1148</v>
      </c>
      <c r="D135" t="s">
        <v>3382</v>
      </c>
      <c r="E135" t="s">
        <v>3010</v>
      </c>
      <c r="F135" t="s">
        <v>3024</v>
      </c>
      <c r="G135" t="s">
        <v>3024</v>
      </c>
      <c r="H135" t="s">
        <v>3014</v>
      </c>
      <c r="I135" t="s">
        <v>3014</v>
      </c>
      <c r="J135" t="s">
        <v>3014</v>
      </c>
      <c r="K135" t="s">
        <v>3014</v>
      </c>
      <c r="L135" t="s">
        <v>3014</v>
      </c>
      <c r="M135" t="s">
        <v>3383</v>
      </c>
      <c r="N135" t="s">
        <v>1292</v>
      </c>
      <c r="O135" t="s">
        <v>8483</v>
      </c>
      <c r="P135" t="s">
        <v>8188</v>
      </c>
      <c r="Q135" t="s">
        <v>6758</v>
      </c>
      <c r="T135">
        <v>475</v>
      </c>
    </row>
    <row r="136" spans="1:20">
      <c r="A136">
        <v>133</v>
      </c>
      <c r="B136" t="s">
        <v>3375</v>
      </c>
      <c r="C136">
        <v>1148</v>
      </c>
      <c r="D136">
        <v>1148</v>
      </c>
      <c r="E136" t="s">
        <v>3010</v>
      </c>
      <c r="F136" t="s">
        <v>3035</v>
      </c>
      <c r="G136" t="s">
        <v>3036</v>
      </c>
      <c r="H136" t="s">
        <v>3014</v>
      </c>
      <c r="I136" t="s">
        <v>3014</v>
      </c>
      <c r="J136" t="s">
        <v>3014</v>
      </c>
      <c r="K136" t="s">
        <v>3014</v>
      </c>
      <c r="L136" t="s">
        <v>3014</v>
      </c>
      <c r="M136" t="s">
        <v>3376</v>
      </c>
      <c r="N136" t="s">
        <v>1782</v>
      </c>
      <c r="O136" t="s">
        <v>8473</v>
      </c>
      <c r="P136" t="s">
        <v>8177</v>
      </c>
      <c r="Q136" t="s">
        <v>6320</v>
      </c>
      <c r="T136">
        <v>786</v>
      </c>
    </row>
    <row r="137" spans="1:20">
      <c r="A137">
        <v>135</v>
      </c>
      <c r="B137" t="s">
        <v>3379</v>
      </c>
      <c r="C137">
        <v>1148</v>
      </c>
      <c r="D137">
        <v>1148</v>
      </c>
      <c r="E137" t="s">
        <v>3020</v>
      </c>
      <c r="F137" t="s">
        <v>3035</v>
      </c>
      <c r="G137" t="s">
        <v>3036</v>
      </c>
      <c r="H137" t="s">
        <v>3014</v>
      </c>
      <c r="I137" t="s">
        <v>3014</v>
      </c>
      <c r="J137" t="s">
        <v>3014</v>
      </c>
      <c r="K137" t="s">
        <v>3014</v>
      </c>
      <c r="L137" t="s">
        <v>3014</v>
      </c>
      <c r="M137" t="s">
        <v>3380</v>
      </c>
      <c r="N137" t="s">
        <v>612</v>
      </c>
      <c r="O137" t="s">
        <v>8437</v>
      </c>
      <c r="P137" t="s">
        <v>8141</v>
      </c>
      <c r="Q137" t="s">
        <v>6621</v>
      </c>
      <c r="T137">
        <v>216</v>
      </c>
    </row>
    <row r="138" spans="1:20">
      <c r="A138">
        <v>140</v>
      </c>
      <c r="B138" t="s">
        <v>3389</v>
      </c>
      <c r="C138">
        <v>1149</v>
      </c>
      <c r="D138" t="s">
        <v>3390</v>
      </c>
      <c r="E138" t="s">
        <v>3049</v>
      </c>
      <c r="F138" t="s">
        <v>3035</v>
      </c>
      <c r="G138" t="s">
        <v>3036</v>
      </c>
      <c r="H138" t="s">
        <v>3013</v>
      </c>
      <c r="I138" t="s">
        <v>3013</v>
      </c>
      <c r="J138" t="s">
        <v>3014</v>
      </c>
      <c r="K138" t="s">
        <v>3014</v>
      </c>
      <c r="L138" t="s">
        <v>3013</v>
      </c>
      <c r="M138" t="s">
        <v>3391</v>
      </c>
      <c r="N138" t="s">
        <v>298</v>
      </c>
      <c r="O138" t="s">
        <v>8357</v>
      </c>
      <c r="P138" t="s">
        <v>8060</v>
      </c>
      <c r="Q138" t="s">
        <v>6486</v>
      </c>
      <c r="R138">
        <v>1</v>
      </c>
      <c r="S138">
        <v>1</v>
      </c>
      <c r="T138">
        <v>1202</v>
      </c>
    </row>
    <row r="139" spans="1:20">
      <c r="A139">
        <v>141</v>
      </c>
      <c r="B139" t="s">
        <v>3392</v>
      </c>
      <c r="C139">
        <v>1149</v>
      </c>
      <c r="D139" t="s">
        <v>3393</v>
      </c>
      <c r="E139" t="s">
        <v>3010</v>
      </c>
      <c r="F139" t="s">
        <v>3035</v>
      </c>
      <c r="G139" t="s">
        <v>3024</v>
      </c>
      <c r="H139" t="s">
        <v>3014</v>
      </c>
      <c r="I139" t="s">
        <v>3014</v>
      </c>
      <c r="J139" t="s">
        <v>3014</v>
      </c>
      <c r="K139" t="s">
        <v>3014</v>
      </c>
      <c r="L139" t="s">
        <v>3013</v>
      </c>
      <c r="M139" t="s">
        <v>3394</v>
      </c>
      <c r="N139" t="s">
        <v>1291</v>
      </c>
      <c r="O139" t="s">
        <v>8363</v>
      </c>
      <c r="P139" t="s">
        <v>8067</v>
      </c>
      <c r="Q139" t="s">
        <v>4447</v>
      </c>
      <c r="T139">
        <v>472</v>
      </c>
    </row>
    <row r="140" spans="1:20">
      <c r="A140">
        <v>142</v>
      </c>
      <c r="B140" t="s">
        <v>3395</v>
      </c>
      <c r="C140">
        <v>1149</v>
      </c>
      <c r="D140" t="s">
        <v>3396</v>
      </c>
      <c r="E140" t="s">
        <v>3010</v>
      </c>
      <c r="F140" t="s">
        <v>3035</v>
      </c>
      <c r="G140" t="s">
        <v>3036</v>
      </c>
      <c r="H140" t="s">
        <v>3014</v>
      </c>
      <c r="I140" t="s">
        <v>3014</v>
      </c>
      <c r="J140" t="s">
        <v>3014</v>
      </c>
      <c r="K140" t="s">
        <v>3014</v>
      </c>
      <c r="L140" t="s">
        <v>3358</v>
      </c>
      <c r="M140" t="s">
        <v>3383</v>
      </c>
      <c r="N140" t="s">
        <v>1292</v>
      </c>
      <c r="O140" t="s">
        <v>8483</v>
      </c>
      <c r="P140" t="s">
        <v>8188</v>
      </c>
      <c r="Q140" t="s">
        <v>6758</v>
      </c>
      <c r="T140">
        <v>475</v>
      </c>
    </row>
    <row r="141" spans="1:20">
      <c r="A141">
        <v>138</v>
      </c>
      <c r="B141" t="s">
        <v>3386</v>
      </c>
      <c r="C141">
        <v>1149</v>
      </c>
      <c r="D141">
        <v>1149</v>
      </c>
      <c r="E141" t="s">
        <v>3010</v>
      </c>
      <c r="F141" t="s">
        <v>3024</v>
      </c>
      <c r="G141" t="s">
        <v>3036</v>
      </c>
      <c r="H141" t="s">
        <v>3014</v>
      </c>
      <c r="I141" t="s">
        <v>3014</v>
      </c>
      <c r="J141" t="s">
        <v>3013</v>
      </c>
      <c r="K141" t="s">
        <v>3014</v>
      </c>
      <c r="L141" t="s">
        <v>3315</v>
      </c>
      <c r="M141" t="s">
        <v>3376</v>
      </c>
      <c r="N141" t="s">
        <v>1782</v>
      </c>
      <c r="O141" t="s">
        <v>8473</v>
      </c>
      <c r="P141" t="s">
        <v>8177</v>
      </c>
      <c r="Q141" t="s">
        <v>6320</v>
      </c>
      <c r="T141">
        <v>786</v>
      </c>
    </row>
    <row r="142" spans="1:20">
      <c r="A142" t="s">
        <v>3387</v>
      </c>
      <c r="B142" t="s">
        <v>3388</v>
      </c>
      <c r="C142">
        <v>1149</v>
      </c>
      <c r="D142">
        <v>1149</v>
      </c>
      <c r="E142" t="s">
        <v>3010</v>
      </c>
      <c r="M142" t="s">
        <v>3376</v>
      </c>
      <c r="N142" t="s">
        <v>1782</v>
      </c>
      <c r="O142" t="s">
        <v>8473</v>
      </c>
      <c r="P142" t="s">
        <v>8177</v>
      </c>
      <c r="Q142" t="s">
        <v>6320</v>
      </c>
      <c r="T142">
        <v>786</v>
      </c>
    </row>
    <row r="143" spans="1:20">
      <c r="A143">
        <v>143</v>
      </c>
      <c r="B143" t="s">
        <v>3397</v>
      </c>
      <c r="C143">
        <v>1149</v>
      </c>
      <c r="D143" t="s">
        <v>3396</v>
      </c>
      <c r="E143" t="s">
        <v>3020</v>
      </c>
      <c r="F143" t="s">
        <v>3035</v>
      </c>
      <c r="G143" t="s">
        <v>3012</v>
      </c>
      <c r="H143" t="s">
        <v>3013</v>
      </c>
      <c r="I143" t="s">
        <v>3014</v>
      </c>
      <c r="J143" t="s">
        <v>3013</v>
      </c>
      <c r="K143" t="s">
        <v>3014</v>
      </c>
      <c r="L143" t="s">
        <v>3013</v>
      </c>
      <c r="M143" t="s">
        <v>3398</v>
      </c>
      <c r="N143" t="s">
        <v>1153</v>
      </c>
      <c r="O143" t="s">
        <v>8064</v>
      </c>
      <c r="P143" t="s">
        <v>8064</v>
      </c>
      <c r="Q143">
        <v>0</v>
      </c>
      <c r="T143">
        <v>1075</v>
      </c>
    </row>
    <row r="144" spans="1:20">
      <c r="A144">
        <v>144</v>
      </c>
      <c r="B144" t="s">
        <v>3399</v>
      </c>
      <c r="C144">
        <v>1151</v>
      </c>
      <c r="D144" t="s">
        <v>3400</v>
      </c>
      <c r="E144" t="s">
        <v>3010</v>
      </c>
      <c r="F144" t="s">
        <v>3024</v>
      </c>
      <c r="G144" t="s">
        <v>3024</v>
      </c>
      <c r="H144" t="s">
        <v>3014</v>
      </c>
      <c r="I144" t="s">
        <v>3014</v>
      </c>
      <c r="J144" t="s">
        <v>3014</v>
      </c>
      <c r="K144" t="s">
        <v>3014</v>
      </c>
      <c r="L144" t="s">
        <v>3315</v>
      </c>
      <c r="M144" t="s">
        <v>3401</v>
      </c>
      <c r="N144" t="s">
        <v>1527</v>
      </c>
      <c r="O144" t="s">
        <v>8593</v>
      </c>
      <c r="P144" t="s">
        <v>8298</v>
      </c>
      <c r="Q144" t="s">
        <v>4478</v>
      </c>
      <c r="T144">
        <v>722</v>
      </c>
    </row>
    <row r="145" spans="1:20">
      <c r="A145">
        <v>148</v>
      </c>
      <c r="B145" t="s">
        <v>3409</v>
      </c>
      <c r="C145">
        <v>1152</v>
      </c>
      <c r="D145" t="s">
        <v>3410</v>
      </c>
      <c r="E145" t="s">
        <v>3049</v>
      </c>
      <c r="F145" t="s">
        <v>3035</v>
      </c>
      <c r="G145" t="s">
        <v>3036</v>
      </c>
      <c r="H145" t="s">
        <v>3014</v>
      </c>
      <c r="I145" t="s">
        <v>3014</v>
      </c>
      <c r="J145" t="s">
        <v>3014</v>
      </c>
      <c r="K145" t="s">
        <v>3014</v>
      </c>
      <c r="L145" t="s">
        <v>3315</v>
      </c>
      <c r="M145" t="s">
        <v>3411</v>
      </c>
      <c r="N145" t="s">
        <v>614</v>
      </c>
      <c r="O145" t="s">
        <v>8423</v>
      </c>
      <c r="P145" t="s">
        <v>8127</v>
      </c>
      <c r="Q145" t="s">
        <v>4463</v>
      </c>
      <c r="R145">
        <v>1</v>
      </c>
      <c r="S145">
        <v>1</v>
      </c>
      <c r="T145">
        <v>183</v>
      </c>
    </row>
    <row r="146" spans="1:20">
      <c r="A146">
        <v>147</v>
      </c>
      <c r="B146" t="s">
        <v>3407</v>
      </c>
      <c r="C146">
        <v>1152</v>
      </c>
      <c r="D146" t="s">
        <v>3405</v>
      </c>
      <c r="E146" t="s">
        <v>3010</v>
      </c>
      <c r="F146" t="s">
        <v>3035</v>
      </c>
      <c r="G146" t="s">
        <v>3036</v>
      </c>
      <c r="H146" t="s">
        <v>3013</v>
      </c>
      <c r="I146" t="s">
        <v>3014</v>
      </c>
      <c r="J146" t="s">
        <v>3014</v>
      </c>
      <c r="K146" t="s">
        <v>3014</v>
      </c>
      <c r="L146" t="s">
        <v>3013</v>
      </c>
      <c r="M146" t="s">
        <v>3408</v>
      </c>
      <c r="N146" t="s">
        <v>1853</v>
      </c>
      <c r="O146" t="s">
        <v>8479</v>
      </c>
      <c r="P146" t="s">
        <v>8184</v>
      </c>
      <c r="Q146" t="s">
        <v>4416</v>
      </c>
      <c r="T146">
        <v>852</v>
      </c>
    </row>
    <row r="147" spans="1:20">
      <c r="A147">
        <v>146</v>
      </c>
      <c r="B147" t="s">
        <v>3404</v>
      </c>
      <c r="C147">
        <v>1152</v>
      </c>
      <c r="D147" t="s">
        <v>3405</v>
      </c>
      <c r="E147" t="s">
        <v>3231</v>
      </c>
      <c r="F147" t="s">
        <v>3035</v>
      </c>
      <c r="G147" t="s">
        <v>3036</v>
      </c>
      <c r="H147" t="s">
        <v>3014</v>
      </c>
      <c r="I147" t="s">
        <v>3340</v>
      </c>
      <c r="J147" t="s">
        <v>3014</v>
      </c>
      <c r="K147" t="s">
        <v>3014</v>
      </c>
      <c r="L147" t="s">
        <v>3315</v>
      </c>
      <c r="M147" t="s">
        <v>3406</v>
      </c>
      <c r="N147" t="s">
        <v>1461</v>
      </c>
      <c r="O147" t="s">
        <v>8064</v>
      </c>
      <c r="P147" t="s">
        <v>8064</v>
      </c>
      <c r="Q147">
        <v>0</v>
      </c>
      <c r="T147">
        <v>611</v>
      </c>
    </row>
    <row r="148" spans="1:20">
      <c r="A148">
        <v>145</v>
      </c>
      <c r="B148" t="s">
        <v>3402</v>
      </c>
      <c r="C148">
        <v>1152</v>
      </c>
      <c r="D148">
        <v>1152</v>
      </c>
      <c r="E148" t="s">
        <v>3092</v>
      </c>
      <c r="F148" t="s">
        <v>3035</v>
      </c>
      <c r="G148" t="s">
        <v>3024</v>
      </c>
      <c r="H148" t="s">
        <v>3014</v>
      </c>
      <c r="I148" t="s">
        <v>3014</v>
      </c>
      <c r="J148" t="s">
        <v>3370</v>
      </c>
      <c r="K148" t="s">
        <v>3014</v>
      </c>
      <c r="L148" t="s">
        <v>3358</v>
      </c>
      <c r="M148" t="s">
        <v>3403</v>
      </c>
      <c r="N148" t="s">
        <v>2801</v>
      </c>
      <c r="O148" t="s">
        <v>8064</v>
      </c>
      <c r="P148" t="s">
        <v>8064</v>
      </c>
      <c r="Q148">
        <v>0</v>
      </c>
      <c r="T148">
        <v>1349</v>
      </c>
    </row>
    <row r="149" spans="1:20">
      <c r="A149">
        <v>149</v>
      </c>
      <c r="B149" t="s">
        <v>3412</v>
      </c>
      <c r="C149">
        <v>1153</v>
      </c>
      <c r="D149">
        <v>1153</v>
      </c>
      <c r="E149" t="s">
        <v>3013</v>
      </c>
      <c r="F149" t="s">
        <v>3035</v>
      </c>
      <c r="G149" t="s">
        <v>3024</v>
      </c>
      <c r="H149" t="s">
        <v>3014</v>
      </c>
      <c r="I149" t="s">
        <v>3340</v>
      </c>
      <c r="J149" t="s">
        <v>3014</v>
      </c>
      <c r="K149" t="s">
        <v>3014</v>
      </c>
      <c r="L149" t="s">
        <v>3315</v>
      </c>
      <c r="M149" t="s">
        <v>3406</v>
      </c>
      <c r="N149" t="s">
        <v>1461</v>
      </c>
      <c r="O149" t="s">
        <v>8064</v>
      </c>
      <c r="P149" t="s">
        <v>8064</v>
      </c>
      <c r="Q149">
        <v>0</v>
      </c>
      <c r="T149">
        <v>611</v>
      </c>
    </row>
    <row r="150" spans="1:20">
      <c r="A150">
        <v>150</v>
      </c>
      <c r="B150" t="s">
        <v>3413</v>
      </c>
      <c r="C150">
        <v>1153</v>
      </c>
      <c r="D150" t="s">
        <v>3414</v>
      </c>
      <c r="E150" t="s">
        <v>3010</v>
      </c>
      <c r="F150" t="s">
        <v>3035</v>
      </c>
      <c r="G150" t="s">
        <v>3024</v>
      </c>
      <c r="H150" t="s">
        <v>3014</v>
      </c>
      <c r="I150" t="s">
        <v>3014</v>
      </c>
      <c r="J150" t="s">
        <v>3014</v>
      </c>
      <c r="K150" t="s">
        <v>3013</v>
      </c>
      <c r="L150" t="s">
        <v>3013</v>
      </c>
      <c r="M150" t="s">
        <v>3415</v>
      </c>
      <c r="N150" t="s">
        <v>1528</v>
      </c>
      <c r="O150" t="s">
        <v>8599</v>
      </c>
      <c r="P150" t="s">
        <v>8305</v>
      </c>
      <c r="Q150" t="s">
        <v>7029</v>
      </c>
      <c r="T150">
        <v>723</v>
      </c>
    </row>
    <row r="151" spans="1:20">
      <c r="A151">
        <v>151</v>
      </c>
      <c r="B151" t="s">
        <v>3416</v>
      </c>
      <c r="C151">
        <v>1153</v>
      </c>
      <c r="D151" t="s">
        <v>3417</v>
      </c>
      <c r="E151" t="s">
        <v>3010</v>
      </c>
      <c r="F151" t="s">
        <v>3035</v>
      </c>
      <c r="G151" t="s">
        <v>3036</v>
      </c>
      <c r="H151" t="s">
        <v>3014</v>
      </c>
      <c r="I151" t="s">
        <v>3014</v>
      </c>
      <c r="J151" t="s">
        <v>3014</v>
      </c>
      <c r="K151" t="s">
        <v>3014</v>
      </c>
      <c r="L151" t="s">
        <v>3014</v>
      </c>
      <c r="M151" t="s">
        <v>3418</v>
      </c>
      <c r="N151" t="s">
        <v>3418</v>
      </c>
      <c r="O151" t="s">
        <v>8566</v>
      </c>
      <c r="P151" t="s">
        <v>8326</v>
      </c>
      <c r="Q151" t="s">
        <v>5098</v>
      </c>
      <c r="T151">
        <v>1145</v>
      </c>
    </row>
    <row r="152" spans="1:20">
      <c r="A152">
        <v>152</v>
      </c>
      <c r="B152" t="s">
        <v>3419</v>
      </c>
      <c r="C152">
        <v>1153</v>
      </c>
      <c r="D152" t="s">
        <v>3417</v>
      </c>
      <c r="E152" t="s">
        <v>3020</v>
      </c>
      <c r="F152" t="s">
        <v>3035</v>
      </c>
      <c r="G152" t="s">
        <v>3036</v>
      </c>
      <c r="H152" t="s">
        <v>3014</v>
      </c>
      <c r="I152" t="s">
        <v>3014</v>
      </c>
      <c r="J152" t="s">
        <v>3014</v>
      </c>
      <c r="K152" t="s">
        <v>3014</v>
      </c>
      <c r="L152" t="s">
        <v>3315</v>
      </c>
      <c r="M152" t="s">
        <v>3420</v>
      </c>
      <c r="N152" t="s">
        <v>3420</v>
      </c>
      <c r="O152" t="s">
        <v>8064</v>
      </c>
      <c r="P152" t="s">
        <v>8064</v>
      </c>
      <c r="Q152">
        <v>0</v>
      </c>
      <c r="T152">
        <v>1150</v>
      </c>
    </row>
    <row r="153" spans="1:20">
      <c r="A153">
        <v>156</v>
      </c>
      <c r="B153" t="s">
        <v>3428</v>
      </c>
      <c r="C153">
        <v>1154</v>
      </c>
      <c r="D153" t="s">
        <v>3429</v>
      </c>
      <c r="E153" t="s">
        <v>3010</v>
      </c>
      <c r="F153" t="s">
        <v>3011</v>
      </c>
      <c r="G153" t="s">
        <v>3111</v>
      </c>
      <c r="H153" t="s">
        <v>3014</v>
      </c>
      <c r="I153" t="s">
        <v>3014</v>
      </c>
      <c r="J153" t="s">
        <v>3014</v>
      </c>
      <c r="K153" t="s">
        <v>3014</v>
      </c>
      <c r="L153" t="s">
        <v>3315</v>
      </c>
      <c r="M153" t="s">
        <v>3430</v>
      </c>
      <c r="N153" t="s">
        <v>1529</v>
      </c>
      <c r="O153" t="s">
        <v>8465</v>
      </c>
      <c r="P153" t="s">
        <v>8169</v>
      </c>
      <c r="Q153" t="s">
        <v>6504</v>
      </c>
      <c r="T153">
        <v>724</v>
      </c>
    </row>
    <row r="154" spans="1:20">
      <c r="A154">
        <v>155</v>
      </c>
      <c r="B154" t="s">
        <v>3425</v>
      </c>
      <c r="C154">
        <v>1154</v>
      </c>
      <c r="D154" t="s">
        <v>3426</v>
      </c>
      <c r="E154" t="s">
        <v>3010</v>
      </c>
      <c r="F154" t="s">
        <v>3035</v>
      </c>
      <c r="G154" t="s">
        <v>3036</v>
      </c>
      <c r="H154" t="s">
        <v>3014</v>
      </c>
      <c r="I154" t="s">
        <v>3014</v>
      </c>
      <c r="J154" t="s">
        <v>3014</v>
      </c>
      <c r="K154" t="s">
        <v>3014</v>
      </c>
      <c r="L154" t="s">
        <v>3014</v>
      </c>
      <c r="M154" t="s">
        <v>3427</v>
      </c>
      <c r="N154" t="s">
        <v>1288</v>
      </c>
      <c r="O154" t="s">
        <v>8565</v>
      </c>
      <c r="P154" t="s">
        <v>8270</v>
      </c>
      <c r="Q154" t="s">
        <v>4445</v>
      </c>
      <c r="T154">
        <v>478</v>
      </c>
    </row>
    <row r="155" spans="1:20">
      <c r="A155">
        <v>153</v>
      </c>
      <c r="B155" t="s">
        <v>3421</v>
      </c>
      <c r="C155">
        <v>1154</v>
      </c>
      <c r="D155">
        <v>1154</v>
      </c>
      <c r="E155" t="s">
        <v>3020</v>
      </c>
      <c r="F155" t="s">
        <v>3035</v>
      </c>
      <c r="G155" t="s">
        <v>3036</v>
      </c>
      <c r="H155" t="s">
        <v>3014</v>
      </c>
      <c r="I155" t="s">
        <v>3014</v>
      </c>
      <c r="J155" t="s">
        <v>3014</v>
      </c>
      <c r="K155" t="s">
        <v>3340</v>
      </c>
      <c r="L155" t="s">
        <v>3315</v>
      </c>
      <c r="M155" t="s">
        <v>3422</v>
      </c>
      <c r="N155" t="s">
        <v>1331</v>
      </c>
      <c r="O155" t="s">
        <v>8372</v>
      </c>
      <c r="P155" t="s">
        <v>8076</v>
      </c>
      <c r="Q155" t="s">
        <v>6578</v>
      </c>
      <c r="T155">
        <v>404</v>
      </c>
    </row>
    <row r="156" spans="1:20">
      <c r="A156">
        <v>154</v>
      </c>
      <c r="B156" t="s">
        <v>3423</v>
      </c>
      <c r="C156">
        <v>1154</v>
      </c>
      <c r="D156">
        <v>1154</v>
      </c>
      <c r="E156" t="s">
        <v>3020</v>
      </c>
      <c r="F156" t="s">
        <v>3035</v>
      </c>
      <c r="G156" t="s">
        <v>3036</v>
      </c>
      <c r="H156" t="s">
        <v>3014</v>
      </c>
      <c r="I156" t="s">
        <v>3014</v>
      </c>
      <c r="J156" t="s">
        <v>3014</v>
      </c>
      <c r="K156" t="s">
        <v>3014</v>
      </c>
      <c r="L156" t="s">
        <v>3014</v>
      </c>
      <c r="M156" t="s">
        <v>3424</v>
      </c>
      <c r="N156" t="s">
        <v>1784</v>
      </c>
      <c r="O156" t="s">
        <v>8465</v>
      </c>
      <c r="P156" t="s">
        <v>8169</v>
      </c>
      <c r="Q156" t="s">
        <v>6504</v>
      </c>
      <c r="T156">
        <v>814</v>
      </c>
    </row>
    <row r="157" spans="1:20">
      <c r="A157">
        <v>161</v>
      </c>
      <c r="B157" t="s">
        <v>3439</v>
      </c>
      <c r="C157">
        <v>1155</v>
      </c>
      <c r="D157" t="s">
        <v>3440</v>
      </c>
      <c r="E157" t="s">
        <v>3141</v>
      </c>
      <c r="F157" t="s">
        <v>3035</v>
      </c>
      <c r="G157" t="s">
        <v>3024</v>
      </c>
      <c r="H157" t="s">
        <v>3013</v>
      </c>
      <c r="I157" t="s">
        <v>3014</v>
      </c>
      <c r="J157" t="s">
        <v>3014</v>
      </c>
      <c r="K157" t="s">
        <v>3014</v>
      </c>
      <c r="L157" t="s">
        <v>3358</v>
      </c>
      <c r="M157" t="s">
        <v>3441</v>
      </c>
      <c r="N157" t="s">
        <v>6118</v>
      </c>
      <c r="O157" t="s">
        <v>6808</v>
      </c>
      <c r="P157" t="s">
        <v>6809</v>
      </c>
      <c r="Q157" t="s">
        <v>5719</v>
      </c>
      <c r="T157">
        <v>44</v>
      </c>
    </row>
    <row r="158" spans="1:20">
      <c r="A158">
        <v>162</v>
      </c>
      <c r="B158" t="s">
        <v>3442</v>
      </c>
      <c r="C158">
        <v>1155</v>
      </c>
      <c r="D158" t="s">
        <v>3440</v>
      </c>
      <c r="E158" t="s">
        <v>3141</v>
      </c>
      <c r="F158" t="s">
        <v>3035</v>
      </c>
      <c r="G158" t="s">
        <v>3012</v>
      </c>
      <c r="H158" t="s">
        <v>3014</v>
      </c>
      <c r="I158" t="s">
        <v>3014</v>
      </c>
      <c r="J158" t="s">
        <v>3014</v>
      </c>
      <c r="K158" t="s">
        <v>3014</v>
      </c>
      <c r="L158" t="s">
        <v>3013</v>
      </c>
      <c r="M158" t="s">
        <v>3443</v>
      </c>
      <c r="N158" t="s">
        <v>6120</v>
      </c>
      <c r="O158" t="s">
        <v>6808</v>
      </c>
      <c r="P158" t="s">
        <v>6809</v>
      </c>
      <c r="Q158" t="s">
        <v>5719</v>
      </c>
      <c r="T158">
        <v>45</v>
      </c>
    </row>
    <row r="159" spans="1:20">
      <c r="A159">
        <v>157</v>
      </c>
      <c r="B159" t="s">
        <v>3431</v>
      </c>
      <c r="C159">
        <v>1155</v>
      </c>
      <c r="D159">
        <v>1155</v>
      </c>
      <c r="E159" t="s">
        <v>3023</v>
      </c>
      <c r="F159" t="s">
        <v>3035</v>
      </c>
      <c r="G159" t="s">
        <v>3036</v>
      </c>
      <c r="H159" t="s">
        <v>3014</v>
      </c>
      <c r="I159" t="s">
        <v>3014</v>
      </c>
      <c r="J159" t="s">
        <v>3014</v>
      </c>
      <c r="K159" t="s">
        <v>3014</v>
      </c>
      <c r="L159" t="s">
        <v>3315</v>
      </c>
      <c r="M159" t="s">
        <v>2497</v>
      </c>
      <c r="N159" t="s">
        <v>2497</v>
      </c>
      <c r="O159" t="s">
        <v>8064</v>
      </c>
      <c r="P159" t="s">
        <v>8064</v>
      </c>
      <c r="Q159">
        <v>0</v>
      </c>
      <c r="T159" t="e">
        <v>#N/A</v>
      </c>
    </row>
    <row r="160" spans="1:20">
      <c r="A160">
        <v>158</v>
      </c>
      <c r="B160" t="s">
        <v>3432</v>
      </c>
      <c r="C160">
        <v>1155</v>
      </c>
      <c r="D160" t="s">
        <v>3433</v>
      </c>
      <c r="E160" t="s">
        <v>3023</v>
      </c>
      <c r="F160" t="s">
        <v>3035</v>
      </c>
      <c r="G160" t="s">
        <v>3036</v>
      </c>
      <c r="H160" t="s">
        <v>3340</v>
      </c>
      <c r="I160" t="s">
        <v>3014</v>
      </c>
      <c r="J160" t="s">
        <v>3014</v>
      </c>
      <c r="K160" t="s">
        <v>3014</v>
      </c>
      <c r="L160" t="s">
        <v>3315</v>
      </c>
      <c r="M160" t="s">
        <v>3434</v>
      </c>
      <c r="N160" t="s">
        <v>618</v>
      </c>
      <c r="O160" t="s">
        <v>8064</v>
      </c>
      <c r="P160" t="s">
        <v>8064</v>
      </c>
      <c r="Q160">
        <v>0</v>
      </c>
      <c r="T160">
        <v>102</v>
      </c>
    </row>
    <row r="161" spans="1:20">
      <c r="A161">
        <v>159</v>
      </c>
      <c r="B161" t="s">
        <v>3435</v>
      </c>
      <c r="C161">
        <v>1155</v>
      </c>
      <c r="D161" t="s">
        <v>3433</v>
      </c>
      <c r="E161" t="s">
        <v>3049</v>
      </c>
      <c r="F161" t="s">
        <v>3035</v>
      </c>
      <c r="G161" t="s">
        <v>3036</v>
      </c>
      <c r="H161" t="s">
        <v>3340</v>
      </c>
      <c r="I161" t="s">
        <v>3014</v>
      </c>
      <c r="J161" t="s">
        <v>3340</v>
      </c>
      <c r="K161" t="s">
        <v>3014</v>
      </c>
      <c r="L161" t="s">
        <v>3014</v>
      </c>
      <c r="M161" t="s">
        <v>3436</v>
      </c>
      <c r="N161" t="s">
        <v>911</v>
      </c>
      <c r="O161" t="s">
        <v>8360</v>
      </c>
      <c r="P161" t="s">
        <v>8063</v>
      </c>
      <c r="Q161" t="s">
        <v>6348</v>
      </c>
      <c r="R161">
        <v>1</v>
      </c>
      <c r="S161">
        <v>1</v>
      </c>
      <c r="T161">
        <v>312</v>
      </c>
    </row>
    <row r="162" spans="1:20">
      <c r="A162">
        <v>163</v>
      </c>
      <c r="B162" t="s">
        <v>3444</v>
      </c>
      <c r="C162">
        <v>1156</v>
      </c>
      <c r="D162">
        <v>1156</v>
      </c>
      <c r="E162" t="s">
        <v>3013</v>
      </c>
      <c r="F162" t="s">
        <v>3035</v>
      </c>
      <c r="G162" t="s">
        <v>3036</v>
      </c>
      <c r="H162" t="s">
        <v>3014</v>
      </c>
      <c r="I162" t="s">
        <v>3014</v>
      </c>
      <c r="J162" t="s">
        <v>3014</v>
      </c>
      <c r="K162" t="s">
        <v>3014</v>
      </c>
      <c r="L162" t="s">
        <v>3013</v>
      </c>
      <c r="M162" t="s">
        <v>2498</v>
      </c>
      <c r="N162" t="s">
        <v>2498</v>
      </c>
      <c r="O162" t="s">
        <v>8064</v>
      </c>
      <c r="P162" t="s">
        <v>8064</v>
      </c>
      <c r="Q162">
        <v>0</v>
      </c>
      <c r="T162" t="e">
        <v>#N/A</v>
      </c>
    </row>
    <row r="163" spans="1:20">
      <c r="A163">
        <v>164</v>
      </c>
      <c r="B163" t="s">
        <v>3445</v>
      </c>
      <c r="C163">
        <v>1156</v>
      </c>
      <c r="D163" t="s">
        <v>3446</v>
      </c>
      <c r="E163" t="s">
        <v>3010</v>
      </c>
      <c r="F163" t="s">
        <v>3024</v>
      </c>
      <c r="G163" t="s">
        <v>3024</v>
      </c>
      <c r="H163" t="s">
        <v>3014</v>
      </c>
      <c r="I163" t="s">
        <v>3014</v>
      </c>
      <c r="J163" t="s">
        <v>3014</v>
      </c>
      <c r="K163" t="s">
        <v>3014</v>
      </c>
      <c r="L163" t="s">
        <v>3014</v>
      </c>
      <c r="M163" t="s">
        <v>3447</v>
      </c>
      <c r="N163" t="s">
        <v>1977</v>
      </c>
      <c r="O163" t="s">
        <v>8485</v>
      </c>
      <c r="P163" t="s">
        <v>8189</v>
      </c>
      <c r="Q163" t="s">
        <v>6646</v>
      </c>
      <c r="T163">
        <v>949</v>
      </c>
    </row>
    <row r="164" spans="1:20">
      <c r="A164">
        <v>165</v>
      </c>
      <c r="B164" t="s">
        <v>3448</v>
      </c>
      <c r="C164">
        <v>1156</v>
      </c>
      <c r="D164" t="s">
        <v>3449</v>
      </c>
      <c r="E164" t="s">
        <v>3010</v>
      </c>
      <c r="F164" t="s">
        <v>3035</v>
      </c>
      <c r="G164" t="s">
        <v>3036</v>
      </c>
      <c r="H164" t="s">
        <v>3340</v>
      </c>
      <c r="I164" t="s">
        <v>3014</v>
      </c>
      <c r="J164" t="s">
        <v>3340</v>
      </c>
      <c r="K164" t="s">
        <v>3014</v>
      </c>
      <c r="L164" t="s">
        <v>3358</v>
      </c>
      <c r="M164" t="s">
        <v>3450</v>
      </c>
      <c r="N164" t="s">
        <v>1786</v>
      </c>
      <c r="O164" t="s">
        <v>8473</v>
      </c>
      <c r="P164" t="s">
        <v>8177</v>
      </c>
      <c r="Q164" t="s">
        <v>6320</v>
      </c>
      <c r="T164">
        <v>791</v>
      </c>
    </row>
    <row r="165" spans="1:20">
      <c r="A165">
        <v>166</v>
      </c>
      <c r="B165" t="s">
        <v>3451</v>
      </c>
      <c r="C165">
        <v>1156</v>
      </c>
      <c r="D165" t="s">
        <v>3449</v>
      </c>
      <c r="E165" t="s">
        <v>3010</v>
      </c>
      <c r="F165" t="s">
        <v>3035</v>
      </c>
      <c r="G165" t="s">
        <v>3036</v>
      </c>
      <c r="H165" t="s">
        <v>3014</v>
      </c>
      <c r="I165" t="s">
        <v>3014</v>
      </c>
      <c r="J165" t="s">
        <v>3014</v>
      </c>
      <c r="K165" t="s">
        <v>3340</v>
      </c>
      <c r="L165" t="s">
        <v>3014</v>
      </c>
      <c r="M165" t="s">
        <v>3447</v>
      </c>
      <c r="N165" t="s">
        <v>1977</v>
      </c>
      <c r="O165" t="s">
        <v>8485</v>
      </c>
      <c r="P165" t="s">
        <v>8189</v>
      </c>
      <c r="Q165" t="s">
        <v>6646</v>
      </c>
      <c r="T165">
        <v>949</v>
      </c>
    </row>
    <row r="166" spans="1:20">
      <c r="A166">
        <v>169</v>
      </c>
      <c r="B166" t="s">
        <v>3455</v>
      </c>
      <c r="C166">
        <v>1157</v>
      </c>
      <c r="D166" t="s">
        <v>3456</v>
      </c>
      <c r="E166" t="s">
        <v>3049</v>
      </c>
      <c r="F166" t="s">
        <v>3035</v>
      </c>
      <c r="G166" t="s">
        <v>3111</v>
      </c>
      <c r="H166" t="s">
        <v>3014</v>
      </c>
      <c r="I166" t="s">
        <v>3014</v>
      </c>
      <c r="J166" t="s">
        <v>3014</v>
      </c>
      <c r="K166" t="s">
        <v>3014</v>
      </c>
      <c r="L166" t="s">
        <v>3013</v>
      </c>
      <c r="M166" t="s">
        <v>3457</v>
      </c>
      <c r="N166" t="s">
        <v>906</v>
      </c>
      <c r="O166" t="s">
        <v>8360</v>
      </c>
      <c r="P166" t="s">
        <v>8063</v>
      </c>
      <c r="Q166" t="s">
        <v>6348</v>
      </c>
      <c r="R166">
        <v>1</v>
      </c>
      <c r="S166">
        <v>1</v>
      </c>
      <c r="T166">
        <v>321</v>
      </c>
    </row>
    <row r="167" spans="1:20">
      <c r="A167">
        <v>167</v>
      </c>
      <c r="B167" t="s">
        <v>3452</v>
      </c>
      <c r="C167">
        <v>1157</v>
      </c>
      <c r="D167">
        <v>1157</v>
      </c>
      <c r="E167" t="s">
        <v>3010</v>
      </c>
      <c r="F167" t="s">
        <v>3035</v>
      </c>
      <c r="G167" t="s">
        <v>3036</v>
      </c>
      <c r="H167" t="s">
        <v>3014</v>
      </c>
      <c r="I167" t="s">
        <v>3014</v>
      </c>
      <c r="J167" t="s">
        <v>3014</v>
      </c>
      <c r="K167" t="s">
        <v>3014</v>
      </c>
      <c r="L167" t="s">
        <v>3014</v>
      </c>
      <c r="M167" t="s">
        <v>3450</v>
      </c>
      <c r="N167" t="s">
        <v>1786</v>
      </c>
      <c r="O167" t="s">
        <v>8473</v>
      </c>
      <c r="P167" t="s">
        <v>8177</v>
      </c>
      <c r="Q167" t="s">
        <v>6320</v>
      </c>
      <c r="T167">
        <v>791</v>
      </c>
    </row>
    <row r="168" spans="1:20">
      <c r="A168">
        <v>170</v>
      </c>
      <c r="B168" t="s">
        <v>3458</v>
      </c>
      <c r="C168">
        <v>1157</v>
      </c>
      <c r="D168" t="s">
        <v>3459</v>
      </c>
      <c r="E168" t="s">
        <v>3092</v>
      </c>
      <c r="F168" t="s">
        <v>3024</v>
      </c>
      <c r="G168" t="s">
        <v>3036</v>
      </c>
      <c r="H168" t="s">
        <v>3014</v>
      </c>
      <c r="I168" t="s">
        <v>3014</v>
      </c>
      <c r="J168" t="s">
        <v>3014</v>
      </c>
      <c r="K168" t="s">
        <v>3014</v>
      </c>
      <c r="L168" t="s">
        <v>3315</v>
      </c>
      <c r="M168" t="s">
        <v>3460</v>
      </c>
      <c r="N168" t="s">
        <v>1530</v>
      </c>
      <c r="O168" t="s">
        <v>8598</v>
      </c>
      <c r="P168" t="s">
        <v>8304</v>
      </c>
      <c r="Q168" t="s">
        <v>6474</v>
      </c>
      <c r="T168">
        <v>725</v>
      </c>
    </row>
    <row r="169" spans="1:20">
      <c r="A169">
        <v>168</v>
      </c>
      <c r="B169" t="s">
        <v>3453</v>
      </c>
      <c r="C169">
        <v>1157</v>
      </c>
      <c r="D169">
        <v>1157</v>
      </c>
      <c r="E169" t="s">
        <v>3092</v>
      </c>
      <c r="F169" t="s">
        <v>3035</v>
      </c>
      <c r="G169" t="s">
        <v>3036</v>
      </c>
      <c r="H169" t="s">
        <v>3014</v>
      </c>
      <c r="I169" t="s">
        <v>3014</v>
      </c>
      <c r="J169" t="s">
        <v>3014</v>
      </c>
      <c r="K169" t="s">
        <v>3014</v>
      </c>
      <c r="L169" t="s">
        <v>3014</v>
      </c>
      <c r="M169" t="s">
        <v>3454</v>
      </c>
      <c r="N169" t="s">
        <v>1787</v>
      </c>
      <c r="O169" t="s">
        <v>8385</v>
      </c>
      <c r="P169" t="s">
        <v>8089</v>
      </c>
      <c r="Q169" t="s">
        <v>6493</v>
      </c>
      <c r="T169">
        <v>789</v>
      </c>
    </row>
    <row r="170" spans="1:20">
      <c r="A170">
        <v>172</v>
      </c>
      <c r="B170" t="s">
        <v>3463</v>
      </c>
      <c r="C170">
        <v>1160</v>
      </c>
      <c r="D170" t="s">
        <v>3464</v>
      </c>
      <c r="E170" t="s">
        <v>3010</v>
      </c>
      <c r="F170" t="s">
        <v>3035</v>
      </c>
      <c r="G170" t="s">
        <v>3036</v>
      </c>
      <c r="H170" t="s">
        <v>3014</v>
      </c>
      <c r="I170" t="s">
        <v>3014</v>
      </c>
      <c r="J170" t="s">
        <v>3014</v>
      </c>
      <c r="K170" t="s">
        <v>3014</v>
      </c>
      <c r="L170" t="s">
        <v>3013</v>
      </c>
      <c r="M170" t="s">
        <v>3465</v>
      </c>
      <c r="N170" t="s">
        <v>1780</v>
      </c>
      <c r="O170" t="s">
        <v>8463</v>
      </c>
      <c r="P170" t="s">
        <v>8167</v>
      </c>
      <c r="Q170" t="s">
        <v>4369</v>
      </c>
      <c r="T170">
        <v>759</v>
      </c>
    </row>
    <row r="171" spans="1:20">
      <c r="A171">
        <v>171</v>
      </c>
      <c r="B171" t="s">
        <v>3249</v>
      </c>
      <c r="C171">
        <v>1160</v>
      </c>
      <c r="D171" t="s">
        <v>3461</v>
      </c>
      <c r="E171" t="s">
        <v>3010</v>
      </c>
      <c r="F171" t="s">
        <v>3035</v>
      </c>
      <c r="G171" t="s">
        <v>3024</v>
      </c>
      <c r="H171" t="s">
        <v>3014</v>
      </c>
      <c r="I171" t="s">
        <v>3014</v>
      </c>
      <c r="J171" t="s">
        <v>3014</v>
      </c>
      <c r="K171" t="s">
        <v>3013</v>
      </c>
      <c r="L171" t="s">
        <v>3013</v>
      </c>
      <c r="M171" t="s">
        <v>3462</v>
      </c>
      <c r="N171" t="s">
        <v>1531</v>
      </c>
      <c r="O171" t="s">
        <v>8064</v>
      </c>
      <c r="P171" t="s">
        <v>8064</v>
      </c>
      <c r="Q171">
        <v>0</v>
      </c>
      <c r="T171">
        <v>727</v>
      </c>
    </row>
    <row r="172" spans="1:20">
      <c r="A172">
        <v>175</v>
      </c>
      <c r="B172" t="s">
        <v>3471</v>
      </c>
      <c r="C172">
        <v>1161</v>
      </c>
      <c r="D172" t="s">
        <v>3472</v>
      </c>
      <c r="E172" t="s">
        <v>3049</v>
      </c>
      <c r="F172" t="s">
        <v>3035</v>
      </c>
      <c r="G172" t="s">
        <v>3036</v>
      </c>
      <c r="H172" t="s">
        <v>3014</v>
      </c>
      <c r="I172" t="s">
        <v>3014</v>
      </c>
      <c r="J172" t="s">
        <v>3014</v>
      </c>
      <c r="K172" t="s">
        <v>3014</v>
      </c>
      <c r="L172" t="s">
        <v>3014</v>
      </c>
      <c r="M172" t="s">
        <v>3473</v>
      </c>
      <c r="N172" t="s">
        <v>605</v>
      </c>
      <c r="O172" t="s">
        <v>8445</v>
      </c>
      <c r="P172" t="s">
        <v>8149</v>
      </c>
      <c r="Q172" t="s">
        <v>6366</v>
      </c>
      <c r="R172">
        <v>1</v>
      </c>
      <c r="S172">
        <v>1</v>
      </c>
      <c r="T172">
        <v>233</v>
      </c>
    </row>
    <row r="173" spans="1:20">
      <c r="A173">
        <v>176</v>
      </c>
      <c r="B173" t="s">
        <v>3474</v>
      </c>
      <c r="C173">
        <v>1161</v>
      </c>
      <c r="D173" t="s">
        <v>3472</v>
      </c>
      <c r="E173" t="s">
        <v>3049</v>
      </c>
      <c r="F173" t="s">
        <v>3035</v>
      </c>
      <c r="G173" t="s">
        <v>3036</v>
      </c>
      <c r="H173" t="s">
        <v>3014</v>
      </c>
      <c r="I173" t="s">
        <v>3014</v>
      </c>
      <c r="J173" t="s">
        <v>3014</v>
      </c>
      <c r="K173" t="s">
        <v>3014</v>
      </c>
      <c r="L173" t="s">
        <v>3014</v>
      </c>
      <c r="M173" t="s">
        <v>3475</v>
      </c>
      <c r="N173" t="s">
        <v>607</v>
      </c>
      <c r="O173" t="s">
        <v>8445</v>
      </c>
      <c r="P173" t="s">
        <v>8149</v>
      </c>
      <c r="Q173" t="s">
        <v>6366</v>
      </c>
      <c r="R173">
        <v>1</v>
      </c>
      <c r="S173">
        <v>1</v>
      </c>
      <c r="T173">
        <v>242</v>
      </c>
    </row>
    <row r="174" spans="1:20">
      <c r="A174">
        <v>179</v>
      </c>
      <c r="B174" t="s">
        <v>3480</v>
      </c>
      <c r="C174">
        <v>1161</v>
      </c>
      <c r="D174" t="s">
        <v>3481</v>
      </c>
      <c r="E174" t="s">
        <v>3049</v>
      </c>
      <c r="F174" t="s">
        <v>3035</v>
      </c>
      <c r="G174" t="s">
        <v>3036</v>
      </c>
      <c r="H174" t="s">
        <v>3014</v>
      </c>
      <c r="I174" t="s">
        <v>3340</v>
      </c>
      <c r="J174" t="s">
        <v>3014</v>
      </c>
      <c r="K174" t="s">
        <v>3014</v>
      </c>
      <c r="L174" t="s">
        <v>3014</v>
      </c>
      <c r="M174" t="s">
        <v>3482</v>
      </c>
      <c r="N174" t="s">
        <v>312</v>
      </c>
      <c r="O174" t="s">
        <v>8422</v>
      </c>
      <c r="P174" t="s">
        <v>8126</v>
      </c>
      <c r="Q174" t="s">
        <v>6729</v>
      </c>
      <c r="R174">
        <v>1</v>
      </c>
      <c r="S174">
        <v>1</v>
      </c>
      <c r="T174">
        <v>1206</v>
      </c>
    </row>
    <row r="175" spans="1:20">
      <c r="A175">
        <v>177</v>
      </c>
      <c r="B175" t="s">
        <v>3476</v>
      </c>
      <c r="C175">
        <v>1161</v>
      </c>
      <c r="D175" t="s">
        <v>3472</v>
      </c>
      <c r="E175" t="s">
        <v>3049</v>
      </c>
      <c r="F175" t="s">
        <v>3035</v>
      </c>
      <c r="G175" t="s">
        <v>3036</v>
      </c>
      <c r="H175" t="s">
        <v>3014</v>
      </c>
      <c r="I175" t="s">
        <v>3014</v>
      </c>
      <c r="J175" t="s">
        <v>3014</v>
      </c>
      <c r="K175" t="s">
        <v>3013</v>
      </c>
      <c r="L175" t="s">
        <v>3014</v>
      </c>
      <c r="M175" t="s">
        <v>3477</v>
      </c>
      <c r="N175" t="s">
        <v>305</v>
      </c>
      <c r="O175" t="s">
        <v>8445</v>
      </c>
      <c r="P175" t="s">
        <v>8149</v>
      </c>
      <c r="Q175" t="s">
        <v>6366</v>
      </c>
      <c r="R175">
        <v>1</v>
      </c>
      <c r="S175">
        <v>1</v>
      </c>
      <c r="T175">
        <v>1261</v>
      </c>
    </row>
    <row r="176" spans="1:20">
      <c r="A176">
        <v>178</v>
      </c>
      <c r="B176" t="s">
        <v>3478</v>
      </c>
      <c r="C176">
        <v>1161</v>
      </c>
      <c r="D176" t="s">
        <v>3472</v>
      </c>
      <c r="E176" t="s">
        <v>3049</v>
      </c>
      <c r="F176" t="s">
        <v>3035</v>
      </c>
      <c r="G176" t="s">
        <v>3036</v>
      </c>
      <c r="H176" t="s">
        <v>3014</v>
      </c>
      <c r="I176" t="s">
        <v>3014</v>
      </c>
      <c r="J176" t="s">
        <v>3014</v>
      </c>
      <c r="K176" t="s">
        <v>3014</v>
      </c>
      <c r="L176" t="s">
        <v>3013</v>
      </c>
      <c r="M176" t="s">
        <v>3479</v>
      </c>
      <c r="N176" t="s">
        <v>303</v>
      </c>
      <c r="O176" t="s">
        <v>8445</v>
      </c>
      <c r="P176" t="s">
        <v>8149</v>
      </c>
      <c r="Q176" t="s">
        <v>6366</v>
      </c>
      <c r="R176">
        <v>1</v>
      </c>
      <c r="S176">
        <v>1</v>
      </c>
      <c r="T176">
        <v>1264</v>
      </c>
    </row>
    <row r="177" spans="1:20">
      <c r="A177">
        <v>173</v>
      </c>
      <c r="B177" t="s">
        <v>3466</v>
      </c>
      <c r="C177">
        <v>1161</v>
      </c>
      <c r="D177">
        <v>1161</v>
      </c>
      <c r="E177" t="s">
        <v>3049</v>
      </c>
      <c r="F177" t="s">
        <v>3035</v>
      </c>
      <c r="G177" t="s">
        <v>3036</v>
      </c>
      <c r="H177" t="s">
        <v>3014</v>
      </c>
      <c r="I177" t="s">
        <v>3014</v>
      </c>
      <c r="J177" t="s">
        <v>3014</v>
      </c>
      <c r="K177" t="s">
        <v>3014</v>
      </c>
      <c r="L177" t="s">
        <v>3014</v>
      </c>
      <c r="M177" t="s">
        <v>3467</v>
      </c>
      <c r="N177" t="s">
        <v>8761</v>
      </c>
      <c r="O177" t="s">
        <v>8064</v>
      </c>
      <c r="P177" t="s">
        <v>8064</v>
      </c>
      <c r="Q177" t="e">
        <v>#N/A</v>
      </c>
      <c r="S177">
        <v>1</v>
      </c>
    </row>
    <row r="178" spans="1:20">
      <c r="A178">
        <v>174</v>
      </c>
      <c r="B178" t="s">
        <v>3468</v>
      </c>
      <c r="C178">
        <v>1161</v>
      </c>
      <c r="D178" t="s">
        <v>3469</v>
      </c>
      <c r="E178" t="s">
        <v>3049</v>
      </c>
      <c r="F178" t="s">
        <v>3035</v>
      </c>
      <c r="G178" t="s">
        <v>3036</v>
      </c>
      <c r="H178" t="s">
        <v>3014</v>
      </c>
      <c r="I178" t="s">
        <v>3014</v>
      </c>
      <c r="J178" t="s">
        <v>3014</v>
      </c>
      <c r="K178" t="s">
        <v>3013</v>
      </c>
      <c r="L178" t="s">
        <v>3014</v>
      </c>
      <c r="M178" t="s">
        <v>3470</v>
      </c>
      <c r="N178" t="s">
        <v>8762</v>
      </c>
      <c r="O178" t="s">
        <v>8064</v>
      </c>
      <c r="P178" t="s">
        <v>8064</v>
      </c>
      <c r="Q178" t="e">
        <v>#N/A</v>
      </c>
      <c r="S178">
        <v>1</v>
      </c>
    </row>
    <row r="179" spans="1:20">
      <c r="A179">
        <v>180</v>
      </c>
      <c r="B179" t="s">
        <v>3483</v>
      </c>
      <c r="C179">
        <v>1161</v>
      </c>
      <c r="D179" t="s">
        <v>3484</v>
      </c>
      <c r="E179" t="s">
        <v>3010</v>
      </c>
      <c r="F179" t="s">
        <v>3035</v>
      </c>
      <c r="G179" t="s">
        <v>3036</v>
      </c>
      <c r="H179" t="s">
        <v>3014</v>
      </c>
      <c r="I179" t="s">
        <v>3014</v>
      </c>
      <c r="J179" t="s">
        <v>3013</v>
      </c>
      <c r="K179" t="s">
        <v>3014</v>
      </c>
      <c r="L179" t="s">
        <v>3315</v>
      </c>
      <c r="M179" t="s">
        <v>3485</v>
      </c>
      <c r="N179" t="s">
        <v>1783</v>
      </c>
      <c r="O179" t="s">
        <v>8594</v>
      </c>
      <c r="P179" t="s">
        <v>8299</v>
      </c>
      <c r="Q179" t="s">
        <v>6839</v>
      </c>
      <c r="T179">
        <v>764</v>
      </c>
    </row>
    <row r="180" spans="1:20">
      <c r="A180">
        <v>183</v>
      </c>
      <c r="B180" t="s">
        <v>3490</v>
      </c>
      <c r="C180">
        <v>1162</v>
      </c>
      <c r="D180" t="s">
        <v>8783</v>
      </c>
      <c r="E180" t="s">
        <v>3141</v>
      </c>
      <c r="F180" t="s">
        <v>3035</v>
      </c>
      <c r="G180" t="s">
        <v>3012</v>
      </c>
      <c r="H180" t="s">
        <v>3014</v>
      </c>
      <c r="I180" t="s">
        <v>3014</v>
      </c>
      <c r="J180" t="s">
        <v>3014</v>
      </c>
      <c r="K180" t="s">
        <v>3014</v>
      </c>
      <c r="L180" t="s">
        <v>3358</v>
      </c>
      <c r="M180" t="s">
        <v>3491</v>
      </c>
      <c r="N180" t="s">
        <v>6127</v>
      </c>
      <c r="O180" t="s">
        <v>8064</v>
      </c>
      <c r="P180" t="s">
        <v>8064</v>
      </c>
      <c r="Q180">
        <v>0</v>
      </c>
      <c r="T180">
        <v>51</v>
      </c>
    </row>
    <row r="181" spans="1:20">
      <c r="A181">
        <v>182</v>
      </c>
      <c r="B181" t="s">
        <v>3488</v>
      </c>
      <c r="C181">
        <v>1162</v>
      </c>
      <c r="D181">
        <v>1162</v>
      </c>
      <c r="E181" t="s">
        <v>3141</v>
      </c>
      <c r="F181" t="s">
        <v>3024</v>
      </c>
      <c r="G181" t="s">
        <v>3012</v>
      </c>
      <c r="H181" t="s">
        <v>3014</v>
      </c>
      <c r="I181" t="s">
        <v>3014</v>
      </c>
      <c r="J181" t="s">
        <v>3014</v>
      </c>
      <c r="K181" t="s">
        <v>3014</v>
      </c>
      <c r="L181" t="s">
        <v>3013</v>
      </c>
      <c r="M181" t="s">
        <v>3489</v>
      </c>
      <c r="N181" t="s">
        <v>6036</v>
      </c>
      <c r="O181" t="s">
        <v>8064</v>
      </c>
      <c r="P181" t="s">
        <v>8064</v>
      </c>
      <c r="Q181">
        <v>0</v>
      </c>
      <c r="T181">
        <v>55</v>
      </c>
    </row>
    <row r="182" spans="1:20">
      <c r="A182">
        <v>187</v>
      </c>
      <c r="B182" t="s">
        <v>3499</v>
      </c>
      <c r="C182">
        <v>1162</v>
      </c>
      <c r="D182" t="s">
        <v>3500</v>
      </c>
      <c r="E182" t="s">
        <v>3049</v>
      </c>
      <c r="F182" t="s">
        <v>3035</v>
      </c>
      <c r="G182" t="s">
        <v>3036</v>
      </c>
      <c r="H182" t="s">
        <v>3014</v>
      </c>
      <c r="I182" t="s">
        <v>3014</v>
      </c>
      <c r="J182" t="s">
        <v>3013</v>
      </c>
      <c r="K182" t="s">
        <v>3014</v>
      </c>
      <c r="L182" t="s">
        <v>3013</v>
      </c>
      <c r="M182" t="s">
        <v>3501</v>
      </c>
      <c r="N182" t="s">
        <v>909</v>
      </c>
      <c r="O182" t="s">
        <v>8357</v>
      </c>
      <c r="P182" t="s">
        <v>8060</v>
      </c>
      <c r="Q182" t="s">
        <v>6486</v>
      </c>
      <c r="R182">
        <v>1</v>
      </c>
      <c r="S182">
        <v>1</v>
      </c>
      <c r="T182">
        <v>299</v>
      </c>
    </row>
    <row r="183" spans="1:20">
      <c r="A183">
        <v>184</v>
      </c>
      <c r="B183" t="s">
        <v>3492</v>
      </c>
      <c r="C183">
        <v>1162</v>
      </c>
      <c r="D183" t="s">
        <v>3493</v>
      </c>
      <c r="E183" t="s">
        <v>3049</v>
      </c>
      <c r="F183" t="s">
        <v>3035</v>
      </c>
      <c r="G183" t="s">
        <v>3036</v>
      </c>
      <c r="H183" t="s">
        <v>3013</v>
      </c>
      <c r="I183" t="s">
        <v>3014</v>
      </c>
      <c r="J183" t="s">
        <v>3014</v>
      </c>
      <c r="K183" t="s">
        <v>3014</v>
      </c>
      <c r="L183" t="s">
        <v>3013</v>
      </c>
      <c r="M183" t="s">
        <v>3494</v>
      </c>
      <c r="N183" t="s">
        <v>304</v>
      </c>
      <c r="O183" t="s">
        <v>8445</v>
      </c>
      <c r="P183" t="s">
        <v>8149</v>
      </c>
      <c r="Q183" t="s">
        <v>6366</v>
      </c>
      <c r="R183">
        <v>1</v>
      </c>
      <c r="S183">
        <v>1</v>
      </c>
      <c r="T183">
        <v>1260</v>
      </c>
    </row>
    <row r="184" spans="1:20">
      <c r="A184">
        <v>185</v>
      </c>
      <c r="B184" t="s">
        <v>3495</v>
      </c>
      <c r="C184">
        <v>1162</v>
      </c>
      <c r="D184" t="s">
        <v>3493</v>
      </c>
      <c r="E184" t="s">
        <v>3049</v>
      </c>
      <c r="F184" t="s">
        <v>3035</v>
      </c>
      <c r="G184" t="s">
        <v>3036</v>
      </c>
      <c r="H184" t="s">
        <v>3014</v>
      </c>
      <c r="I184" t="s">
        <v>3014</v>
      </c>
      <c r="J184" t="s">
        <v>3014</v>
      </c>
      <c r="K184" t="s">
        <v>3014</v>
      </c>
      <c r="L184" t="s">
        <v>3014</v>
      </c>
      <c r="M184" t="s">
        <v>3496</v>
      </c>
      <c r="N184" t="s">
        <v>306</v>
      </c>
      <c r="O184" t="s">
        <v>8445</v>
      </c>
      <c r="P184" t="s">
        <v>8149</v>
      </c>
      <c r="Q184" t="s">
        <v>6366</v>
      </c>
      <c r="R184">
        <v>1</v>
      </c>
      <c r="S184">
        <v>1</v>
      </c>
      <c r="T184">
        <v>1262</v>
      </c>
    </row>
    <row r="185" spans="1:20">
      <c r="A185">
        <v>186</v>
      </c>
      <c r="B185" t="s">
        <v>3497</v>
      </c>
      <c r="C185">
        <v>1162</v>
      </c>
      <c r="D185" t="s">
        <v>3493</v>
      </c>
      <c r="E185" t="s">
        <v>3049</v>
      </c>
      <c r="F185" t="s">
        <v>3035</v>
      </c>
      <c r="G185" t="s">
        <v>3036</v>
      </c>
      <c r="H185" t="s">
        <v>3014</v>
      </c>
      <c r="I185" t="s">
        <v>3013</v>
      </c>
      <c r="J185" t="s">
        <v>3014</v>
      </c>
      <c r="K185" t="s">
        <v>3014</v>
      </c>
      <c r="L185" t="s">
        <v>3013</v>
      </c>
      <c r="M185" t="s">
        <v>3498</v>
      </c>
      <c r="N185" t="s">
        <v>307</v>
      </c>
      <c r="O185" t="s">
        <v>8445</v>
      </c>
      <c r="P185" t="s">
        <v>8149</v>
      </c>
      <c r="Q185" t="s">
        <v>6366</v>
      </c>
      <c r="R185">
        <v>1</v>
      </c>
      <c r="S185">
        <v>1</v>
      </c>
      <c r="T185">
        <v>1263</v>
      </c>
    </row>
    <row r="186" spans="1:20">
      <c r="A186">
        <v>181</v>
      </c>
      <c r="B186" t="s">
        <v>3486</v>
      </c>
      <c r="C186">
        <v>1162</v>
      </c>
      <c r="D186">
        <v>1162</v>
      </c>
      <c r="E186" t="s">
        <v>3231</v>
      </c>
      <c r="F186" t="s">
        <v>3035</v>
      </c>
      <c r="G186" t="s">
        <v>3024</v>
      </c>
      <c r="H186" t="s">
        <v>3014</v>
      </c>
      <c r="I186" t="s">
        <v>3014</v>
      </c>
      <c r="J186" t="s">
        <v>3014</v>
      </c>
      <c r="K186" t="s">
        <v>3014</v>
      </c>
      <c r="L186" t="s">
        <v>3013</v>
      </c>
      <c r="M186" t="s">
        <v>3487</v>
      </c>
      <c r="N186" t="s">
        <v>1293</v>
      </c>
      <c r="O186" t="s">
        <v>8064</v>
      </c>
      <c r="P186" t="s">
        <v>8064</v>
      </c>
      <c r="Q186">
        <v>0</v>
      </c>
      <c r="T186">
        <v>479</v>
      </c>
    </row>
    <row r="187" spans="1:20">
      <c r="A187">
        <v>188</v>
      </c>
      <c r="B187" t="s">
        <v>3502</v>
      </c>
      <c r="C187">
        <v>1162</v>
      </c>
      <c r="D187" t="s">
        <v>3503</v>
      </c>
      <c r="E187" t="s">
        <v>3504</v>
      </c>
      <c r="F187" t="s">
        <v>3035</v>
      </c>
      <c r="G187" t="s">
        <v>3012</v>
      </c>
      <c r="H187" t="s">
        <v>3014</v>
      </c>
      <c r="I187" t="s">
        <v>3014</v>
      </c>
      <c r="J187" t="s">
        <v>3014</v>
      </c>
      <c r="K187" t="s">
        <v>3014</v>
      </c>
      <c r="L187" t="s">
        <v>3358</v>
      </c>
      <c r="M187" t="s">
        <v>3505</v>
      </c>
      <c r="N187" t="s">
        <v>8780</v>
      </c>
      <c r="O187" t="s">
        <v>8064</v>
      </c>
      <c r="P187" t="s">
        <v>8064</v>
      </c>
      <c r="Q187" t="e">
        <v>#N/A</v>
      </c>
      <c r="T187" t="e">
        <v>#N/A</v>
      </c>
    </row>
    <row r="188" spans="1:20">
      <c r="A188">
        <v>189</v>
      </c>
      <c r="B188" t="s">
        <v>3506</v>
      </c>
      <c r="C188">
        <v>1162</v>
      </c>
      <c r="D188" t="s">
        <v>3503</v>
      </c>
      <c r="E188" t="s">
        <v>3504</v>
      </c>
      <c r="F188" t="s">
        <v>3035</v>
      </c>
      <c r="G188" t="s">
        <v>3012</v>
      </c>
      <c r="H188" t="s">
        <v>3014</v>
      </c>
      <c r="I188" t="s">
        <v>3014</v>
      </c>
      <c r="J188" t="s">
        <v>3014</v>
      </c>
      <c r="K188" t="s">
        <v>3014</v>
      </c>
      <c r="L188" t="s">
        <v>3315</v>
      </c>
      <c r="M188" t="s">
        <v>3507</v>
      </c>
      <c r="N188" t="s">
        <v>5963</v>
      </c>
      <c r="O188" t="s">
        <v>8064</v>
      </c>
      <c r="P188" t="s">
        <v>8064</v>
      </c>
      <c r="Q188">
        <v>0</v>
      </c>
      <c r="T188">
        <v>1298</v>
      </c>
    </row>
    <row r="189" spans="1:20">
      <c r="A189">
        <v>190</v>
      </c>
      <c r="B189" t="s">
        <v>3508</v>
      </c>
      <c r="C189">
        <v>1162</v>
      </c>
      <c r="D189" t="s">
        <v>3503</v>
      </c>
      <c r="E189" t="s">
        <v>3504</v>
      </c>
      <c r="F189" t="s">
        <v>3035</v>
      </c>
      <c r="G189" t="s">
        <v>3012</v>
      </c>
      <c r="H189" t="s">
        <v>3014</v>
      </c>
      <c r="I189" t="s">
        <v>3014</v>
      </c>
      <c r="J189" t="s">
        <v>3014</v>
      </c>
      <c r="K189" t="s">
        <v>3014</v>
      </c>
      <c r="L189" t="s">
        <v>3315</v>
      </c>
      <c r="M189" t="s">
        <v>3509</v>
      </c>
      <c r="N189" t="s">
        <v>5964</v>
      </c>
      <c r="O189" t="s">
        <v>8064</v>
      </c>
      <c r="P189" t="s">
        <v>8064</v>
      </c>
      <c r="Q189">
        <v>0</v>
      </c>
      <c r="T189">
        <v>1299</v>
      </c>
    </row>
    <row r="190" spans="1:20">
      <c r="A190">
        <v>191</v>
      </c>
      <c r="B190" t="s">
        <v>3510</v>
      </c>
      <c r="C190">
        <v>1163</v>
      </c>
      <c r="D190">
        <v>1163</v>
      </c>
      <c r="E190" t="s">
        <v>3023</v>
      </c>
      <c r="F190" t="s">
        <v>3035</v>
      </c>
      <c r="G190" t="s">
        <v>3036</v>
      </c>
      <c r="H190" t="s">
        <v>3014</v>
      </c>
      <c r="I190" t="s">
        <v>3014</v>
      </c>
      <c r="J190" t="s">
        <v>3014</v>
      </c>
      <c r="K190" t="s">
        <v>3014</v>
      </c>
      <c r="L190" t="s">
        <v>3013</v>
      </c>
      <c r="M190" t="s">
        <v>3511</v>
      </c>
      <c r="N190" t="s">
        <v>8763</v>
      </c>
      <c r="O190" t="s">
        <v>8064</v>
      </c>
      <c r="P190" t="s">
        <v>8064</v>
      </c>
      <c r="Q190" t="e">
        <v>#N/A</v>
      </c>
      <c r="T190" t="e">
        <v>#N/A</v>
      </c>
    </row>
    <row r="191" spans="1:20">
      <c r="A191">
        <v>197</v>
      </c>
      <c r="B191" t="s">
        <v>3521</v>
      </c>
      <c r="C191">
        <v>1163</v>
      </c>
      <c r="D191" t="s">
        <v>3522</v>
      </c>
      <c r="E191" t="s">
        <v>3010</v>
      </c>
      <c r="F191" t="s">
        <v>3035</v>
      </c>
      <c r="G191" t="s">
        <v>3036</v>
      </c>
      <c r="H191" t="s">
        <v>3013</v>
      </c>
      <c r="I191" t="s">
        <v>3014</v>
      </c>
      <c r="J191" t="s">
        <v>3014</v>
      </c>
      <c r="K191" t="s">
        <v>3014</v>
      </c>
      <c r="L191" t="s">
        <v>3013</v>
      </c>
      <c r="M191" t="s">
        <v>3523</v>
      </c>
      <c r="N191" t="s">
        <v>313</v>
      </c>
      <c r="O191" t="s">
        <v>8064</v>
      </c>
      <c r="P191" t="s">
        <v>8064</v>
      </c>
      <c r="Q191">
        <v>0</v>
      </c>
      <c r="T191">
        <v>1273</v>
      </c>
    </row>
    <row r="192" spans="1:20">
      <c r="A192">
        <v>192</v>
      </c>
      <c r="B192" t="s">
        <v>3512</v>
      </c>
      <c r="C192">
        <v>1163</v>
      </c>
      <c r="D192" t="s">
        <v>3513</v>
      </c>
      <c r="E192" t="s">
        <v>3231</v>
      </c>
      <c r="F192" t="s">
        <v>3035</v>
      </c>
      <c r="G192" t="s">
        <v>3036</v>
      </c>
      <c r="H192" t="s">
        <v>3014</v>
      </c>
      <c r="I192" t="s">
        <v>3014</v>
      </c>
      <c r="J192" t="s">
        <v>3014</v>
      </c>
      <c r="K192" t="s">
        <v>3340</v>
      </c>
      <c r="L192" t="s">
        <v>3014</v>
      </c>
      <c r="M192" t="s">
        <v>3485</v>
      </c>
      <c r="N192" t="s">
        <v>1783</v>
      </c>
      <c r="O192" t="s">
        <v>8594</v>
      </c>
      <c r="P192" t="s">
        <v>8299</v>
      </c>
      <c r="Q192" t="s">
        <v>6839</v>
      </c>
      <c r="T192">
        <v>764</v>
      </c>
    </row>
    <row r="193" spans="1:20">
      <c r="A193">
        <v>194</v>
      </c>
      <c r="B193" t="s">
        <v>3517</v>
      </c>
      <c r="C193">
        <v>1163</v>
      </c>
      <c r="D193" t="s">
        <v>3513</v>
      </c>
      <c r="E193" t="s">
        <v>3231</v>
      </c>
      <c r="F193" t="s">
        <v>3035</v>
      </c>
      <c r="G193" t="s">
        <v>3036</v>
      </c>
      <c r="H193" t="s">
        <v>3014</v>
      </c>
      <c r="I193" t="s">
        <v>3014</v>
      </c>
      <c r="J193" t="s">
        <v>3014</v>
      </c>
      <c r="K193" t="s">
        <v>3340</v>
      </c>
      <c r="L193" t="s">
        <v>3014</v>
      </c>
      <c r="M193" t="s">
        <v>3516</v>
      </c>
      <c r="N193" t="s">
        <v>1785</v>
      </c>
      <c r="O193" t="s">
        <v>8064</v>
      </c>
      <c r="P193" t="s">
        <v>8064</v>
      </c>
      <c r="Q193">
        <v>0</v>
      </c>
      <c r="T193">
        <v>796</v>
      </c>
    </row>
    <row r="194" spans="1:20">
      <c r="A194">
        <v>195</v>
      </c>
      <c r="B194" t="s">
        <v>3518</v>
      </c>
      <c r="C194">
        <v>1163</v>
      </c>
      <c r="D194" t="s">
        <v>3513</v>
      </c>
      <c r="E194" t="s">
        <v>3231</v>
      </c>
      <c r="F194" t="s">
        <v>3035</v>
      </c>
      <c r="G194" t="s">
        <v>3036</v>
      </c>
      <c r="H194" t="s">
        <v>3014</v>
      </c>
      <c r="I194" t="s">
        <v>3014</v>
      </c>
      <c r="J194" t="s">
        <v>3014</v>
      </c>
      <c r="K194" t="s">
        <v>3014</v>
      </c>
      <c r="L194" t="s">
        <v>3014</v>
      </c>
      <c r="M194" t="s">
        <v>3424</v>
      </c>
      <c r="N194" t="s">
        <v>1784</v>
      </c>
      <c r="O194" t="s">
        <v>8465</v>
      </c>
      <c r="P194" t="s">
        <v>8169</v>
      </c>
      <c r="Q194" t="s">
        <v>6504</v>
      </c>
      <c r="T194">
        <v>814</v>
      </c>
    </row>
    <row r="195" spans="1:20">
      <c r="A195">
        <v>196</v>
      </c>
      <c r="B195" t="s">
        <v>3519</v>
      </c>
      <c r="C195">
        <v>1163</v>
      </c>
      <c r="D195" t="s">
        <v>3513</v>
      </c>
      <c r="E195" t="s">
        <v>3231</v>
      </c>
      <c r="F195" t="s">
        <v>3035</v>
      </c>
      <c r="G195" t="s">
        <v>3036</v>
      </c>
      <c r="H195" t="s">
        <v>3013</v>
      </c>
      <c r="I195" t="s">
        <v>3340</v>
      </c>
      <c r="J195" t="s">
        <v>3014</v>
      </c>
      <c r="K195" t="s">
        <v>3340</v>
      </c>
      <c r="L195" t="s">
        <v>3315</v>
      </c>
      <c r="M195" t="s">
        <v>3520</v>
      </c>
      <c r="N195" t="s">
        <v>1852</v>
      </c>
      <c r="O195" t="s">
        <v>8064</v>
      </c>
      <c r="P195" t="s">
        <v>8064</v>
      </c>
      <c r="Q195">
        <v>0</v>
      </c>
      <c r="T195">
        <v>855</v>
      </c>
    </row>
    <row r="196" spans="1:20">
      <c r="A196">
        <v>198</v>
      </c>
      <c r="B196" t="s">
        <v>3524</v>
      </c>
      <c r="C196">
        <v>1163</v>
      </c>
      <c r="D196" t="s">
        <v>3525</v>
      </c>
      <c r="E196" t="s">
        <v>3231</v>
      </c>
      <c r="F196" t="s">
        <v>3035</v>
      </c>
      <c r="G196" t="s">
        <v>3036</v>
      </c>
      <c r="H196" t="s">
        <v>3340</v>
      </c>
      <c r="I196" t="s">
        <v>3014</v>
      </c>
      <c r="J196" t="s">
        <v>3014</v>
      </c>
      <c r="K196" t="s">
        <v>3014</v>
      </c>
      <c r="L196" t="s">
        <v>3013</v>
      </c>
      <c r="M196" t="s">
        <v>3526</v>
      </c>
      <c r="N196" t="s">
        <v>1976</v>
      </c>
      <c r="O196" t="s">
        <v>8064</v>
      </c>
      <c r="P196" t="s">
        <v>8064</v>
      </c>
      <c r="Q196">
        <v>0</v>
      </c>
      <c r="T196">
        <v>998</v>
      </c>
    </row>
    <row r="197" spans="1:20">
      <c r="A197">
        <v>193</v>
      </c>
      <c r="B197" t="s">
        <v>3514</v>
      </c>
      <c r="C197">
        <v>1163</v>
      </c>
      <c r="D197" t="s">
        <v>3513</v>
      </c>
      <c r="E197" t="s">
        <v>3515</v>
      </c>
      <c r="F197" t="s">
        <v>3035</v>
      </c>
      <c r="G197" t="s">
        <v>3036</v>
      </c>
      <c r="H197" t="s">
        <v>3340</v>
      </c>
      <c r="I197" t="s">
        <v>3014</v>
      </c>
      <c r="J197" t="s">
        <v>3014</v>
      </c>
      <c r="K197" t="s">
        <v>3014</v>
      </c>
      <c r="L197" t="s">
        <v>3014</v>
      </c>
      <c r="M197" t="s">
        <v>3516</v>
      </c>
      <c r="N197" t="s">
        <v>1785</v>
      </c>
      <c r="O197" t="s">
        <v>8064</v>
      </c>
      <c r="P197" t="s">
        <v>8064</v>
      </c>
      <c r="Q197">
        <v>0</v>
      </c>
      <c r="T197">
        <v>796</v>
      </c>
    </row>
    <row r="198" spans="1:20">
      <c r="A198">
        <v>201</v>
      </c>
      <c r="B198" t="s">
        <v>3532</v>
      </c>
      <c r="C198">
        <v>1164</v>
      </c>
      <c r="D198" t="s">
        <v>3533</v>
      </c>
      <c r="E198" t="s">
        <v>3049</v>
      </c>
      <c r="F198" t="s">
        <v>3035</v>
      </c>
      <c r="G198" t="s">
        <v>3036</v>
      </c>
      <c r="H198" t="s">
        <v>3014</v>
      </c>
      <c r="I198" t="s">
        <v>3014</v>
      </c>
      <c r="J198" t="s">
        <v>3014</v>
      </c>
      <c r="K198" t="s">
        <v>3014</v>
      </c>
      <c r="L198" t="s">
        <v>3315</v>
      </c>
      <c r="M198" t="s">
        <v>3534</v>
      </c>
      <c r="N198" t="s">
        <v>917</v>
      </c>
      <c r="O198" t="s">
        <v>8360</v>
      </c>
      <c r="P198" t="s">
        <v>8063</v>
      </c>
      <c r="Q198" t="s">
        <v>6348</v>
      </c>
      <c r="R198">
        <v>1</v>
      </c>
      <c r="S198">
        <v>1</v>
      </c>
      <c r="T198">
        <v>252</v>
      </c>
    </row>
    <row r="199" spans="1:20">
      <c r="A199">
        <v>199</v>
      </c>
      <c r="B199" t="s">
        <v>3527</v>
      </c>
      <c r="C199">
        <v>1164</v>
      </c>
      <c r="D199">
        <v>1164</v>
      </c>
      <c r="E199" t="s">
        <v>3010</v>
      </c>
      <c r="F199" t="s">
        <v>3035</v>
      </c>
      <c r="G199" t="s">
        <v>3036</v>
      </c>
      <c r="H199" t="s">
        <v>3340</v>
      </c>
      <c r="I199" t="s">
        <v>3014</v>
      </c>
      <c r="J199" t="s">
        <v>3014</v>
      </c>
      <c r="K199" t="s">
        <v>3014</v>
      </c>
      <c r="L199" t="s">
        <v>3013</v>
      </c>
      <c r="M199" t="s">
        <v>3528</v>
      </c>
      <c r="N199" t="s">
        <v>1462</v>
      </c>
      <c r="O199" t="s">
        <v>8577</v>
      </c>
      <c r="P199" t="s">
        <v>8282</v>
      </c>
      <c r="Q199" t="s">
        <v>6377</v>
      </c>
      <c r="T199">
        <v>548</v>
      </c>
    </row>
    <row r="200" spans="1:20">
      <c r="A200">
        <v>202</v>
      </c>
      <c r="B200" t="s">
        <v>3535</v>
      </c>
      <c r="C200">
        <v>1164</v>
      </c>
      <c r="D200" t="s">
        <v>3536</v>
      </c>
      <c r="E200" t="s">
        <v>3020</v>
      </c>
      <c r="F200" t="s">
        <v>3035</v>
      </c>
      <c r="G200" t="s">
        <v>3024</v>
      </c>
      <c r="H200" t="s">
        <v>3013</v>
      </c>
      <c r="I200" t="s">
        <v>3014</v>
      </c>
      <c r="J200" t="s">
        <v>3014</v>
      </c>
      <c r="K200" t="s">
        <v>3014</v>
      </c>
      <c r="L200" t="s">
        <v>3013</v>
      </c>
      <c r="M200" t="s">
        <v>3537</v>
      </c>
      <c r="N200" t="s">
        <v>3537</v>
      </c>
      <c r="O200" t="s">
        <v>8064</v>
      </c>
      <c r="P200" t="s">
        <v>8064</v>
      </c>
      <c r="Q200">
        <v>0</v>
      </c>
      <c r="T200">
        <v>1149</v>
      </c>
    </row>
    <row r="201" spans="1:20">
      <c r="A201">
        <v>200</v>
      </c>
      <c r="B201" t="s">
        <v>3529</v>
      </c>
      <c r="C201">
        <v>1164</v>
      </c>
      <c r="D201" t="s">
        <v>3530</v>
      </c>
      <c r="E201" t="s">
        <v>3020</v>
      </c>
      <c r="F201" t="s">
        <v>3035</v>
      </c>
      <c r="G201" t="s">
        <v>3036</v>
      </c>
      <c r="H201" t="s">
        <v>3340</v>
      </c>
      <c r="I201" t="s">
        <v>3014</v>
      </c>
      <c r="J201" t="s">
        <v>3340</v>
      </c>
      <c r="K201" t="s">
        <v>3340</v>
      </c>
      <c r="L201" t="s">
        <v>3014</v>
      </c>
      <c r="M201" t="s">
        <v>3531</v>
      </c>
      <c r="N201" t="s">
        <v>308</v>
      </c>
      <c r="O201" t="s">
        <v>8508</v>
      </c>
      <c r="P201" t="s">
        <v>8214</v>
      </c>
      <c r="Q201" t="s">
        <v>61</v>
      </c>
      <c r="T201">
        <v>1185</v>
      </c>
    </row>
    <row r="202" spans="1:20">
      <c r="A202">
        <v>203</v>
      </c>
      <c r="B202" t="s">
        <v>3538</v>
      </c>
      <c r="C202">
        <v>1166</v>
      </c>
      <c r="D202" t="s">
        <v>3539</v>
      </c>
      <c r="E202" t="s">
        <v>3049</v>
      </c>
      <c r="F202" t="s">
        <v>3035</v>
      </c>
      <c r="G202" t="s">
        <v>3036</v>
      </c>
      <c r="H202" t="s">
        <v>3014</v>
      </c>
      <c r="I202" t="s">
        <v>3014</v>
      </c>
      <c r="J202" t="s">
        <v>3340</v>
      </c>
      <c r="K202" t="s">
        <v>3014</v>
      </c>
      <c r="L202" t="s">
        <v>3315</v>
      </c>
      <c r="M202" t="s">
        <v>3540</v>
      </c>
      <c r="N202" t="s">
        <v>316</v>
      </c>
      <c r="O202" t="s">
        <v>8064</v>
      </c>
      <c r="P202" t="s">
        <v>8064</v>
      </c>
      <c r="Q202">
        <v>0</v>
      </c>
      <c r="S202">
        <v>1</v>
      </c>
      <c r="T202">
        <v>1201</v>
      </c>
    </row>
    <row r="203" spans="1:20">
      <c r="A203">
        <v>216</v>
      </c>
      <c r="B203" t="s">
        <v>3566</v>
      </c>
      <c r="C203">
        <v>1167</v>
      </c>
      <c r="D203" t="s">
        <v>3567</v>
      </c>
      <c r="E203" t="s">
        <v>3141</v>
      </c>
      <c r="F203" t="s">
        <v>3035</v>
      </c>
      <c r="G203" t="s">
        <v>3024</v>
      </c>
      <c r="H203" t="s">
        <v>3014</v>
      </c>
      <c r="I203" t="s">
        <v>3014</v>
      </c>
      <c r="J203" t="s">
        <v>3014</v>
      </c>
      <c r="K203" t="s">
        <v>3014</v>
      </c>
      <c r="L203" t="s">
        <v>3358</v>
      </c>
      <c r="M203" t="s">
        <v>3568</v>
      </c>
      <c r="N203" t="s">
        <v>6116</v>
      </c>
      <c r="O203" t="s">
        <v>8543</v>
      </c>
      <c r="P203" t="s">
        <v>8249</v>
      </c>
      <c r="Q203" t="s">
        <v>5642</v>
      </c>
      <c r="T203">
        <v>57</v>
      </c>
    </row>
    <row r="204" spans="1:20">
      <c r="A204">
        <v>208</v>
      </c>
      <c r="B204" t="s">
        <v>3548</v>
      </c>
      <c r="C204">
        <v>1167</v>
      </c>
      <c r="D204" t="s">
        <v>3549</v>
      </c>
      <c r="E204" t="s">
        <v>3049</v>
      </c>
      <c r="F204" t="s">
        <v>3035</v>
      </c>
      <c r="G204" t="s">
        <v>3036</v>
      </c>
      <c r="H204" t="s">
        <v>3340</v>
      </c>
      <c r="I204" t="s">
        <v>3014</v>
      </c>
      <c r="J204" t="s">
        <v>3340</v>
      </c>
      <c r="K204" t="s">
        <v>3014</v>
      </c>
      <c r="L204" t="s">
        <v>3013</v>
      </c>
      <c r="M204" t="s">
        <v>3550</v>
      </c>
      <c r="N204" t="s">
        <v>314</v>
      </c>
      <c r="O204" t="s">
        <v>8408</v>
      </c>
      <c r="P204" t="s">
        <v>8059</v>
      </c>
      <c r="Q204" t="s">
        <v>6419</v>
      </c>
      <c r="R204">
        <v>1</v>
      </c>
      <c r="S204">
        <v>1</v>
      </c>
      <c r="T204">
        <v>1173</v>
      </c>
    </row>
    <row r="205" spans="1:20">
      <c r="A205">
        <v>207</v>
      </c>
      <c r="B205" t="s">
        <v>3546</v>
      </c>
      <c r="C205">
        <v>1167</v>
      </c>
      <c r="D205">
        <v>1167</v>
      </c>
      <c r="E205" t="s">
        <v>3049</v>
      </c>
      <c r="F205" t="s">
        <v>3035</v>
      </c>
      <c r="G205" t="s">
        <v>3111</v>
      </c>
      <c r="H205" t="s">
        <v>3014</v>
      </c>
      <c r="I205" t="s">
        <v>3014</v>
      </c>
      <c r="J205" t="s">
        <v>3014</v>
      </c>
      <c r="K205" t="s">
        <v>3014</v>
      </c>
      <c r="L205" t="s">
        <v>3014</v>
      </c>
      <c r="M205" t="s">
        <v>3547</v>
      </c>
      <c r="N205" t="s">
        <v>8764</v>
      </c>
      <c r="O205" t="s">
        <v>8064</v>
      </c>
      <c r="P205" t="s">
        <v>8064</v>
      </c>
      <c r="Q205" t="e">
        <v>#N/A</v>
      </c>
      <c r="S205">
        <v>1</v>
      </c>
    </row>
    <row r="206" spans="1:20">
      <c r="A206">
        <v>209</v>
      </c>
      <c r="B206" t="s">
        <v>3551</v>
      </c>
      <c r="C206">
        <v>1167</v>
      </c>
      <c r="D206" t="s">
        <v>3552</v>
      </c>
      <c r="E206" t="s">
        <v>3010</v>
      </c>
      <c r="F206" t="s">
        <v>3035</v>
      </c>
      <c r="G206" t="s">
        <v>3111</v>
      </c>
      <c r="H206" t="s">
        <v>3340</v>
      </c>
      <c r="I206" t="s">
        <v>3370</v>
      </c>
      <c r="J206" t="s">
        <v>3014</v>
      </c>
      <c r="K206" t="s">
        <v>3014</v>
      </c>
      <c r="L206" t="s">
        <v>3315</v>
      </c>
      <c r="M206" t="s">
        <v>3553</v>
      </c>
      <c r="N206" t="s">
        <v>920</v>
      </c>
      <c r="O206" t="s">
        <v>8364</v>
      </c>
      <c r="P206" t="s">
        <v>8069</v>
      </c>
      <c r="Q206" t="s">
        <v>4502</v>
      </c>
      <c r="T206">
        <v>303</v>
      </c>
    </row>
    <row r="207" spans="1:20">
      <c r="A207">
        <v>210</v>
      </c>
      <c r="B207" t="s">
        <v>3554</v>
      </c>
      <c r="C207">
        <v>1167</v>
      </c>
      <c r="D207" t="s">
        <v>3552</v>
      </c>
      <c r="E207" t="s">
        <v>3010</v>
      </c>
      <c r="F207" t="s">
        <v>3035</v>
      </c>
      <c r="G207" t="s">
        <v>3036</v>
      </c>
      <c r="H207" t="s">
        <v>3014</v>
      </c>
      <c r="I207" t="s">
        <v>3014</v>
      </c>
      <c r="J207" t="s">
        <v>3014</v>
      </c>
      <c r="K207" t="s">
        <v>3340</v>
      </c>
      <c r="L207" t="s">
        <v>3014</v>
      </c>
      <c r="M207" t="s">
        <v>3555</v>
      </c>
      <c r="N207" t="s">
        <v>922</v>
      </c>
      <c r="O207" t="s">
        <v>8364</v>
      </c>
      <c r="P207" t="s">
        <v>8069</v>
      </c>
      <c r="Q207" t="s">
        <v>4502</v>
      </c>
      <c r="T207">
        <v>305</v>
      </c>
    </row>
    <row r="208" spans="1:20">
      <c r="A208">
        <v>211</v>
      </c>
      <c r="B208" t="s">
        <v>3556</v>
      </c>
      <c r="C208">
        <v>1167</v>
      </c>
      <c r="D208" t="s">
        <v>3552</v>
      </c>
      <c r="E208" t="s">
        <v>3010</v>
      </c>
      <c r="F208" t="s">
        <v>3035</v>
      </c>
      <c r="G208" t="s">
        <v>3036</v>
      </c>
      <c r="H208" t="s">
        <v>3370</v>
      </c>
      <c r="I208" t="s">
        <v>3315</v>
      </c>
      <c r="J208" t="s">
        <v>3014</v>
      </c>
      <c r="K208" t="s">
        <v>3370</v>
      </c>
      <c r="L208" t="s">
        <v>3013</v>
      </c>
      <c r="M208" t="s">
        <v>3557</v>
      </c>
      <c r="N208" t="s">
        <v>924</v>
      </c>
      <c r="O208" t="s">
        <v>8364</v>
      </c>
      <c r="P208" t="s">
        <v>8069</v>
      </c>
      <c r="Q208" t="s">
        <v>4502</v>
      </c>
      <c r="T208">
        <v>308</v>
      </c>
    </row>
    <row r="209" spans="1:20">
      <c r="A209">
        <v>212</v>
      </c>
      <c r="B209" t="s">
        <v>3558</v>
      </c>
      <c r="C209">
        <v>1167</v>
      </c>
      <c r="D209" t="s">
        <v>3552</v>
      </c>
      <c r="E209" t="s">
        <v>3010</v>
      </c>
      <c r="F209" t="s">
        <v>3035</v>
      </c>
      <c r="G209" t="s">
        <v>3036</v>
      </c>
      <c r="H209" t="s">
        <v>3340</v>
      </c>
      <c r="I209" t="s">
        <v>3370</v>
      </c>
      <c r="J209" t="s">
        <v>3340</v>
      </c>
      <c r="K209" t="s">
        <v>3340</v>
      </c>
      <c r="L209" t="s">
        <v>3315</v>
      </c>
      <c r="M209" t="s">
        <v>3559</v>
      </c>
      <c r="N209" t="s">
        <v>928</v>
      </c>
      <c r="O209" t="s">
        <v>8064</v>
      </c>
      <c r="P209" t="s">
        <v>8064</v>
      </c>
      <c r="Q209">
        <v>0</v>
      </c>
      <c r="T209">
        <v>316</v>
      </c>
    </row>
    <row r="210" spans="1:20">
      <c r="A210">
        <v>213</v>
      </c>
      <c r="B210" t="s">
        <v>3560</v>
      </c>
      <c r="C210">
        <v>1167</v>
      </c>
      <c r="D210" t="s">
        <v>3552</v>
      </c>
      <c r="E210" t="s">
        <v>3010</v>
      </c>
      <c r="F210" t="s">
        <v>3035</v>
      </c>
      <c r="G210" t="s">
        <v>3036</v>
      </c>
      <c r="H210" t="s">
        <v>3014</v>
      </c>
      <c r="I210" t="s">
        <v>3014</v>
      </c>
      <c r="J210" t="s">
        <v>3014</v>
      </c>
      <c r="K210" t="s">
        <v>3014</v>
      </c>
      <c r="L210" t="s">
        <v>3315</v>
      </c>
      <c r="M210" t="s">
        <v>3561</v>
      </c>
      <c r="N210" t="s">
        <v>926</v>
      </c>
      <c r="O210" t="s">
        <v>8458</v>
      </c>
      <c r="P210" t="s">
        <v>8162</v>
      </c>
      <c r="Q210" t="s">
        <v>6476</v>
      </c>
      <c r="T210">
        <v>313</v>
      </c>
    </row>
    <row r="211" spans="1:20">
      <c r="A211">
        <v>214</v>
      </c>
      <c r="B211" t="s">
        <v>3562</v>
      </c>
      <c r="C211">
        <v>1167</v>
      </c>
      <c r="D211" t="s">
        <v>3552</v>
      </c>
      <c r="E211" t="s">
        <v>3010</v>
      </c>
      <c r="F211" t="s">
        <v>3035</v>
      </c>
      <c r="G211" t="s">
        <v>3111</v>
      </c>
      <c r="H211" t="s">
        <v>3370</v>
      </c>
      <c r="I211" t="s">
        <v>3370</v>
      </c>
      <c r="J211" t="s">
        <v>3014</v>
      </c>
      <c r="K211" t="s">
        <v>3014</v>
      </c>
      <c r="L211" t="s">
        <v>3315</v>
      </c>
      <c r="M211" t="s">
        <v>3563</v>
      </c>
      <c r="N211" t="s">
        <v>315</v>
      </c>
      <c r="O211" t="s">
        <v>8364</v>
      </c>
      <c r="P211" t="s">
        <v>8069</v>
      </c>
      <c r="Q211" t="s">
        <v>4502</v>
      </c>
      <c r="T211">
        <v>1215</v>
      </c>
    </row>
    <row r="212" spans="1:20">
      <c r="A212">
        <v>215</v>
      </c>
      <c r="B212" t="s">
        <v>3564</v>
      </c>
      <c r="C212">
        <v>1167</v>
      </c>
      <c r="D212" t="s">
        <v>3552</v>
      </c>
      <c r="E212" t="s">
        <v>3010</v>
      </c>
      <c r="F212" t="s">
        <v>3035</v>
      </c>
      <c r="G212" t="s">
        <v>3036</v>
      </c>
      <c r="H212" t="s">
        <v>3014</v>
      </c>
      <c r="I212" t="s">
        <v>3014</v>
      </c>
      <c r="J212" t="s">
        <v>3014</v>
      </c>
      <c r="K212" t="s">
        <v>3014</v>
      </c>
      <c r="L212" t="s">
        <v>3315</v>
      </c>
      <c r="M212" t="s">
        <v>3565</v>
      </c>
      <c r="N212" t="s">
        <v>317</v>
      </c>
      <c r="O212" t="s">
        <v>8364</v>
      </c>
      <c r="P212" t="s">
        <v>8069</v>
      </c>
      <c r="Q212" t="s">
        <v>4502</v>
      </c>
      <c r="T212">
        <v>1257</v>
      </c>
    </row>
    <row r="213" spans="1:20">
      <c r="A213">
        <v>204</v>
      </c>
      <c r="B213" t="s">
        <v>3541</v>
      </c>
      <c r="C213">
        <v>1167</v>
      </c>
      <c r="D213">
        <v>1167</v>
      </c>
      <c r="E213" t="s">
        <v>3010</v>
      </c>
      <c r="F213" t="s">
        <v>3035</v>
      </c>
      <c r="G213" t="s">
        <v>3036</v>
      </c>
      <c r="H213" t="s">
        <v>3014</v>
      </c>
      <c r="I213" t="s">
        <v>3014</v>
      </c>
      <c r="J213" t="s">
        <v>3014</v>
      </c>
      <c r="K213" t="s">
        <v>3014</v>
      </c>
      <c r="L213" t="s">
        <v>3315</v>
      </c>
      <c r="M213" t="s">
        <v>3542</v>
      </c>
      <c r="N213" t="s">
        <v>1463</v>
      </c>
      <c r="O213" t="s">
        <v>8585</v>
      </c>
      <c r="P213" t="s">
        <v>8291</v>
      </c>
      <c r="Q213" t="s">
        <v>4503</v>
      </c>
      <c r="T213">
        <v>530</v>
      </c>
    </row>
    <row r="214" spans="1:20">
      <c r="A214">
        <v>206</v>
      </c>
      <c r="B214" t="s">
        <v>3544</v>
      </c>
      <c r="C214">
        <v>1167</v>
      </c>
      <c r="D214">
        <v>1167</v>
      </c>
      <c r="E214" t="s">
        <v>3010</v>
      </c>
      <c r="F214" t="s">
        <v>3035</v>
      </c>
      <c r="G214" t="s">
        <v>3036</v>
      </c>
      <c r="H214" t="s">
        <v>3013</v>
      </c>
      <c r="I214" t="s">
        <v>3014</v>
      </c>
      <c r="J214" t="s">
        <v>3014</v>
      </c>
      <c r="K214" t="s">
        <v>3013</v>
      </c>
      <c r="L214" t="s">
        <v>3358</v>
      </c>
      <c r="M214" t="s">
        <v>3545</v>
      </c>
      <c r="N214" t="s">
        <v>1788</v>
      </c>
      <c r="O214" t="s">
        <v>8473</v>
      </c>
      <c r="P214" t="s">
        <v>8177</v>
      </c>
      <c r="Q214" t="s">
        <v>6320</v>
      </c>
      <c r="T214">
        <v>798</v>
      </c>
    </row>
    <row r="215" spans="1:20">
      <c r="A215">
        <v>205</v>
      </c>
      <c r="B215" t="s">
        <v>3543</v>
      </c>
      <c r="C215">
        <v>1167</v>
      </c>
      <c r="D215">
        <v>1167</v>
      </c>
      <c r="E215" t="s">
        <v>3231</v>
      </c>
      <c r="F215" t="s">
        <v>3035</v>
      </c>
      <c r="G215" t="s">
        <v>3036</v>
      </c>
      <c r="H215" t="s">
        <v>3013</v>
      </c>
      <c r="I215" t="s">
        <v>3340</v>
      </c>
      <c r="J215" t="s">
        <v>3014</v>
      </c>
      <c r="K215" t="s">
        <v>3014</v>
      </c>
      <c r="L215" t="s">
        <v>3315</v>
      </c>
      <c r="M215" t="s">
        <v>3462</v>
      </c>
      <c r="N215" t="s">
        <v>1531</v>
      </c>
      <c r="O215" t="s">
        <v>8064</v>
      </c>
      <c r="P215" t="s">
        <v>8064</v>
      </c>
      <c r="Q215">
        <v>0</v>
      </c>
      <c r="T215">
        <v>727</v>
      </c>
    </row>
    <row r="216" spans="1:20">
      <c r="A216">
        <v>217</v>
      </c>
      <c r="B216" t="s">
        <v>3569</v>
      </c>
      <c r="C216">
        <v>1169</v>
      </c>
      <c r="D216" t="s">
        <v>3570</v>
      </c>
      <c r="E216" t="s">
        <v>3049</v>
      </c>
      <c r="F216" t="s">
        <v>3035</v>
      </c>
      <c r="G216" t="s">
        <v>3036</v>
      </c>
      <c r="H216" t="s">
        <v>3014</v>
      </c>
      <c r="I216" t="s">
        <v>3014</v>
      </c>
      <c r="J216" t="s">
        <v>3340</v>
      </c>
      <c r="K216" t="s">
        <v>3014</v>
      </c>
      <c r="L216" t="s">
        <v>3013</v>
      </c>
      <c r="M216" t="s">
        <v>3571</v>
      </c>
      <c r="N216" t="s">
        <v>8765</v>
      </c>
      <c r="O216" t="s">
        <v>8064</v>
      </c>
      <c r="P216" t="s">
        <v>8064</v>
      </c>
      <c r="Q216" t="e">
        <v>#N/A</v>
      </c>
      <c r="S216">
        <v>1</v>
      </c>
    </row>
    <row r="217" spans="1:20">
      <c r="A217">
        <v>219</v>
      </c>
      <c r="B217" t="s">
        <v>3575</v>
      </c>
      <c r="C217">
        <v>1169</v>
      </c>
      <c r="D217" t="s">
        <v>462</v>
      </c>
      <c r="E217" t="s">
        <v>3049</v>
      </c>
      <c r="F217" t="s">
        <v>3035</v>
      </c>
      <c r="G217" t="s">
        <v>3036</v>
      </c>
      <c r="H217" t="s">
        <v>3014</v>
      </c>
      <c r="I217" t="s">
        <v>3014</v>
      </c>
      <c r="J217" t="s">
        <v>3014</v>
      </c>
      <c r="K217" t="s">
        <v>3014</v>
      </c>
      <c r="L217" t="s">
        <v>3014</v>
      </c>
      <c r="M217" t="s">
        <v>3576</v>
      </c>
      <c r="N217" t="s">
        <v>627</v>
      </c>
      <c r="O217" t="s">
        <v>8064</v>
      </c>
      <c r="P217" t="s">
        <v>8064</v>
      </c>
      <c r="Q217">
        <v>0</v>
      </c>
      <c r="S217">
        <v>1</v>
      </c>
      <c r="T217">
        <v>198</v>
      </c>
    </row>
    <row r="218" spans="1:20">
      <c r="A218">
        <v>218</v>
      </c>
      <c r="B218" t="s">
        <v>3572</v>
      </c>
      <c r="C218">
        <v>1169</v>
      </c>
      <c r="D218" t="s">
        <v>3573</v>
      </c>
      <c r="E218" t="s">
        <v>3010</v>
      </c>
      <c r="F218" t="s">
        <v>3035</v>
      </c>
      <c r="G218" t="s">
        <v>3036</v>
      </c>
      <c r="H218" t="s">
        <v>3014</v>
      </c>
      <c r="I218" t="s">
        <v>3014</v>
      </c>
      <c r="J218" t="s">
        <v>3014</v>
      </c>
      <c r="K218" t="s">
        <v>3014</v>
      </c>
      <c r="L218" t="s">
        <v>3315</v>
      </c>
      <c r="M218" t="s">
        <v>3574</v>
      </c>
      <c r="N218" t="s">
        <v>3574</v>
      </c>
      <c r="O218" t="s">
        <v>8366</v>
      </c>
      <c r="P218" t="s">
        <v>8071</v>
      </c>
      <c r="Q218" t="s">
        <v>4532</v>
      </c>
      <c r="T218">
        <v>1151</v>
      </c>
    </row>
    <row r="219" spans="1:20">
      <c r="A219">
        <v>223</v>
      </c>
      <c r="B219" t="s">
        <v>3584</v>
      </c>
      <c r="C219">
        <v>1170</v>
      </c>
      <c r="D219" t="s">
        <v>3585</v>
      </c>
      <c r="E219" t="s">
        <v>3141</v>
      </c>
      <c r="F219" t="s">
        <v>3035</v>
      </c>
      <c r="G219" t="s">
        <v>3012</v>
      </c>
      <c r="H219" t="s">
        <v>3014</v>
      </c>
      <c r="I219" t="s">
        <v>3014</v>
      </c>
      <c r="J219" t="s">
        <v>3014</v>
      </c>
      <c r="K219" t="s">
        <v>3014</v>
      </c>
      <c r="L219" t="s">
        <v>3315</v>
      </c>
      <c r="M219" t="s">
        <v>3586</v>
      </c>
      <c r="N219" t="s">
        <v>6117</v>
      </c>
      <c r="O219" t="s">
        <v>8543</v>
      </c>
      <c r="P219" t="s">
        <v>8249</v>
      </c>
      <c r="Q219" t="s">
        <v>5642</v>
      </c>
      <c r="T219">
        <v>61</v>
      </c>
    </row>
    <row r="220" spans="1:20">
      <c r="A220">
        <v>222</v>
      </c>
      <c r="B220" t="s">
        <v>3581</v>
      </c>
      <c r="C220">
        <v>1170</v>
      </c>
      <c r="D220" t="s">
        <v>3582</v>
      </c>
      <c r="E220" t="s">
        <v>3049</v>
      </c>
      <c r="F220" t="s">
        <v>3035</v>
      </c>
      <c r="G220" t="s">
        <v>3036</v>
      </c>
      <c r="H220" t="s">
        <v>3013</v>
      </c>
      <c r="I220" t="s">
        <v>3340</v>
      </c>
      <c r="J220" t="s">
        <v>3014</v>
      </c>
      <c r="K220" t="s">
        <v>3014</v>
      </c>
      <c r="L220" t="s">
        <v>3014</v>
      </c>
      <c r="M220" t="s">
        <v>3583</v>
      </c>
      <c r="N220" t="s">
        <v>931</v>
      </c>
      <c r="O220" t="s">
        <v>8064</v>
      </c>
      <c r="P220" t="s">
        <v>8064</v>
      </c>
      <c r="Q220">
        <v>0</v>
      </c>
      <c r="S220">
        <v>1</v>
      </c>
      <c r="T220">
        <v>253</v>
      </c>
    </row>
    <row r="221" spans="1:20">
      <c r="A221">
        <v>220</v>
      </c>
      <c r="B221" t="s">
        <v>3577</v>
      </c>
      <c r="C221">
        <v>1170</v>
      </c>
      <c r="D221">
        <v>1170</v>
      </c>
      <c r="E221" t="s">
        <v>3010</v>
      </c>
      <c r="F221" t="s">
        <v>3035</v>
      </c>
      <c r="G221" t="s">
        <v>3036</v>
      </c>
      <c r="H221" t="s">
        <v>3340</v>
      </c>
      <c r="I221" t="s">
        <v>3014</v>
      </c>
      <c r="J221" t="s">
        <v>3014</v>
      </c>
      <c r="K221" t="s">
        <v>3014</v>
      </c>
      <c r="L221" t="s">
        <v>3358</v>
      </c>
      <c r="M221" t="s">
        <v>3578</v>
      </c>
      <c r="N221" t="s">
        <v>4894</v>
      </c>
      <c r="O221" t="s">
        <v>8473</v>
      </c>
      <c r="P221" t="s">
        <v>8177</v>
      </c>
      <c r="Q221" t="s">
        <v>6320</v>
      </c>
      <c r="T221">
        <v>767</v>
      </c>
    </row>
    <row r="222" spans="1:20">
      <c r="A222">
        <v>221</v>
      </c>
      <c r="B222" t="s">
        <v>3579</v>
      </c>
      <c r="C222">
        <v>1170</v>
      </c>
      <c r="D222">
        <v>1170</v>
      </c>
      <c r="E222" t="s">
        <v>3010</v>
      </c>
      <c r="F222" t="s">
        <v>3035</v>
      </c>
      <c r="G222" t="s">
        <v>3012</v>
      </c>
      <c r="H222" t="s">
        <v>3014</v>
      </c>
      <c r="I222" t="s">
        <v>3014</v>
      </c>
      <c r="J222" t="s">
        <v>3014</v>
      </c>
      <c r="K222" t="s">
        <v>3014</v>
      </c>
      <c r="L222" t="s">
        <v>3315</v>
      </c>
      <c r="M222" t="s">
        <v>3580</v>
      </c>
      <c r="N222" t="s">
        <v>1855</v>
      </c>
      <c r="O222" t="s">
        <v>8477</v>
      </c>
      <c r="P222" t="s">
        <v>8182</v>
      </c>
      <c r="Q222" t="s">
        <v>6464</v>
      </c>
      <c r="T222">
        <v>874</v>
      </c>
    </row>
    <row r="223" spans="1:20">
      <c r="A223">
        <v>225</v>
      </c>
      <c r="B223" t="s">
        <v>3589</v>
      </c>
      <c r="C223">
        <v>1171</v>
      </c>
      <c r="D223" t="s">
        <v>3590</v>
      </c>
      <c r="E223" t="s">
        <v>3049</v>
      </c>
      <c r="F223" t="s">
        <v>3035</v>
      </c>
      <c r="G223" t="s">
        <v>3036</v>
      </c>
      <c r="H223" t="s">
        <v>3013</v>
      </c>
      <c r="I223" t="s">
        <v>3315</v>
      </c>
      <c r="J223" t="s">
        <v>3014</v>
      </c>
      <c r="K223" t="s">
        <v>3014</v>
      </c>
      <c r="L223" t="s">
        <v>3315</v>
      </c>
      <c r="M223" t="s">
        <v>3591</v>
      </c>
      <c r="N223" t="s">
        <v>630</v>
      </c>
      <c r="O223" t="s">
        <v>8064</v>
      </c>
      <c r="P223" t="s">
        <v>8064</v>
      </c>
      <c r="Q223">
        <v>0</v>
      </c>
      <c r="S223">
        <v>1</v>
      </c>
      <c r="T223">
        <v>138</v>
      </c>
    </row>
    <row r="224" spans="1:20">
      <c r="A224">
        <v>224</v>
      </c>
      <c r="B224" t="s">
        <v>3587</v>
      </c>
      <c r="C224">
        <v>1171</v>
      </c>
      <c r="D224">
        <v>1171</v>
      </c>
      <c r="E224" t="s">
        <v>3010</v>
      </c>
      <c r="F224" t="s">
        <v>3035</v>
      </c>
      <c r="G224" t="s">
        <v>3036</v>
      </c>
      <c r="H224" t="s">
        <v>3340</v>
      </c>
      <c r="I224" t="s">
        <v>3315</v>
      </c>
      <c r="J224" t="s">
        <v>3014</v>
      </c>
      <c r="K224" t="s">
        <v>3014</v>
      </c>
      <c r="L224" t="s">
        <v>3315</v>
      </c>
      <c r="M224" t="s">
        <v>3588</v>
      </c>
      <c r="N224" t="s">
        <v>1464</v>
      </c>
      <c r="O224" t="s">
        <v>8364</v>
      </c>
      <c r="P224" t="s">
        <v>8069</v>
      </c>
      <c r="Q224" t="s">
        <v>4502</v>
      </c>
      <c r="T224">
        <v>542</v>
      </c>
    </row>
    <row r="225" spans="1:20">
      <c r="A225">
        <v>230</v>
      </c>
      <c r="B225" t="s">
        <v>3601</v>
      </c>
      <c r="C225">
        <v>1172</v>
      </c>
      <c r="D225" t="s">
        <v>3599</v>
      </c>
      <c r="E225" t="s">
        <v>3010</v>
      </c>
      <c r="F225" t="s">
        <v>3035</v>
      </c>
      <c r="G225" t="s">
        <v>3036</v>
      </c>
      <c r="H225" t="s">
        <v>3014</v>
      </c>
      <c r="I225" t="s">
        <v>3014</v>
      </c>
      <c r="J225" t="s">
        <v>3014</v>
      </c>
      <c r="K225" t="s">
        <v>3014</v>
      </c>
      <c r="L225" t="s">
        <v>3315</v>
      </c>
      <c r="M225" t="s">
        <v>3602</v>
      </c>
      <c r="N225" t="s">
        <v>1532</v>
      </c>
      <c r="O225" t="s">
        <v>8586</v>
      </c>
      <c r="P225" t="s">
        <v>8292</v>
      </c>
      <c r="Q225" t="s">
        <v>4509</v>
      </c>
      <c r="T225">
        <v>729</v>
      </c>
    </row>
    <row r="226" spans="1:20">
      <c r="A226">
        <v>226</v>
      </c>
      <c r="B226" t="s">
        <v>3592</v>
      </c>
      <c r="C226">
        <v>1172</v>
      </c>
      <c r="D226">
        <v>1172</v>
      </c>
      <c r="E226" t="s">
        <v>3020</v>
      </c>
      <c r="F226" t="s">
        <v>3035</v>
      </c>
      <c r="G226" t="s">
        <v>3036</v>
      </c>
      <c r="H226" t="s">
        <v>3340</v>
      </c>
      <c r="I226" t="s">
        <v>3340</v>
      </c>
      <c r="J226" t="s">
        <v>3014</v>
      </c>
      <c r="K226" t="s">
        <v>3014</v>
      </c>
      <c r="L226" t="s">
        <v>3315</v>
      </c>
      <c r="M226" t="s">
        <v>3593</v>
      </c>
      <c r="N226" t="s">
        <v>633</v>
      </c>
      <c r="O226" t="s">
        <v>8436</v>
      </c>
      <c r="P226" t="s">
        <v>8140</v>
      </c>
      <c r="Q226" t="s">
        <v>6304</v>
      </c>
      <c r="T226">
        <v>211</v>
      </c>
    </row>
    <row r="227" spans="1:20">
      <c r="A227">
        <v>229</v>
      </c>
      <c r="B227" t="s">
        <v>3598</v>
      </c>
      <c r="C227">
        <v>1172</v>
      </c>
      <c r="D227" t="s">
        <v>3599</v>
      </c>
      <c r="E227" t="s">
        <v>3020</v>
      </c>
      <c r="F227" t="s">
        <v>3035</v>
      </c>
      <c r="G227" t="s">
        <v>3024</v>
      </c>
      <c r="H227" t="s">
        <v>3340</v>
      </c>
      <c r="I227" t="s">
        <v>3014</v>
      </c>
      <c r="J227" t="s">
        <v>3340</v>
      </c>
      <c r="K227" t="s">
        <v>3340</v>
      </c>
      <c r="L227" t="s">
        <v>3315</v>
      </c>
      <c r="M227" t="s">
        <v>3600</v>
      </c>
      <c r="N227" t="s">
        <v>637</v>
      </c>
      <c r="O227" t="s">
        <v>8436</v>
      </c>
      <c r="P227" t="s">
        <v>8140</v>
      </c>
      <c r="Q227" t="s">
        <v>6304</v>
      </c>
      <c r="T227">
        <v>213</v>
      </c>
    </row>
    <row r="228" spans="1:20">
      <c r="A228">
        <v>231</v>
      </c>
      <c r="B228" t="s">
        <v>3603</v>
      </c>
      <c r="C228">
        <v>1172</v>
      </c>
      <c r="D228" t="s">
        <v>3599</v>
      </c>
      <c r="E228" t="s">
        <v>3020</v>
      </c>
      <c r="F228" t="s">
        <v>3035</v>
      </c>
      <c r="G228" t="s">
        <v>3024</v>
      </c>
      <c r="H228" t="s">
        <v>3014</v>
      </c>
      <c r="I228" t="s">
        <v>3014</v>
      </c>
      <c r="J228" t="s">
        <v>3340</v>
      </c>
      <c r="K228" t="s">
        <v>3014</v>
      </c>
      <c r="L228" t="s">
        <v>3315</v>
      </c>
      <c r="M228" t="s">
        <v>3604</v>
      </c>
      <c r="N228" t="s">
        <v>635</v>
      </c>
      <c r="O228" t="s">
        <v>8436</v>
      </c>
      <c r="P228" t="s">
        <v>8140</v>
      </c>
      <c r="Q228" t="s">
        <v>6304</v>
      </c>
      <c r="T228">
        <v>220</v>
      </c>
    </row>
    <row r="229" spans="1:20">
      <c r="A229">
        <v>227</v>
      </c>
      <c r="B229" t="s">
        <v>3594</v>
      </c>
      <c r="C229">
        <v>1172</v>
      </c>
      <c r="D229">
        <v>1172</v>
      </c>
      <c r="E229" t="s">
        <v>3020</v>
      </c>
      <c r="F229" t="s">
        <v>3035</v>
      </c>
      <c r="G229" t="s">
        <v>3012</v>
      </c>
      <c r="H229" t="s">
        <v>3014</v>
      </c>
      <c r="I229" t="s">
        <v>3014</v>
      </c>
      <c r="J229" t="s">
        <v>3014</v>
      </c>
      <c r="K229" t="s">
        <v>3014</v>
      </c>
      <c r="L229" t="s">
        <v>3013</v>
      </c>
      <c r="M229" t="s">
        <v>3595</v>
      </c>
      <c r="N229" t="s">
        <v>8775</v>
      </c>
      <c r="O229" t="s">
        <v>8549</v>
      </c>
      <c r="P229" t="s">
        <v>8152</v>
      </c>
      <c r="Q229" t="s">
        <v>5706</v>
      </c>
      <c r="T229">
        <v>384</v>
      </c>
    </row>
    <row r="230" spans="1:20">
      <c r="A230">
        <v>228</v>
      </c>
      <c r="B230" t="s">
        <v>3596</v>
      </c>
      <c r="C230">
        <v>1172</v>
      </c>
      <c r="D230">
        <v>1172</v>
      </c>
      <c r="E230" t="s">
        <v>3020</v>
      </c>
      <c r="F230" t="s">
        <v>3035</v>
      </c>
      <c r="G230" t="s">
        <v>3012</v>
      </c>
      <c r="H230" t="s">
        <v>3014</v>
      </c>
      <c r="I230" t="s">
        <v>3014</v>
      </c>
      <c r="J230" t="s">
        <v>3014</v>
      </c>
      <c r="K230" t="s">
        <v>3014</v>
      </c>
      <c r="L230" t="s">
        <v>3013</v>
      </c>
      <c r="M230" t="s">
        <v>3597</v>
      </c>
      <c r="N230" t="s">
        <v>8776</v>
      </c>
      <c r="O230" t="s">
        <v>8550</v>
      </c>
      <c r="P230" t="s">
        <v>8256</v>
      </c>
      <c r="Q230" t="s">
        <v>5694</v>
      </c>
      <c r="T230">
        <v>391</v>
      </c>
    </row>
    <row r="231" spans="1:20">
      <c r="A231">
        <v>236</v>
      </c>
      <c r="B231" t="s">
        <v>3615</v>
      </c>
      <c r="C231">
        <v>1173</v>
      </c>
      <c r="D231" t="s">
        <v>3606</v>
      </c>
      <c r="E231" t="s">
        <v>3049</v>
      </c>
      <c r="F231" t="s">
        <v>3035</v>
      </c>
      <c r="G231" t="s">
        <v>3036</v>
      </c>
      <c r="H231" t="s">
        <v>3340</v>
      </c>
      <c r="I231" t="s">
        <v>3014</v>
      </c>
      <c r="J231" t="s">
        <v>3340</v>
      </c>
      <c r="K231" t="s">
        <v>3014</v>
      </c>
      <c r="L231" t="s">
        <v>3013</v>
      </c>
      <c r="M231" t="s">
        <v>3616</v>
      </c>
      <c r="N231" t="s">
        <v>1978</v>
      </c>
      <c r="O231" t="s">
        <v>8488</v>
      </c>
      <c r="P231" t="s">
        <v>8194</v>
      </c>
      <c r="Q231" t="s">
        <v>4504</v>
      </c>
      <c r="R231">
        <v>1</v>
      </c>
      <c r="S231">
        <v>1</v>
      </c>
      <c r="T231">
        <v>971</v>
      </c>
    </row>
    <row r="232" spans="1:20">
      <c r="A232">
        <v>233</v>
      </c>
      <c r="B232" t="s">
        <v>3608</v>
      </c>
      <c r="C232">
        <v>1173</v>
      </c>
      <c r="D232" t="s">
        <v>3609</v>
      </c>
      <c r="E232" t="s">
        <v>3010</v>
      </c>
      <c r="F232" t="s">
        <v>3035</v>
      </c>
      <c r="G232" t="s">
        <v>3036</v>
      </c>
      <c r="H232" t="s">
        <v>3340</v>
      </c>
      <c r="I232" t="s">
        <v>3014</v>
      </c>
      <c r="J232" t="s">
        <v>3340</v>
      </c>
      <c r="K232" t="s">
        <v>3014</v>
      </c>
      <c r="L232" t="s">
        <v>3013</v>
      </c>
      <c r="M232" t="s">
        <v>3610</v>
      </c>
      <c r="N232" t="s">
        <v>953</v>
      </c>
      <c r="O232" t="s">
        <v>8364</v>
      </c>
      <c r="P232" t="s">
        <v>8069</v>
      </c>
      <c r="Q232" t="s">
        <v>4502</v>
      </c>
      <c r="T232">
        <v>309</v>
      </c>
    </row>
    <row r="233" spans="1:20">
      <c r="A233">
        <v>234</v>
      </c>
      <c r="B233" t="s">
        <v>3611</v>
      </c>
      <c r="C233">
        <v>1173</v>
      </c>
      <c r="D233" t="s">
        <v>3612</v>
      </c>
      <c r="E233" t="s">
        <v>3010</v>
      </c>
      <c r="F233" t="s">
        <v>3035</v>
      </c>
      <c r="G233" t="s">
        <v>3036</v>
      </c>
      <c r="H233" t="s">
        <v>3014</v>
      </c>
      <c r="I233" t="s">
        <v>3014</v>
      </c>
      <c r="J233" t="s">
        <v>3013</v>
      </c>
      <c r="K233" t="s">
        <v>3014</v>
      </c>
      <c r="L233" t="s">
        <v>3013</v>
      </c>
      <c r="M233" t="s">
        <v>3542</v>
      </c>
      <c r="N233" t="s">
        <v>1463</v>
      </c>
      <c r="O233" t="s">
        <v>8585</v>
      </c>
      <c r="P233" t="s">
        <v>8291</v>
      </c>
      <c r="Q233" t="s">
        <v>4503</v>
      </c>
      <c r="T233">
        <v>530</v>
      </c>
    </row>
    <row r="234" spans="1:20">
      <c r="A234">
        <v>232</v>
      </c>
      <c r="B234" t="s">
        <v>3605</v>
      </c>
      <c r="C234">
        <v>1173</v>
      </c>
      <c r="D234" t="s">
        <v>3606</v>
      </c>
      <c r="E234" t="s">
        <v>3010</v>
      </c>
      <c r="F234" t="s">
        <v>3035</v>
      </c>
      <c r="G234" t="s">
        <v>3036</v>
      </c>
      <c r="H234" t="s">
        <v>3014</v>
      </c>
      <c r="I234" t="s">
        <v>3014</v>
      </c>
      <c r="J234" t="s">
        <v>3014</v>
      </c>
      <c r="K234" t="s">
        <v>3014</v>
      </c>
      <c r="L234" t="s">
        <v>3013</v>
      </c>
      <c r="M234" t="s">
        <v>3607</v>
      </c>
      <c r="N234" t="s">
        <v>1979</v>
      </c>
      <c r="O234" t="s">
        <v>8486</v>
      </c>
      <c r="P234" t="s">
        <v>8190</v>
      </c>
      <c r="Q234" t="s">
        <v>6424</v>
      </c>
      <c r="T234">
        <v>970</v>
      </c>
    </row>
    <row r="235" spans="1:20">
      <c r="A235">
        <v>238</v>
      </c>
      <c r="B235" t="s">
        <v>3620</v>
      </c>
      <c r="C235">
        <v>1174</v>
      </c>
      <c r="D235" t="s">
        <v>3621</v>
      </c>
      <c r="E235" t="s">
        <v>3049</v>
      </c>
      <c r="F235" t="s">
        <v>3035</v>
      </c>
      <c r="G235" t="s">
        <v>3036</v>
      </c>
      <c r="H235" t="s">
        <v>3014</v>
      </c>
      <c r="I235" t="s">
        <v>3340</v>
      </c>
      <c r="J235" t="s">
        <v>3340</v>
      </c>
      <c r="K235" t="s">
        <v>3013</v>
      </c>
      <c r="L235" t="s">
        <v>3013</v>
      </c>
      <c r="M235" t="s">
        <v>3622</v>
      </c>
      <c r="N235" t="s">
        <v>318</v>
      </c>
      <c r="O235" t="s">
        <v>8064</v>
      </c>
      <c r="P235" t="s">
        <v>8064</v>
      </c>
      <c r="Q235">
        <v>0</v>
      </c>
      <c r="S235">
        <v>1</v>
      </c>
      <c r="T235">
        <v>1244</v>
      </c>
    </row>
    <row r="236" spans="1:20">
      <c r="A236">
        <v>237</v>
      </c>
      <c r="B236" t="s">
        <v>3617</v>
      </c>
      <c r="C236">
        <v>1174</v>
      </c>
      <c r="D236" t="s">
        <v>3618</v>
      </c>
      <c r="E236" t="s">
        <v>3010</v>
      </c>
      <c r="F236" t="s">
        <v>3035</v>
      </c>
      <c r="G236" t="s">
        <v>3036</v>
      </c>
      <c r="H236" t="s">
        <v>3014</v>
      </c>
      <c r="I236" t="s">
        <v>3014</v>
      </c>
      <c r="J236" t="s">
        <v>3014</v>
      </c>
      <c r="K236" t="s">
        <v>3340</v>
      </c>
      <c r="L236" t="s">
        <v>3013</v>
      </c>
      <c r="M236" t="s">
        <v>3619</v>
      </c>
      <c r="N236" t="s">
        <v>4907</v>
      </c>
      <c r="O236" t="s">
        <v>8487</v>
      </c>
      <c r="P236" t="s">
        <v>8192</v>
      </c>
      <c r="Q236" t="s">
        <v>4498</v>
      </c>
      <c r="T236">
        <v>911</v>
      </c>
    </row>
    <row r="237" spans="1:20">
      <c r="A237">
        <v>239</v>
      </c>
      <c r="B237" t="s">
        <v>3623</v>
      </c>
      <c r="C237">
        <v>1174</v>
      </c>
      <c r="D237" t="s">
        <v>3624</v>
      </c>
      <c r="E237" t="s">
        <v>3010</v>
      </c>
      <c r="F237" t="s">
        <v>3035</v>
      </c>
      <c r="G237" t="s">
        <v>3036</v>
      </c>
      <c r="H237" t="s">
        <v>3014</v>
      </c>
      <c r="I237" t="s">
        <v>3014</v>
      </c>
      <c r="J237" t="s">
        <v>3014</v>
      </c>
      <c r="K237" t="s">
        <v>3014</v>
      </c>
      <c r="L237" t="s">
        <v>3315</v>
      </c>
      <c r="M237" t="s">
        <v>3625</v>
      </c>
      <c r="N237" t="s">
        <v>319</v>
      </c>
      <c r="O237" t="s">
        <v>8364</v>
      </c>
      <c r="P237" t="s">
        <v>8069</v>
      </c>
      <c r="Q237" t="s">
        <v>4502</v>
      </c>
      <c r="T237">
        <v>1214</v>
      </c>
    </row>
    <row r="238" spans="1:20">
      <c r="A238">
        <v>235</v>
      </c>
      <c r="B238" t="s">
        <v>3613</v>
      </c>
      <c r="C238">
        <v>1174</v>
      </c>
      <c r="D238">
        <v>1174</v>
      </c>
      <c r="E238" t="s">
        <v>3092</v>
      </c>
      <c r="F238" t="s">
        <v>3035</v>
      </c>
      <c r="G238" t="s">
        <v>3111</v>
      </c>
      <c r="H238" t="s">
        <v>3014</v>
      </c>
      <c r="I238" t="s">
        <v>3014</v>
      </c>
      <c r="J238" t="s">
        <v>3014</v>
      </c>
      <c r="K238" t="s">
        <v>3014</v>
      </c>
      <c r="L238" t="s">
        <v>3315</v>
      </c>
      <c r="M238" t="s">
        <v>3614</v>
      </c>
      <c r="N238" t="s">
        <v>2972</v>
      </c>
      <c r="O238" t="s">
        <v>8064</v>
      </c>
      <c r="P238" t="s">
        <v>8064</v>
      </c>
      <c r="Q238" t="e">
        <v>#N/A</v>
      </c>
      <c r="T238" t="e">
        <v>#N/A</v>
      </c>
    </row>
    <row r="239" spans="1:20">
      <c r="A239">
        <v>240</v>
      </c>
      <c r="B239" t="s">
        <v>3626</v>
      </c>
      <c r="C239">
        <v>1175</v>
      </c>
      <c r="D239">
        <v>1175</v>
      </c>
      <c r="E239" t="s">
        <v>3013</v>
      </c>
      <c r="F239" t="s">
        <v>3035</v>
      </c>
      <c r="G239" t="s">
        <v>3012</v>
      </c>
      <c r="H239" t="s">
        <v>3014</v>
      </c>
      <c r="I239" t="s">
        <v>3340</v>
      </c>
      <c r="J239" t="s">
        <v>3315</v>
      </c>
      <c r="K239" t="s">
        <v>3014</v>
      </c>
      <c r="L239" t="s">
        <v>3315</v>
      </c>
      <c r="M239" t="s">
        <v>3627</v>
      </c>
      <c r="N239" t="s">
        <v>6084</v>
      </c>
      <c r="O239" t="s">
        <v>8064</v>
      </c>
      <c r="P239" t="s">
        <v>8064</v>
      </c>
      <c r="Q239">
        <v>0</v>
      </c>
      <c r="T239">
        <v>9</v>
      </c>
    </row>
    <row r="240" spans="1:20">
      <c r="A240">
        <v>241</v>
      </c>
      <c r="B240" t="s">
        <v>3628</v>
      </c>
      <c r="C240">
        <v>1175</v>
      </c>
      <c r="D240" t="s">
        <v>3629</v>
      </c>
      <c r="E240" t="s">
        <v>3023</v>
      </c>
      <c r="F240" t="s">
        <v>3035</v>
      </c>
      <c r="G240" t="s">
        <v>3036</v>
      </c>
      <c r="H240" t="s">
        <v>3014</v>
      </c>
      <c r="I240" t="s">
        <v>3014</v>
      </c>
      <c r="J240" t="s">
        <v>3014</v>
      </c>
      <c r="K240" t="s">
        <v>3014</v>
      </c>
      <c r="L240" t="s">
        <v>3315</v>
      </c>
      <c r="M240" t="s">
        <v>3630</v>
      </c>
      <c r="N240" t="s">
        <v>962</v>
      </c>
      <c r="O240" t="s">
        <v>8064</v>
      </c>
      <c r="P240" t="s">
        <v>8064</v>
      </c>
      <c r="Q240">
        <v>0</v>
      </c>
      <c r="T240">
        <v>287</v>
      </c>
    </row>
    <row r="241" spans="1:20">
      <c r="A241">
        <v>244</v>
      </c>
      <c r="B241" t="s">
        <v>3636</v>
      </c>
      <c r="C241">
        <v>1175</v>
      </c>
      <c r="D241" t="s">
        <v>3635</v>
      </c>
      <c r="E241" t="s">
        <v>3049</v>
      </c>
      <c r="F241" t="s">
        <v>3035</v>
      </c>
      <c r="G241" t="s">
        <v>3036</v>
      </c>
      <c r="H241" t="s">
        <v>3014</v>
      </c>
      <c r="I241" t="s">
        <v>3014</v>
      </c>
      <c r="J241" t="s">
        <v>3014</v>
      </c>
      <c r="K241" t="s">
        <v>3014</v>
      </c>
      <c r="L241" t="s">
        <v>3014</v>
      </c>
      <c r="M241" t="s">
        <v>3637</v>
      </c>
      <c r="N241" t="s">
        <v>623</v>
      </c>
      <c r="O241" t="s">
        <v>8064</v>
      </c>
      <c r="P241" t="s">
        <v>8064</v>
      </c>
      <c r="Q241" t="e">
        <v>#N/A</v>
      </c>
      <c r="S241">
        <v>1</v>
      </c>
      <c r="T241" s="1">
        <v>244</v>
      </c>
    </row>
    <row r="242" spans="1:20">
      <c r="A242">
        <v>245</v>
      </c>
      <c r="B242" t="s">
        <v>3638</v>
      </c>
      <c r="C242">
        <v>1175</v>
      </c>
      <c r="D242" t="s">
        <v>3635</v>
      </c>
      <c r="E242" t="s">
        <v>3049</v>
      </c>
      <c r="F242" t="s">
        <v>3035</v>
      </c>
      <c r="G242" t="s">
        <v>3036</v>
      </c>
      <c r="H242" t="s">
        <v>3340</v>
      </c>
      <c r="I242" t="s">
        <v>3340</v>
      </c>
      <c r="J242" t="s">
        <v>3340</v>
      </c>
      <c r="K242" t="s">
        <v>3014</v>
      </c>
      <c r="L242" t="s">
        <v>3013</v>
      </c>
      <c r="M242" t="s">
        <v>3639</v>
      </c>
      <c r="N242" t="s">
        <v>945</v>
      </c>
      <c r="O242" t="s">
        <v>8357</v>
      </c>
      <c r="P242" t="s">
        <v>8060</v>
      </c>
      <c r="Q242" t="s">
        <v>6486</v>
      </c>
      <c r="R242">
        <v>1</v>
      </c>
      <c r="S242">
        <v>1</v>
      </c>
      <c r="T242">
        <v>301</v>
      </c>
    </row>
    <row r="243" spans="1:20">
      <c r="A243">
        <v>248</v>
      </c>
      <c r="B243" t="s">
        <v>3644</v>
      </c>
      <c r="C243">
        <v>1175</v>
      </c>
      <c r="D243" t="s">
        <v>3645</v>
      </c>
      <c r="E243" t="s">
        <v>3049</v>
      </c>
      <c r="F243" t="s">
        <v>3035</v>
      </c>
      <c r="G243" t="s">
        <v>3036</v>
      </c>
      <c r="H243" t="s">
        <v>3014</v>
      </c>
      <c r="I243" t="s">
        <v>3014</v>
      </c>
      <c r="J243" t="s">
        <v>3014</v>
      </c>
      <c r="K243" t="s">
        <v>3014</v>
      </c>
      <c r="L243" t="s">
        <v>3315</v>
      </c>
      <c r="M243" t="s">
        <v>3646</v>
      </c>
      <c r="N243" t="s">
        <v>950</v>
      </c>
      <c r="O243" t="s">
        <v>8357</v>
      </c>
      <c r="P243" t="s">
        <v>8060</v>
      </c>
      <c r="Q243" t="s">
        <v>6486</v>
      </c>
      <c r="R243">
        <v>1</v>
      </c>
      <c r="S243">
        <v>1</v>
      </c>
      <c r="T243">
        <v>324</v>
      </c>
    </row>
    <row r="244" spans="1:20">
      <c r="A244">
        <v>246</v>
      </c>
      <c r="B244" t="s">
        <v>3640</v>
      </c>
      <c r="C244">
        <v>1175</v>
      </c>
      <c r="D244" t="s">
        <v>3635</v>
      </c>
      <c r="E244" t="s">
        <v>3049</v>
      </c>
      <c r="F244" t="s">
        <v>3035</v>
      </c>
      <c r="G244" t="s">
        <v>3111</v>
      </c>
      <c r="H244" t="s">
        <v>3014</v>
      </c>
      <c r="I244" t="s">
        <v>3014</v>
      </c>
      <c r="J244" t="s">
        <v>3014</v>
      </c>
      <c r="K244" t="s">
        <v>3014</v>
      </c>
      <c r="L244" t="s">
        <v>3013</v>
      </c>
      <c r="M244" t="s">
        <v>3641</v>
      </c>
      <c r="N244" t="s">
        <v>947</v>
      </c>
      <c r="O244" t="s">
        <v>8357</v>
      </c>
      <c r="P244" t="s">
        <v>8060</v>
      </c>
      <c r="Q244" t="s">
        <v>6486</v>
      </c>
      <c r="R244">
        <v>1</v>
      </c>
      <c r="S244">
        <v>1</v>
      </c>
      <c r="T244">
        <v>325</v>
      </c>
    </row>
    <row r="245" spans="1:20">
      <c r="A245">
        <v>242</v>
      </c>
      <c r="B245" t="s">
        <v>3631</v>
      </c>
      <c r="C245">
        <v>1175</v>
      </c>
      <c r="D245" t="s">
        <v>3632</v>
      </c>
      <c r="E245" t="s">
        <v>3010</v>
      </c>
      <c r="F245" t="s">
        <v>3035</v>
      </c>
      <c r="G245" t="s">
        <v>3036</v>
      </c>
      <c r="H245" t="s">
        <v>3013</v>
      </c>
      <c r="I245" t="s">
        <v>3014</v>
      </c>
      <c r="J245" t="s">
        <v>3014</v>
      </c>
      <c r="K245" t="s">
        <v>3014</v>
      </c>
      <c r="L245" t="s">
        <v>3315</v>
      </c>
      <c r="M245" t="s">
        <v>3633</v>
      </c>
      <c r="N245" t="s">
        <v>956</v>
      </c>
      <c r="O245" t="s">
        <v>8364</v>
      </c>
      <c r="P245" t="s">
        <v>8069</v>
      </c>
      <c r="Q245" t="s">
        <v>4502</v>
      </c>
      <c r="T245">
        <v>307</v>
      </c>
    </row>
    <row r="246" spans="1:20">
      <c r="A246">
        <v>243</v>
      </c>
      <c r="B246" t="s">
        <v>3634</v>
      </c>
      <c r="C246">
        <v>1175</v>
      </c>
      <c r="D246" t="s">
        <v>3635</v>
      </c>
      <c r="E246" t="s">
        <v>3010</v>
      </c>
      <c r="F246" t="s">
        <v>3035</v>
      </c>
      <c r="G246" t="s">
        <v>3036</v>
      </c>
      <c r="H246" t="s">
        <v>3014</v>
      </c>
      <c r="I246" t="s">
        <v>3013</v>
      </c>
      <c r="J246" t="s">
        <v>3014</v>
      </c>
      <c r="K246" t="s">
        <v>3014</v>
      </c>
      <c r="L246" t="s">
        <v>3315</v>
      </c>
      <c r="M246" t="s">
        <v>3487</v>
      </c>
      <c r="N246" t="s">
        <v>1293</v>
      </c>
      <c r="O246" t="s">
        <v>8064</v>
      </c>
      <c r="P246" t="s">
        <v>8064</v>
      </c>
      <c r="Q246">
        <v>0</v>
      </c>
      <c r="T246">
        <v>479</v>
      </c>
    </row>
    <row r="247" spans="1:20">
      <c r="A247">
        <v>160</v>
      </c>
      <c r="B247" t="s">
        <v>244</v>
      </c>
      <c r="C247">
        <v>1176</v>
      </c>
      <c r="D247" t="s">
        <v>3437</v>
      </c>
      <c r="E247" t="s">
        <v>3049</v>
      </c>
      <c r="F247" t="s">
        <v>3035</v>
      </c>
      <c r="G247" t="s">
        <v>3036</v>
      </c>
      <c r="H247" t="s">
        <v>3014</v>
      </c>
      <c r="I247" t="s">
        <v>3014</v>
      </c>
      <c r="J247" t="s">
        <v>3014</v>
      </c>
      <c r="K247" t="s">
        <v>3014</v>
      </c>
      <c r="L247" t="s">
        <v>3358</v>
      </c>
      <c r="M247" t="s">
        <v>3438</v>
      </c>
      <c r="N247" t="s">
        <v>1158</v>
      </c>
      <c r="O247" t="s">
        <v>8438</v>
      </c>
      <c r="P247" t="s">
        <v>8142</v>
      </c>
      <c r="Q247" t="s">
        <v>6337</v>
      </c>
      <c r="R247">
        <v>1</v>
      </c>
      <c r="S247">
        <v>1</v>
      </c>
      <c r="T247">
        <v>1086</v>
      </c>
    </row>
    <row r="248" spans="1:20">
      <c r="A248">
        <v>249</v>
      </c>
      <c r="B248" t="s">
        <v>3647</v>
      </c>
      <c r="C248">
        <v>1176</v>
      </c>
      <c r="D248">
        <v>1176</v>
      </c>
      <c r="E248" t="s">
        <v>3049</v>
      </c>
      <c r="F248" t="s">
        <v>3035</v>
      </c>
      <c r="G248" t="s">
        <v>3111</v>
      </c>
      <c r="H248" t="s">
        <v>3014</v>
      </c>
      <c r="I248" t="s">
        <v>3014</v>
      </c>
      <c r="J248" t="s">
        <v>3014</v>
      </c>
      <c r="K248" t="s">
        <v>3014</v>
      </c>
      <c r="L248" t="s">
        <v>3014</v>
      </c>
      <c r="M248" t="s">
        <v>3648</v>
      </c>
      <c r="N248" t="s">
        <v>648</v>
      </c>
      <c r="O248" t="s">
        <v>8438</v>
      </c>
      <c r="P248" t="s">
        <v>8142</v>
      </c>
      <c r="Q248" t="s">
        <v>6337</v>
      </c>
      <c r="R248">
        <v>1</v>
      </c>
      <c r="S248">
        <v>1</v>
      </c>
      <c r="T248">
        <v>219</v>
      </c>
    </row>
    <row r="249" spans="1:20">
      <c r="A249">
        <v>250</v>
      </c>
      <c r="B249" t="s">
        <v>3369</v>
      </c>
      <c r="C249">
        <v>1176</v>
      </c>
      <c r="D249">
        <v>1176</v>
      </c>
      <c r="E249" t="s">
        <v>3049</v>
      </c>
      <c r="F249" t="s">
        <v>3035</v>
      </c>
      <c r="G249" t="s">
        <v>3036</v>
      </c>
      <c r="H249" t="s">
        <v>3013</v>
      </c>
      <c r="I249" t="s">
        <v>3340</v>
      </c>
      <c r="J249" t="s">
        <v>3014</v>
      </c>
      <c r="K249" t="s">
        <v>3340</v>
      </c>
      <c r="L249" t="s">
        <v>3315</v>
      </c>
      <c r="M249" t="s">
        <v>3649</v>
      </c>
      <c r="N249" t="s">
        <v>322</v>
      </c>
      <c r="O249" t="s">
        <v>8064</v>
      </c>
      <c r="P249" t="s">
        <v>8064</v>
      </c>
      <c r="Q249">
        <v>0</v>
      </c>
      <c r="S249">
        <v>1</v>
      </c>
      <c r="T249">
        <v>1200</v>
      </c>
    </row>
    <row r="250" spans="1:20">
      <c r="A250">
        <v>247</v>
      </c>
      <c r="B250" t="s">
        <v>3642</v>
      </c>
      <c r="C250">
        <v>1176</v>
      </c>
      <c r="D250" t="s">
        <v>3643</v>
      </c>
      <c r="E250" t="s">
        <v>3010</v>
      </c>
      <c r="F250" t="s">
        <v>3035</v>
      </c>
      <c r="G250" t="s">
        <v>3036</v>
      </c>
      <c r="H250" t="s">
        <v>3014</v>
      </c>
      <c r="I250" t="s">
        <v>3014</v>
      </c>
      <c r="J250" t="s">
        <v>3014</v>
      </c>
      <c r="K250" t="s">
        <v>3014</v>
      </c>
      <c r="L250" t="s">
        <v>3013</v>
      </c>
      <c r="M250" t="s">
        <v>3588</v>
      </c>
      <c r="N250" t="s">
        <v>1464</v>
      </c>
      <c r="O250" t="s">
        <v>8364</v>
      </c>
      <c r="P250" t="s">
        <v>8069</v>
      </c>
      <c r="Q250" t="s">
        <v>4502</v>
      </c>
      <c r="T250">
        <v>542</v>
      </c>
    </row>
    <row r="251" spans="1:20">
      <c r="A251">
        <v>251</v>
      </c>
      <c r="B251" t="s">
        <v>3650</v>
      </c>
      <c r="C251">
        <v>1176</v>
      </c>
      <c r="D251" t="s">
        <v>3651</v>
      </c>
      <c r="E251" t="s">
        <v>3020</v>
      </c>
      <c r="F251" t="s">
        <v>3024</v>
      </c>
      <c r="G251" t="s">
        <v>3012</v>
      </c>
      <c r="H251" t="s">
        <v>3014</v>
      </c>
      <c r="I251" t="s">
        <v>3340</v>
      </c>
      <c r="J251" t="s">
        <v>3340</v>
      </c>
      <c r="K251" t="s">
        <v>3013</v>
      </c>
      <c r="L251" t="s">
        <v>3014</v>
      </c>
      <c r="M251" t="s">
        <v>3652</v>
      </c>
      <c r="N251" t="s">
        <v>3652</v>
      </c>
      <c r="O251" t="s">
        <v>8064</v>
      </c>
      <c r="P251" t="s">
        <v>8064</v>
      </c>
      <c r="Q251" t="e">
        <v>#N/A</v>
      </c>
      <c r="T251" t="e">
        <v>#N/A</v>
      </c>
    </row>
    <row r="252" spans="1:20">
      <c r="A252">
        <v>253</v>
      </c>
      <c r="B252" t="s">
        <v>3656</v>
      </c>
      <c r="C252">
        <v>1177</v>
      </c>
      <c r="D252" t="s">
        <v>3657</v>
      </c>
      <c r="E252" t="s">
        <v>3049</v>
      </c>
      <c r="F252" t="s">
        <v>3035</v>
      </c>
      <c r="G252" t="s">
        <v>3036</v>
      </c>
      <c r="H252" t="s">
        <v>3014</v>
      </c>
      <c r="I252" t="s">
        <v>3014</v>
      </c>
      <c r="J252" t="s">
        <v>3014</v>
      </c>
      <c r="K252" t="s">
        <v>3014</v>
      </c>
      <c r="L252" t="s">
        <v>3013</v>
      </c>
      <c r="M252" t="s">
        <v>3658</v>
      </c>
      <c r="N252" t="s">
        <v>8766</v>
      </c>
      <c r="O252" t="s">
        <v>8064</v>
      </c>
      <c r="P252" t="s">
        <v>8064</v>
      </c>
      <c r="Q252" t="e">
        <v>#N/A</v>
      </c>
      <c r="S252">
        <v>1</v>
      </c>
    </row>
    <row r="253" spans="1:20">
      <c r="A253">
        <v>252</v>
      </c>
      <c r="B253" t="s">
        <v>3653</v>
      </c>
      <c r="C253">
        <v>1177</v>
      </c>
      <c r="D253" t="s">
        <v>3654</v>
      </c>
      <c r="E253" t="s">
        <v>3049</v>
      </c>
      <c r="F253" t="s">
        <v>3035</v>
      </c>
      <c r="G253" t="s">
        <v>3036</v>
      </c>
      <c r="H253" t="s">
        <v>3013</v>
      </c>
      <c r="I253" t="s">
        <v>3014</v>
      </c>
      <c r="J253" t="s">
        <v>3014</v>
      </c>
      <c r="K253" t="s">
        <v>3014</v>
      </c>
      <c r="L253" t="s">
        <v>3014</v>
      </c>
      <c r="M253" t="s">
        <v>3655</v>
      </c>
      <c r="N253" t="s">
        <v>321</v>
      </c>
      <c r="O253" t="s">
        <v>6446</v>
      </c>
      <c r="P253" t="s">
        <v>8068</v>
      </c>
      <c r="Q253" t="s">
        <v>1</v>
      </c>
      <c r="R253">
        <v>1</v>
      </c>
      <c r="S253">
        <v>1</v>
      </c>
      <c r="T253">
        <v>1239</v>
      </c>
    </row>
    <row r="254" spans="1:20">
      <c r="A254">
        <v>254</v>
      </c>
      <c r="B254" t="s">
        <v>3659</v>
      </c>
      <c r="C254">
        <v>1179</v>
      </c>
      <c r="D254">
        <v>1179</v>
      </c>
      <c r="E254" t="s">
        <v>3010</v>
      </c>
      <c r="F254" t="s">
        <v>3035</v>
      </c>
      <c r="G254" t="s">
        <v>3036</v>
      </c>
      <c r="H254" t="s">
        <v>3340</v>
      </c>
      <c r="I254" t="s">
        <v>3014</v>
      </c>
      <c r="J254" t="s">
        <v>3014</v>
      </c>
      <c r="K254" t="s">
        <v>3014</v>
      </c>
      <c r="L254" t="s">
        <v>3013</v>
      </c>
      <c r="M254" t="s">
        <v>3660</v>
      </c>
      <c r="N254" t="s">
        <v>1466</v>
      </c>
      <c r="O254" t="s">
        <v>8577</v>
      </c>
      <c r="P254" t="s">
        <v>8282</v>
      </c>
      <c r="Q254" t="s">
        <v>6377</v>
      </c>
      <c r="T254">
        <v>688</v>
      </c>
    </row>
    <row r="255" spans="1:20">
      <c r="A255">
        <v>255</v>
      </c>
      <c r="B255" t="s">
        <v>3661</v>
      </c>
      <c r="C255">
        <v>1179</v>
      </c>
      <c r="D255" t="s">
        <v>3662</v>
      </c>
      <c r="E255" t="s">
        <v>3020</v>
      </c>
      <c r="F255" t="s">
        <v>3035</v>
      </c>
      <c r="G255" t="s">
        <v>3111</v>
      </c>
      <c r="H255" t="s">
        <v>3014</v>
      </c>
      <c r="I255" t="s">
        <v>3014</v>
      </c>
      <c r="J255" t="s">
        <v>3014</v>
      </c>
      <c r="K255" t="s">
        <v>3014</v>
      </c>
      <c r="L255" t="s">
        <v>3013</v>
      </c>
      <c r="M255" t="s">
        <v>3663</v>
      </c>
      <c r="N255" t="s">
        <v>625</v>
      </c>
      <c r="O255" t="s">
        <v>8443</v>
      </c>
      <c r="P255" t="s">
        <v>8147</v>
      </c>
      <c r="Q255" t="s">
        <v>6574</v>
      </c>
      <c r="T255">
        <v>228</v>
      </c>
    </row>
    <row r="256" spans="1:20">
      <c r="A256">
        <v>256</v>
      </c>
      <c r="B256" t="s">
        <v>3664</v>
      </c>
      <c r="C256">
        <v>1180</v>
      </c>
      <c r="D256">
        <v>1180</v>
      </c>
      <c r="E256" t="s">
        <v>3141</v>
      </c>
      <c r="F256" t="s">
        <v>3035</v>
      </c>
      <c r="G256" t="s">
        <v>3024</v>
      </c>
      <c r="H256" t="s">
        <v>3014</v>
      </c>
      <c r="I256" t="s">
        <v>3014</v>
      </c>
      <c r="J256" t="s">
        <v>3014</v>
      </c>
      <c r="K256" t="s">
        <v>3014</v>
      </c>
      <c r="L256" t="s">
        <v>3014</v>
      </c>
      <c r="M256" t="s">
        <v>3665</v>
      </c>
      <c r="N256" t="s">
        <v>6075</v>
      </c>
      <c r="O256" t="s">
        <v>8543</v>
      </c>
      <c r="P256" t="s">
        <v>8249</v>
      </c>
      <c r="Q256" t="s">
        <v>5642</v>
      </c>
      <c r="T256">
        <v>56</v>
      </c>
    </row>
    <row r="257" spans="1:20">
      <c r="A257">
        <v>259</v>
      </c>
      <c r="B257" t="s">
        <v>3671</v>
      </c>
      <c r="C257">
        <v>1180</v>
      </c>
      <c r="D257" t="s">
        <v>3672</v>
      </c>
      <c r="E257" t="s">
        <v>3023</v>
      </c>
      <c r="F257" t="s">
        <v>3035</v>
      </c>
      <c r="G257" t="s">
        <v>3036</v>
      </c>
      <c r="H257" t="s">
        <v>3014</v>
      </c>
      <c r="I257" t="s">
        <v>3014</v>
      </c>
      <c r="J257" t="s">
        <v>3014</v>
      </c>
      <c r="K257" t="s">
        <v>3014</v>
      </c>
      <c r="L257" t="s">
        <v>3315</v>
      </c>
      <c r="M257" t="s">
        <v>3673</v>
      </c>
      <c r="N257" t="s">
        <v>3673</v>
      </c>
      <c r="O257" t="s">
        <v>8628</v>
      </c>
      <c r="P257" t="s">
        <v>8088</v>
      </c>
      <c r="Q257" t="s">
        <v>6905</v>
      </c>
      <c r="T257">
        <v>1169</v>
      </c>
    </row>
    <row r="258" spans="1:20">
      <c r="A258">
        <v>258</v>
      </c>
      <c r="B258" t="s">
        <v>3668</v>
      </c>
      <c r="C258">
        <v>1180</v>
      </c>
      <c r="D258" t="s">
        <v>3669</v>
      </c>
      <c r="E258" t="s">
        <v>3010</v>
      </c>
      <c r="F258" t="s">
        <v>3035</v>
      </c>
      <c r="G258" t="s">
        <v>3036</v>
      </c>
      <c r="H258" t="s">
        <v>3014</v>
      </c>
      <c r="I258" t="s">
        <v>3370</v>
      </c>
      <c r="J258" t="s">
        <v>3340</v>
      </c>
      <c r="K258" t="s">
        <v>3014</v>
      </c>
      <c r="L258" t="s">
        <v>3358</v>
      </c>
      <c r="M258" t="s">
        <v>3670</v>
      </c>
      <c r="N258" t="s">
        <v>1465</v>
      </c>
      <c r="O258" t="s">
        <v>8577</v>
      </c>
      <c r="P258" t="s">
        <v>8282</v>
      </c>
      <c r="Q258" t="s">
        <v>6377</v>
      </c>
      <c r="T258">
        <v>619</v>
      </c>
    </row>
    <row r="259" spans="1:20">
      <c r="A259">
        <v>257</v>
      </c>
      <c r="B259" t="s">
        <v>3666</v>
      </c>
      <c r="C259">
        <v>1180</v>
      </c>
      <c r="D259">
        <v>1180</v>
      </c>
      <c r="E259" t="s">
        <v>3092</v>
      </c>
      <c r="F259" t="s">
        <v>3035</v>
      </c>
      <c r="G259" t="s">
        <v>3024</v>
      </c>
      <c r="H259" t="s">
        <v>3014</v>
      </c>
      <c r="I259" t="s">
        <v>3014</v>
      </c>
      <c r="J259" t="s">
        <v>3014</v>
      </c>
      <c r="K259" t="s">
        <v>3014</v>
      </c>
      <c r="L259" t="s">
        <v>3013</v>
      </c>
      <c r="M259" t="s">
        <v>3667</v>
      </c>
      <c r="N259" t="s">
        <v>2804</v>
      </c>
      <c r="O259" t="s">
        <v>6598</v>
      </c>
      <c r="P259" t="s">
        <v>6599</v>
      </c>
      <c r="Q259" t="s">
        <v>6597</v>
      </c>
      <c r="T259">
        <v>1352</v>
      </c>
    </row>
    <row r="260" spans="1:20">
      <c r="A260">
        <v>262</v>
      </c>
      <c r="B260" t="s">
        <v>3679</v>
      </c>
      <c r="C260">
        <v>1181</v>
      </c>
      <c r="D260" t="s">
        <v>3680</v>
      </c>
      <c r="E260" t="s">
        <v>3141</v>
      </c>
      <c r="F260" t="s">
        <v>3035</v>
      </c>
      <c r="G260" t="s">
        <v>3024</v>
      </c>
      <c r="H260" t="s">
        <v>3014</v>
      </c>
      <c r="I260" t="s">
        <v>3340</v>
      </c>
      <c r="J260" t="s">
        <v>3014</v>
      </c>
      <c r="K260" t="s">
        <v>3014</v>
      </c>
      <c r="L260" t="s">
        <v>3315</v>
      </c>
      <c r="M260" t="s">
        <v>3681</v>
      </c>
      <c r="N260" t="s">
        <v>6085</v>
      </c>
      <c r="O260" t="s">
        <v>8530</v>
      </c>
      <c r="P260" t="s">
        <v>8235</v>
      </c>
      <c r="Q260" t="s">
        <v>5720</v>
      </c>
      <c r="T260">
        <v>19</v>
      </c>
    </row>
    <row r="261" spans="1:20">
      <c r="A261">
        <v>260</v>
      </c>
      <c r="B261" t="s">
        <v>3674</v>
      </c>
      <c r="C261">
        <v>1181</v>
      </c>
      <c r="D261">
        <v>1181</v>
      </c>
      <c r="E261" t="s">
        <v>3141</v>
      </c>
      <c r="F261" t="s">
        <v>3035</v>
      </c>
      <c r="G261" t="s">
        <v>3024</v>
      </c>
      <c r="H261" t="s">
        <v>3014</v>
      </c>
      <c r="I261" t="s">
        <v>3014</v>
      </c>
      <c r="J261" t="s">
        <v>3014</v>
      </c>
      <c r="K261" t="s">
        <v>3014</v>
      </c>
      <c r="L261" t="s">
        <v>3358</v>
      </c>
      <c r="M261" t="s">
        <v>3675</v>
      </c>
      <c r="N261" t="s">
        <v>6086</v>
      </c>
      <c r="O261" t="s">
        <v>8535</v>
      </c>
      <c r="P261" t="s">
        <v>8240</v>
      </c>
      <c r="Q261" t="s">
        <v>5721</v>
      </c>
      <c r="T261">
        <v>11</v>
      </c>
    </row>
    <row r="262" spans="1:20">
      <c r="A262">
        <v>261</v>
      </c>
      <c r="B262" t="s">
        <v>3676</v>
      </c>
      <c r="C262">
        <v>1181</v>
      </c>
      <c r="D262" t="s">
        <v>3677</v>
      </c>
      <c r="E262" t="s">
        <v>3049</v>
      </c>
      <c r="F262" t="s">
        <v>3035</v>
      </c>
      <c r="G262" t="s">
        <v>3036</v>
      </c>
      <c r="H262" t="s">
        <v>3014</v>
      </c>
      <c r="I262" t="s">
        <v>3340</v>
      </c>
      <c r="J262" t="s">
        <v>3014</v>
      </c>
      <c r="K262" t="s">
        <v>3013</v>
      </c>
      <c r="L262" t="s">
        <v>3013</v>
      </c>
      <c r="M262" t="s">
        <v>3678</v>
      </c>
      <c r="N262" t="s">
        <v>959</v>
      </c>
      <c r="O262" t="s">
        <v>8419</v>
      </c>
      <c r="P262" t="s">
        <v>8123</v>
      </c>
      <c r="Q262" t="s">
        <v>6391</v>
      </c>
      <c r="R262">
        <v>1</v>
      </c>
      <c r="S262">
        <v>1</v>
      </c>
      <c r="T262">
        <v>322</v>
      </c>
    </row>
    <row r="263" spans="1:20">
      <c r="A263">
        <v>263</v>
      </c>
      <c r="B263" t="s">
        <v>3682</v>
      </c>
      <c r="C263">
        <v>1181</v>
      </c>
      <c r="D263" t="s">
        <v>3683</v>
      </c>
      <c r="E263" t="s">
        <v>3049</v>
      </c>
      <c r="F263" t="s">
        <v>3035</v>
      </c>
      <c r="G263" t="s">
        <v>3036</v>
      </c>
      <c r="H263" t="s">
        <v>3014</v>
      </c>
      <c r="I263" t="s">
        <v>3014</v>
      </c>
      <c r="J263" t="s">
        <v>3014</v>
      </c>
      <c r="K263" t="s">
        <v>3014</v>
      </c>
      <c r="L263" t="s">
        <v>3013</v>
      </c>
      <c r="M263" t="s">
        <v>3684</v>
      </c>
      <c r="N263" t="s">
        <v>650</v>
      </c>
      <c r="O263" t="s">
        <v>8421</v>
      </c>
      <c r="P263" t="s">
        <v>8125</v>
      </c>
      <c r="Q263" t="s">
        <v>6957</v>
      </c>
      <c r="R263">
        <v>1</v>
      </c>
      <c r="S263">
        <v>1</v>
      </c>
      <c r="T263">
        <v>175</v>
      </c>
    </row>
    <row r="264" spans="1:20">
      <c r="A264">
        <v>268</v>
      </c>
      <c r="B264" t="s">
        <v>3693</v>
      </c>
      <c r="C264">
        <v>1182</v>
      </c>
      <c r="D264" t="s">
        <v>3694</v>
      </c>
      <c r="E264" t="s">
        <v>3049</v>
      </c>
      <c r="F264" t="s">
        <v>3035</v>
      </c>
      <c r="G264" t="s">
        <v>3111</v>
      </c>
      <c r="H264" t="s">
        <v>3014</v>
      </c>
      <c r="I264" t="s">
        <v>3014</v>
      </c>
      <c r="J264" t="s">
        <v>3014</v>
      </c>
      <c r="K264" t="s">
        <v>3014</v>
      </c>
      <c r="L264" t="s">
        <v>3013</v>
      </c>
      <c r="M264" t="s">
        <v>3695</v>
      </c>
      <c r="N264" t="s">
        <v>639</v>
      </c>
      <c r="O264" t="s">
        <v>8403</v>
      </c>
      <c r="P264" t="s">
        <v>8107</v>
      </c>
      <c r="Q264" t="s">
        <v>6743</v>
      </c>
      <c r="R264">
        <v>1</v>
      </c>
      <c r="S264">
        <v>1</v>
      </c>
      <c r="T264">
        <v>124</v>
      </c>
    </row>
    <row r="265" spans="1:20">
      <c r="A265">
        <v>266</v>
      </c>
      <c r="B265" t="s">
        <v>3688</v>
      </c>
      <c r="C265">
        <v>1182</v>
      </c>
      <c r="D265" t="s">
        <v>3689</v>
      </c>
      <c r="E265" t="s">
        <v>3010</v>
      </c>
      <c r="F265" t="s">
        <v>3035</v>
      </c>
      <c r="G265" t="s">
        <v>3036</v>
      </c>
      <c r="H265" t="s">
        <v>3370</v>
      </c>
      <c r="I265" t="s">
        <v>3340</v>
      </c>
      <c r="J265" t="s">
        <v>3340</v>
      </c>
      <c r="K265" t="s">
        <v>3014</v>
      </c>
      <c r="L265" t="s">
        <v>3014</v>
      </c>
      <c r="M265" t="s">
        <v>3690</v>
      </c>
      <c r="N265" t="s">
        <v>1294</v>
      </c>
      <c r="O265" t="s">
        <v>8559</v>
      </c>
      <c r="P265" t="s">
        <v>8264</v>
      </c>
      <c r="Q265" t="s">
        <v>6437</v>
      </c>
      <c r="T265">
        <v>477</v>
      </c>
    </row>
    <row r="266" spans="1:20">
      <c r="A266">
        <v>264</v>
      </c>
      <c r="B266" t="s">
        <v>3685</v>
      </c>
      <c r="C266">
        <v>1182</v>
      </c>
      <c r="D266">
        <v>1182</v>
      </c>
      <c r="E266" t="s">
        <v>3010</v>
      </c>
      <c r="F266" t="s">
        <v>3035</v>
      </c>
      <c r="G266" t="s">
        <v>3036</v>
      </c>
      <c r="H266" t="s">
        <v>3340</v>
      </c>
      <c r="I266" t="s">
        <v>3340</v>
      </c>
      <c r="J266" t="s">
        <v>3014</v>
      </c>
      <c r="K266" t="s">
        <v>3014</v>
      </c>
      <c r="L266" t="s">
        <v>3315</v>
      </c>
      <c r="M266" t="s">
        <v>3686</v>
      </c>
      <c r="N266" t="s">
        <v>1467</v>
      </c>
      <c r="O266" t="s">
        <v>8475</v>
      </c>
      <c r="P266" t="s">
        <v>8179</v>
      </c>
      <c r="Q266" t="s">
        <v>4508</v>
      </c>
      <c r="T266">
        <v>620</v>
      </c>
    </row>
    <row r="267" spans="1:20">
      <c r="A267">
        <v>265</v>
      </c>
      <c r="B267" t="s">
        <v>3687</v>
      </c>
      <c r="C267">
        <v>1182</v>
      </c>
      <c r="D267">
        <v>1182</v>
      </c>
      <c r="E267" t="s">
        <v>3010</v>
      </c>
      <c r="F267" t="s">
        <v>3035</v>
      </c>
      <c r="G267" t="s">
        <v>3036</v>
      </c>
      <c r="H267" t="s">
        <v>3014</v>
      </c>
      <c r="I267" t="s">
        <v>3370</v>
      </c>
      <c r="J267" t="s">
        <v>3014</v>
      </c>
      <c r="K267" t="s">
        <v>3014</v>
      </c>
      <c r="L267" t="s">
        <v>3013</v>
      </c>
      <c r="M267" t="s">
        <v>3686</v>
      </c>
      <c r="N267" t="s">
        <v>1467</v>
      </c>
      <c r="O267" t="s">
        <v>8475</v>
      </c>
      <c r="P267" t="s">
        <v>8179</v>
      </c>
      <c r="Q267" t="s">
        <v>4508</v>
      </c>
      <c r="T267">
        <v>620</v>
      </c>
    </row>
    <row r="268" spans="1:20">
      <c r="A268">
        <v>267</v>
      </c>
      <c r="B268" t="s">
        <v>3691</v>
      </c>
      <c r="C268">
        <v>1182</v>
      </c>
      <c r="D268" t="s">
        <v>3689</v>
      </c>
      <c r="E268" t="s">
        <v>3020</v>
      </c>
      <c r="F268" t="s">
        <v>3035</v>
      </c>
      <c r="G268" t="s">
        <v>3024</v>
      </c>
      <c r="H268" t="s">
        <v>3340</v>
      </c>
      <c r="I268" t="s">
        <v>3340</v>
      </c>
      <c r="J268" t="s">
        <v>3014</v>
      </c>
      <c r="K268" t="s">
        <v>3340</v>
      </c>
      <c r="L268" t="s">
        <v>3315</v>
      </c>
      <c r="M268" t="s">
        <v>3692</v>
      </c>
      <c r="N268" t="s">
        <v>323</v>
      </c>
      <c r="O268" t="s">
        <v>8521</v>
      </c>
      <c r="P268" t="s">
        <v>8226</v>
      </c>
      <c r="Q268" t="s">
        <v>6696</v>
      </c>
      <c r="T268">
        <v>1229</v>
      </c>
    </row>
    <row r="269" spans="1:20">
      <c r="A269">
        <v>269</v>
      </c>
      <c r="B269" t="s">
        <v>3696</v>
      </c>
      <c r="C269">
        <v>1183</v>
      </c>
      <c r="D269">
        <v>1183</v>
      </c>
      <c r="E269" t="s">
        <v>3010</v>
      </c>
      <c r="F269" t="s">
        <v>3035</v>
      </c>
      <c r="G269" t="s">
        <v>3036</v>
      </c>
      <c r="H269" t="s">
        <v>3013</v>
      </c>
      <c r="I269" t="s">
        <v>3014</v>
      </c>
      <c r="J269" t="s">
        <v>3014</v>
      </c>
      <c r="K269" t="s">
        <v>3340</v>
      </c>
      <c r="L269" t="s">
        <v>3315</v>
      </c>
      <c r="M269" t="s">
        <v>3697</v>
      </c>
      <c r="N269" t="s">
        <v>1468</v>
      </c>
      <c r="O269" t="s">
        <v>8577</v>
      </c>
      <c r="P269" t="s">
        <v>8282</v>
      </c>
      <c r="Q269" t="s">
        <v>6377</v>
      </c>
      <c r="T269">
        <v>623</v>
      </c>
    </row>
    <row r="270" spans="1:20">
      <c r="A270">
        <v>271</v>
      </c>
      <c r="B270" t="s">
        <v>3700</v>
      </c>
      <c r="C270">
        <v>1184</v>
      </c>
      <c r="D270" t="s">
        <v>3701</v>
      </c>
      <c r="E270" t="s">
        <v>3049</v>
      </c>
      <c r="F270" t="s">
        <v>3035</v>
      </c>
      <c r="G270" t="s">
        <v>3036</v>
      </c>
      <c r="H270" t="s">
        <v>3014</v>
      </c>
      <c r="I270" t="s">
        <v>3014</v>
      </c>
      <c r="J270" t="s">
        <v>3014</v>
      </c>
      <c r="K270" t="s">
        <v>3014</v>
      </c>
      <c r="L270" t="s">
        <v>3013</v>
      </c>
      <c r="M270" t="s">
        <v>3702</v>
      </c>
      <c r="N270" t="s">
        <v>8767</v>
      </c>
      <c r="O270" t="s">
        <v>8064</v>
      </c>
      <c r="P270" t="s">
        <v>8064</v>
      </c>
      <c r="Q270" t="e">
        <v>#N/A</v>
      </c>
      <c r="S270">
        <v>1</v>
      </c>
    </row>
    <row r="271" spans="1:20">
      <c r="A271">
        <v>270</v>
      </c>
      <c r="B271" t="s">
        <v>3698</v>
      </c>
      <c r="C271">
        <v>1184</v>
      </c>
      <c r="D271" t="s">
        <v>3699</v>
      </c>
      <c r="E271" t="s">
        <v>3010</v>
      </c>
      <c r="F271" t="s">
        <v>3035</v>
      </c>
      <c r="G271" t="s">
        <v>3036</v>
      </c>
      <c r="H271" t="s">
        <v>3014</v>
      </c>
      <c r="I271" t="s">
        <v>3014</v>
      </c>
      <c r="J271" t="s">
        <v>3014</v>
      </c>
      <c r="K271" t="s">
        <v>3014</v>
      </c>
      <c r="L271" t="s">
        <v>3315</v>
      </c>
      <c r="M271" t="s">
        <v>3602</v>
      </c>
      <c r="N271" t="s">
        <v>1532</v>
      </c>
      <c r="O271" t="s">
        <v>8586</v>
      </c>
      <c r="P271" t="s">
        <v>8292</v>
      </c>
      <c r="Q271" t="s">
        <v>4509</v>
      </c>
      <c r="T271">
        <v>729</v>
      </c>
    </row>
    <row r="272" spans="1:20">
      <c r="A272">
        <v>273</v>
      </c>
      <c r="B272" t="s">
        <v>3705</v>
      </c>
      <c r="C272">
        <v>1185</v>
      </c>
      <c r="D272" t="s">
        <v>3706</v>
      </c>
      <c r="E272" t="s">
        <v>3010</v>
      </c>
      <c r="F272" t="s">
        <v>3035</v>
      </c>
      <c r="G272" t="s">
        <v>3036</v>
      </c>
      <c r="H272" t="s">
        <v>3014</v>
      </c>
      <c r="I272" t="s">
        <v>3014</v>
      </c>
      <c r="J272" t="s">
        <v>3014</v>
      </c>
      <c r="K272" t="s">
        <v>3014</v>
      </c>
      <c r="L272" t="s">
        <v>3013</v>
      </c>
      <c r="M272" t="s">
        <v>3660</v>
      </c>
      <c r="N272" t="s">
        <v>1466</v>
      </c>
      <c r="O272" t="s">
        <v>8577</v>
      </c>
      <c r="P272" t="s">
        <v>8282</v>
      </c>
      <c r="Q272" t="s">
        <v>6377</v>
      </c>
      <c r="T272">
        <v>688</v>
      </c>
    </row>
    <row r="273" spans="1:20">
      <c r="A273">
        <v>274</v>
      </c>
      <c r="B273" t="s">
        <v>3707</v>
      </c>
      <c r="C273">
        <v>1185</v>
      </c>
      <c r="D273" t="s">
        <v>3708</v>
      </c>
      <c r="E273" t="s">
        <v>3010</v>
      </c>
      <c r="F273" t="s">
        <v>3035</v>
      </c>
      <c r="G273" t="s">
        <v>3036</v>
      </c>
      <c r="H273" t="s">
        <v>3014</v>
      </c>
      <c r="I273" t="s">
        <v>3014</v>
      </c>
      <c r="J273" t="s">
        <v>3370</v>
      </c>
      <c r="K273" t="s">
        <v>3014</v>
      </c>
      <c r="L273" t="s">
        <v>3013</v>
      </c>
      <c r="M273" t="s">
        <v>3709</v>
      </c>
      <c r="N273" t="s">
        <v>1857</v>
      </c>
      <c r="O273" t="s">
        <v>8386</v>
      </c>
      <c r="P273" t="s">
        <v>8090</v>
      </c>
      <c r="Q273" t="s">
        <v>6368</v>
      </c>
      <c r="T273">
        <v>858</v>
      </c>
    </row>
    <row r="274" spans="1:20">
      <c r="A274">
        <v>272</v>
      </c>
      <c r="B274" t="s">
        <v>3703</v>
      </c>
      <c r="C274">
        <v>1185</v>
      </c>
      <c r="D274">
        <v>1185</v>
      </c>
      <c r="E274" t="s">
        <v>3010</v>
      </c>
      <c r="F274" t="s">
        <v>3035</v>
      </c>
      <c r="G274" t="s">
        <v>3036</v>
      </c>
      <c r="H274" t="s">
        <v>3014</v>
      </c>
      <c r="I274" t="s">
        <v>3315</v>
      </c>
      <c r="J274" t="s">
        <v>3014</v>
      </c>
      <c r="K274" t="s">
        <v>3014</v>
      </c>
      <c r="L274" t="s">
        <v>3315</v>
      </c>
      <c r="M274" t="s">
        <v>3704</v>
      </c>
      <c r="N274" t="s">
        <v>1980</v>
      </c>
      <c r="O274" t="s">
        <v>8494</v>
      </c>
      <c r="P274" t="s">
        <v>8200</v>
      </c>
      <c r="Q274" t="s">
        <v>4433</v>
      </c>
      <c r="T274">
        <v>973</v>
      </c>
    </row>
    <row r="275" spans="1:20">
      <c r="A275">
        <v>275</v>
      </c>
      <c r="B275" t="s">
        <v>3710</v>
      </c>
      <c r="C275">
        <v>1186</v>
      </c>
      <c r="D275">
        <v>1186</v>
      </c>
      <c r="E275" t="s">
        <v>3010</v>
      </c>
      <c r="F275" t="s">
        <v>3035</v>
      </c>
      <c r="G275" t="s">
        <v>3036</v>
      </c>
      <c r="H275" t="s">
        <v>3014</v>
      </c>
      <c r="I275" t="s">
        <v>3340</v>
      </c>
      <c r="J275" t="s">
        <v>3014</v>
      </c>
      <c r="K275" t="s">
        <v>3014</v>
      </c>
      <c r="L275" t="s">
        <v>3013</v>
      </c>
      <c r="M275" t="s">
        <v>3704</v>
      </c>
      <c r="N275" t="s">
        <v>1980</v>
      </c>
      <c r="O275" t="s">
        <v>8494</v>
      </c>
      <c r="P275" t="s">
        <v>8200</v>
      </c>
      <c r="Q275" t="s">
        <v>4433</v>
      </c>
      <c r="T275">
        <v>973</v>
      </c>
    </row>
    <row r="276" spans="1:20">
      <c r="A276">
        <v>276</v>
      </c>
      <c r="B276" t="s">
        <v>3711</v>
      </c>
      <c r="C276">
        <v>1186</v>
      </c>
      <c r="D276" t="s">
        <v>3712</v>
      </c>
      <c r="E276" t="s">
        <v>3020</v>
      </c>
      <c r="F276" t="s">
        <v>3035</v>
      </c>
      <c r="G276" t="s">
        <v>3024</v>
      </c>
      <c r="H276" t="s">
        <v>3014</v>
      </c>
      <c r="I276" t="s">
        <v>3014</v>
      </c>
      <c r="J276" t="s">
        <v>3014</v>
      </c>
      <c r="K276" t="s">
        <v>3014</v>
      </c>
      <c r="L276" t="s">
        <v>3013</v>
      </c>
      <c r="M276" t="s">
        <v>3713</v>
      </c>
      <c r="N276" t="s">
        <v>320</v>
      </c>
      <c r="O276" t="s">
        <v>8509</v>
      </c>
      <c r="P276" t="s">
        <v>8215</v>
      </c>
      <c r="Q276" t="s">
        <v>6417</v>
      </c>
      <c r="T276">
        <v>1187</v>
      </c>
    </row>
    <row r="277" spans="1:20">
      <c r="A277">
        <v>277</v>
      </c>
      <c r="B277" t="s">
        <v>3714</v>
      </c>
      <c r="C277">
        <v>1187</v>
      </c>
      <c r="D277" t="s">
        <v>3715</v>
      </c>
      <c r="E277" t="s">
        <v>3010</v>
      </c>
      <c r="F277" t="s">
        <v>3035</v>
      </c>
      <c r="G277" t="s">
        <v>3036</v>
      </c>
      <c r="H277" t="s">
        <v>3014</v>
      </c>
      <c r="I277" t="s">
        <v>3340</v>
      </c>
      <c r="J277" t="s">
        <v>3014</v>
      </c>
      <c r="K277" t="s">
        <v>3013</v>
      </c>
      <c r="L277" t="s">
        <v>3315</v>
      </c>
      <c r="M277" t="s">
        <v>3716</v>
      </c>
      <c r="N277" t="s">
        <v>1858</v>
      </c>
      <c r="O277" t="s">
        <v>8466</v>
      </c>
      <c r="P277" t="s">
        <v>8170</v>
      </c>
      <c r="Q277" t="s">
        <v>4514</v>
      </c>
      <c r="T277">
        <v>836</v>
      </c>
    </row>
    <row r="278" spans="1:20">
      <c r="A278">
        <v>278</v>
      </c>
      <c r="B278" t="s">
        <v>3717</v>
      </c>
      <c r="C278">
        <v>1188</v>
      </c>
      <c r="D278">
        <v>1188</v>
      </c>
      <c r="E278" t="s">
        <v>3010</v>
      </c>
      <c r="F278" t="s">
        <v>3035</v>
      </c>
      <c r="G278" t="s">
        <v>3036</v>
      </c>
      <c r="H278" t="s">
        <v>3315</v>
      </c>
      <c r="I278" t="s">
        <v>3315</v>
      </c>
      <c r="J278" t="s">
        <v>3315</v>
      </c>
      <c r="K278" t="s">
        <v>3315</v>
      </c>
      <c r="L278" t="s">
        <v>3013</v>
      </c>
      <c r="M278" t="s">
        <v>3718</v>
      </c>
      <c r="N278" t="s">
        <v>1469</v>
      </c>
      <c r="O278" t="s">
        <v>8584</v>
      </c>
      <c r="P278" t="s">
        <v>8290</v>
      </c>
      <c r="Q278" t="s">
        <v>4515</v>
      </c>
      <c r="T278">
        <v>624</v>
      </c>
    </row>
    <row r="279" spans="1:20">
      <c r="A279">
        <v>280</v>
      </c>
      <c r="B279" t="s">
        <v>3722</v>
      </c>
      <c r="C279">
        <v>1189</v>
      </c>
      <c r="D279" t="s">
        <v>3723</v>
      </c>
      <c r="E279" t="s">
        <v>3049</v>
      </c>
      <c r="F279" t="s">
        <v>3035</v>
      </c>
      <c r="G279" t="s">
        <v>3024</v>
      </c>
      <c r="H279" t="s">
        <v>3014</v>
      </c>
      <c r="I279" t="s">
        <v>3340</v>
      </c>
      <c r="J279" t="s">
        <v>3014</v>
      </c>
      <c r="K279" t="s">
        <v>3013</v>
      </c>
      <c r="L279" t="s">
        <v>3358</v>
      </c>
      <c r="M279" t="s">
        <v>3724</v>
      </c>
      <c r="N279" t="s">
        <v>965</v>
      </c>
      <c r="O279" t="s">
        <v>8064</v>
      </c>
      <c r="P279" t="s">
        <v>8064</v>
      </c>
      <c r="Q279">
        <v>0</v>
      </c>
      <c r="S279">
        <v>1</v>
      </c>
      <c r="T279">
        <v>319</v>
      </c>
    </row>
    <row r="280" spans="1:20">
      <c r="A280">
        <v>279</v>
      </c>
      <c r="B280" t="s">
        <v>3719</v>
      </c>
      <c r="C280">
        <v>1189</v>
      </c>
      <c r="D280" t="s">
        <v>3720</v>
      </c>
      <c r="E280" t="s">
        <v>3010</v>
      </c>
      <c r="F280" t="s">
        <v>3035</v>
      </c>
      <c r="G280" t="s">
        <v>3036</v>
      </c>
      <c r="H280" t="s">
        <v>3340</v>
      </c>
      <c r="I280" t="s">
        <v>3014</v>
      </c>
      <c r="J280" t="s">
        <v>3014</v>
      </c>
      <c r="K280" t="s">
        <v>3014</v>
      </c>
      <c r="L280" t="s">
        <v>3013</v>
      </c>
      <c r="M280" t="s">
        <v>3721</v>
      </c>
      <c r="N280" t="s">
        <v>1856</v>
      </c>
      <c r="O280" t="s">
        <v>8479</v>
      </c>
      <c r="P280" t="s">
        <v>8184</v>
      </c>
      <c r="Q280" t="s">
        <v>4512</v>
      </c>
      <c r="T280">
        <v>854</v>
      </c>
    </row>
    <row r="281" spans="1:20">
      <c r="A281">
        <v>281</v>
      </c>
      <c r="B281" t="s">
        <v>3725</v>
      </c>
      <c r="C281">
        <v>1190</v>
      </c>
      <c r="D281" t="s">
        <v>3726</v>
      </c>
      <c r="E281" t="s">
        <v>3010</v>
      </c>
      <c r="F281" t="s">
        <v>3035</v>
      </c>
      <c r="G281" t="s">
        <v>3036</v>
      </c>
      <c r="H281" t="s">
        <v>3014</v>
      </c>
      <c r="I281" t="s">
        <v>3014</v>
      </c>
      <c r="J281" t="s">
        <v>3014</v>
      </c>
      <c r="K281" t="s">
        <v>3014</v>
      </c>
      <c r="L281" t="s">
        <v>3315</v>
      </c>
      <c r="M281" t="s">
        <v>3727</v>
      </c>
      <c r="N281" t="s">
        <v>5158</v>
      </c>
      <c r="O281" t="s">
        <v>8622</v>
      </c>
      <c r="P281" t="s">
        <v>8329</v>
      </c>
      <c r="Q281" t="s">
        <v>5112</v>
      </c>
      <c r="T281">
        <v>1153</v>
      </c>
    </row>
    <row r="282" spans="1:20">
      <c r="A282">
        <v>282</v>
      </c>
      <c r="B282" t="s">
        <v>3728</v>
      </c>
      <c r="C282">
        <v>1191</v>
      </c>
      <c r="D282" t="s">
        <v>469</v>
      </c>
      <c r="E282" t="s">
        <v>3049</v>
      </c>
      <c r="F282" t="s">
        <v>3035</v>
      </c>
      <c r="G282" t="s">
        <v>3036</v>
      </c>
      <c r="H282" t="s">
        <v>3014</v>
      </c>
      <c r="I282" t="s">
        <v>3014</v>
      </c>
      <c r="J282" t="s">
        <v>3014</v>
      </c>
      <c r="K282" t="s">
        <v>3315</v>
      </c>
      <c r="L282" t="s">
        <v>3315</v>
      </c>
      <c r="M282" t="s">
        <v>3729</v>
      </c>
      <c r="N282" t="s">
        <v>654</v>
      </c>
      <c r="O282" t="s">
        <v>8064</v>
      </c>
      <c r="P282" t="s">
        <v>8064</v>
      </c>
      <c r="Q282">
        <v>0</v>
      </c>
      <c r="S282">
        <v>1</v>
      </c>
      <c r="T282">
        <v>241</v>
      </c>
    </row>
    <row r="283" spans="1:20">
      <c r="A283" t="s">
        <v>3730</v>
      </c>
      <c r="B283" t="s">
        <v>3731</v>
      </c>
      <c r="C283">
        <v>1191</v>
      </c>
      <c r="D283" t="s">
        <v>3732</v>
      </c>
      <c r="E283" t="s">
        <v>3733</v>
      </c>
      <c r="M283" t="s">
        <v>3734</v>
      </c>
      <c r="N283" t="s">
        <v>8768</v>
      </c>
      <c r="O283" t="s">
        <v>8064</v>
      </c>
      <c r="P283" t="s">
        <v>8064</v>
      </c>
      <c r="Q283" t="e">
        <v>#N/A</v>
      </c>
      <c r="S283">
        <v>1</v>
      </c>
    </row>
    <row r="284" spans="1:20">
      <c r="A284">
        <v>284</v>
      </c>
      <c r="B284" t="s">
        <v>3735</v>
      </c>
      <c r="C284">
        <v>1192</v>
      </c>
      <c r="D284">
        <v>1192</v>
      </c>
      <c r="E284" t="s">
        <v>3013</v>
      </c>
      <c r="F284" t="s">
        <v>3035</v>
      </c>
      <c r="G284" t="s">
        <v>3036</v>
      </c>
      <c r="H284" t="s">
        <v>3340</v>
      </c>
      <c r="I284" t="s">
        <v>3014</v>
      </c>
      <c r="J284" t="s">
        <v>3315</v>
      </c>
      <c r="K284" t="s">
        <v>3340</v>
      </c>
      <c r="L284" t="s">
        <v>3013</v>
      </c>
      <c r="M284" t="s">
        <v>3736</v>
      </c>
      <c r="N284" t="s">
        <v>657</v>
      </c>
      <c r="O284" t="s">
        <v>8064</v>
      </c>
      <c r="P284" t="s">
        <v>8064</v>
      </c>
      <c r="Q284">
        <v>0</v>
      </c>
      <c r="T284">
        <v>116</v>
      </c>
    </row>
    <row r="285" spans="1:20">
      <c r="A285">
        <v>285</v>
      </c>
      <c r="B285" t="s">
        <v>3737</v>
      </c>
      <c r="C285">
        <v>1192</v>
      </c>
      <c r="D285" t="s">
        <v>3738</v>
      </c>
      <c r="E285" t="s">
        <v>3049</v>
      </c>
      <c r="F285" t="s">
        <v>3035</v>
      </c>
      <c r="G285" t="s">
        <v>3036</v>
      </c>
      <c r="H285" t="s">
        <v>3014</v>
      </c>
      <c r="I285" t="s">
        <v>3315</v>
      </c>
      <c r="J285" t="s">
        <v>3315</v>
      </c>
      <c r="K285" t="s">
        <v>3370</v>
      </c>
      <c r="L285" t="s">
        <v>3358</v>
      </c>
      <c r="M285" t="s">
        <v>3739</v>
      </c>
      <c r="N285" t="s">
        <v>652</v>
      </c>
      <c r="O285" t="s">
        <v>8422</v>
      </c>
      <c r="P285" t="s">
        <v>8126</v>
      </c>
      <c r="Q285" t="s">
        <v>6729</v>
      </c>
      <c r="R285">
        <v>1</v>
      </c>
      <c r="S285">
        <v>1</v>
      </c>
      <c r="T285">
        <v>194</v>
      </c>
    </row>
    <row r="286" spans="1:20">
      <c r="A286">
        <v>286</v>
      </c>
      <c r="B286" t="s">
        <v>3740</v>
      </c>
      <c r="C286">
        <v>1192</v>
      </c>
      <c r="D286" t="s">
        <v>3741</v>
      </c>
      <c r="E286" t="s">
        <v>3049</v>
      </c>
      <c r="F286" t="s">
        <v>3035</v>
      </c>
      <c r="G286" t="s">
        <v>3036</v>
      </c>
      <c r="H286" t="s">
        <v>3014</v>
      </c>
      <c r="I286" t="s">
        <v>3014</v>
      </c>
      <c r="J286" t="s">
        <v>3014</v>
      </c>
      <c r="K286" t="s">
        <v>3340</v>
      </c>
      <c r="L286" t="s">
        <v>3315</v>
      </c>
      <c r="M286" t="s">
        <v>3742</v>
      </c>
      <c r="N286" t="s">
        <v>324</v>
      </c>
      <c r="O286" t="s">
        <v>8499</v>
      </c>
      <c r="P286" t="s">
        <v>8205</v>
      </c>
      <c r="Q286" t="s">
        <v>6362</v>
      </c>
      <c r="R286">
        <v>1</v>
      </c>
      <c r="S286">
        <v>1</v>
      </c>
      <c r="T286">
        <v>1248</v>
      </c>
    </row>
    <row r="287" spans="1:20">
      <c r="A287">
        <v>287</v>
      </c>
      <c r="B287" t="s">
        <v>3743</v>
      </c>
      <c r="C287">
        <v>1193</v>
      </c>
      <c r="D287" t="s">
        <v>3744</v>
      </c>
      <c r="E287" t="s">
        <v>3141</v>
      </c>
      <c r="F287" t="s">
        <v>3024</v>
      </c>
      <c r="G287" t="s">
        <v>3012</v>
      </c>
      <c r="H287" t="s">
        <v>3014</v>
      </c>
      <c r="I287" t="s">
        <v>3014</v>
      </c>
      <c r="J287" t="s">
        <v>3014</v>
      </c>
      <c r="K287" t="s">
        <v>3014</v>
      </c>
      <c r="L287" t="s">
        <v>3014</v>
      </c>
      <c r="M287" t="s">
        <v>3745</v>
      </c>
      <c r="N287" t="s">
        <v>8773</v>
      </c>
      <c r="O287" t="s">
        <v>8064</v>
      </c>
      <c r="P287" t="s">
        <v>8064</v>
      </c>
      <c r="Q287" t="e">
        <v>#N/A</v>
      </c>
      <c r="T287" t="e">
        <v>#N/A</v>
      </c>
    </row>
    <row r="288" spans="1:20">
      <c r="A288">
        <v>289</v>
      </c>
      <c r="B288" t="s">
        <v>3749</v>
      </c>
      <c r="C288">
        <v>1193</v>
      </c>
      <c r="D288" t="s">
        <v>3750</v>
      </c>
      <c r="E288" t="s">
        <v>3049</v>
      </c>
      <c r="F288" t="s">
        <v>3035</v>
      </c>
      <c r="G288" t="s">
        <v>3036</v>
      </c>
      <c r="H288" t="s">
        <v>3014</v>
      </c>
      <c r="I288" t="s">
        <v>3014</v>
      </c>
      <c r="J288" t="s">
        <v>3014</v>
      </c>
      <c r="K288" t="s">
        <v>3014</v>
      </c>
      <c r="L288" t="s">
        <v>3358</v>
      </c>
      <c r="M288" t="s">
        <v>3751</v>
      </c>
      <c r="N288" t="s">
        <v>971</v>
      </c>
      <c r="O288" t="s">
        <v>8360</v>
      </c>
      <c r="P288" t="s">
        <v>8063</v>
      </c>
      <c r="Q288" t="s">
        <v>6348</v>
      </c>
      <c r="R288">
        <v>1</v>
      </c>
      <c r="S288">
        <v>1</v>
      </c>
      <c r="T288">
        <v>290</v>
      </c>
    </row>
    <row r="289" spans="1:20">
      <c r="A289">
        <v>288</v>
      </c>
      <c r="B289" t="s">
        <v>3746</v>
      </c>
      <c r="C289">
        <v>1193</v>
      </c>
      <c r="D289" t="s">
        <v>3747</v>
      </c>
      <c r="E289" t="s">
        <v>3092</v>
      </c>
      <c r="F289" t="s">
        <v>3035</v>
      </c>
      <c r="G289" t="s">
        <v>3024</v>
      </c>
      <c r="H289" t="s">
        <v>3315</v>
      </c>
      <c r="I289" t="s">
        <v>3315</v>
      </c>
      <c r="J289" t="s">
        <v>3315</v>
      </c>
      <c r="K289" t="s">
        <v>3315</v>
      </c>
      <c r="L289" t="s">
        <v>3014</v>
      </c>
      <c r="M289" t="s">
        <v>3748</v>
      </c>
      <c r="N289" t="s">
        <v>2823</v>
      </c>
      <c r="O289" t="s">
        <v>8064</v>
      </c>
      <c r="P289" t="s">
        <v>8064</v>
      </c>
      <c r="Q289">
        <v>0</v>
      </c>
      <c r="T289">
        <v>1379</v>
      </c>
    </row>
    <row r="290" spans="1:20">
      <c r="A290">
        <v>291</v>
      </c>
      <c r="B290" t="s">
        <v>3754</v>
      </c>
      <c r="C290">
        <v>1194</v>
      </c>
      <c r="D290" t="s">
        <v>3755</v>
      </c>
      <c r="E290" t="s">
        <v>3049</v>
      </c>
      <c r="F290" t="s">
        <v>3035</v>
      </c>
      <c r="G290" t="s">
        <v>3024</v>
      </c>
      <c r="H290" t="s">
        <v>3014</v>
      </c>
      <c r="I290" t="s">
        <v>3315</v>
      </c>
      <c r="J290" t="s">
        <v>3014</v>
      </c>
      <c r="K290" t="s">
        <v>3315</v>
      </c>
      <c r="L290" t="s">
        <v>3315</v>
      </c>
      <c r="M290" t="s">
        <v>3756</v>
      </c>
      <c r="N290" t="s">
        <v>1160</v>
      </c>
      <c r="O290" t="s">
        <v>6446</v>
      </c>
      <c r="P290" t="s">
        <v>8068</v>
      </c>
      <c r="Q290" t="s">
        <v>1</v>
      </c>
      <c r="R290">
        <v>1</v>
      </c>
      <c r="S290">
        <v>1</v>
      </c>
      <c r="T290">
        <v>1372</v>
      </c>
    </row>
    <row r="291" spans="1:20">
      <c r="A291">
        <v>292</v>
      </c>
      <c r="B291" t="s">
        <v>3757</v>
      </c>
      <c r="C291">
        <v>1194</v>
      </c>
      <c r="D291" t="s">
        <v>4</v>
      </c>
      <c r="E291" t="s">
        <v>3049</v>
      </c>
      <c r="F291" t="s">
        <v>3035</v>
      </c>
      <c r="G291" t="s">
        <v>3036</v>
      </c>
      <c r="H291" t="s">
        <v>3340</v>
      </c>
      <c r="I291" t="s">
        <v>3014</v>
      </c>
      <c r="J291" t="s">
        <v>3014</v>
      </c>
      <c r="K291" t="s">
        <v>3014</v>
      </c>
      <c r="L291" t="s">
        <v>3315</v>
      </c>
      <c r="M291" t="s">
        <v>3758</v>
      </c>
      <c r="N291" t="s">
        <v>325</v>
      </c>
      <c r="O291" t="s">
        <v>8499</v>
      </c>
      <c r="P291" t="s">
        <v>8205</v>
      </c>
      <c r="Q291" t="s">
        <v>6362</v>
      </c>
      <c r="R291">
        <v>1</v>
      </c>
      <c r="S291">
        <v>1</v>
      </c>
      <c r="T291">
        <v>1171</v>
      </c>
    </row>
    <row r="292" spans="1:20">
      <c r="A292">
        <v>290</v>
      </c>
      <c r="B292" t="s">
        <v>3752</v>
      </c>
      <c r="C292">
        <v>1194</v>
      </c>
      <c r="D292" t="s">
        <v>3753</v>
      </c>
      <c r="E292" t="s">
        <v>3010</v>
      </c>
      <c r="F292" t="s">
        <v>3035</v>
      </c>
      <c r="G292" t="s">
        <v>3036</v>
      </c>
      <c r="H292" t="s">
        <v>3014</v>
      </c>
      <c r="I292" t="s">
        <v>3014</v>
      </c>
      <c r="J292" t="s">
        <v>3014</v>
      </c>
      <c r="K292" t="s">
        <v>3013</v>
      </c>
      <c r="L292" t="s">
        <v>3013</v>
      </c>
      <c r="M292" t="s">
        <v>3716</v>
      </c>
      <c r="N292" t="s">
        <v>1858</v>
      </c>
      <c r="O292" t="s">
        <v>8466</v>
      </c>
      <c r="P292" t="s">
        <v>8170</v>
      </c>
      <c r="Q292" t="s">
        <v>4514</v>
      </c>
      <c r="T292">
        <v>836</v>
      </c>
    </row>
    <row r="293" spans="1:20">
      <c r="A293">
        <v>297</v>
      </c>
      <c r="B293" t="s">
        <v>3767</v>
      </c>
      <c r="C293">
        <v>1195</v>
      </c>
      <c r="D293" t="s">
        <v>3768</v>
      </c>
      <c r="E293" t="s">
        <v>3049</v>
      </c>
      <c r="F293" t="s">
        <v>3035</v>
      </c>
      <c r="G293" t="s">
        <v>3036</v>
      </c>
      <c r="H293" t="s">
        <v>3340</v>
      </c>
      <c r="I293" t="s">
        <v>3340</v>
      </c>
      <c r="J293" t="s">
        <v>3014</v>
      </c>
      <c r="K293" t="s">
        <v>3340</v>
      </c>
      <c r="L293" t="s">
        <v>3358</v>
      </c>
      <c r="M293" t="s">
        <v>3769</v>
      </c>
      <c r="N293" t="s">
        <v>968</v>
      </c>
      <c r="O293" t="s">
        <v>8356</v>
      </c>
      <c r="P293" t="s">
        <v>8059</v>
      </c>
      <c r="Q293" t="s">
        <v>6960</v>
      </c>
      <c r="R293">
        <v>1</v>
      </c>
      <c r="S293">
        <v>1</v>
      </c>
      <c r="T293">
        <v>268</v>
      </c>
    </row>
    <row r="294" spans="1:20">
      <c r="A294">
        <v>295</v>
      </c>
      <c r="B294" t="s">
        <v>3763</v>
      </c>
      <c r="C294">
        <v>1195</v>
      </c>
      <c r="D294" t="s">
        <v>3761</v>
      </c>
      <c r="E294" t="s">
        <v>3049</v>
      </c>
      <c r="F294" t="s">
        <v>3035</v>
      </c>
      <c r="G294" t="s">
        <v>3036</v>
      </c>
      <c r="H294" t="s">
        <v>3315</v>
      </c>
      <c r="I294" t="s">
        <v>3315</v>
      </c>
      <c r="J294" t="s">
        <v>3014</v>
      </c>
      <c r="K294" t="s">
        <v>3315</v>
      </c>
      <c r="L294" t="s">
        <v>3358</v>
      </c>
      <c r="M294" t="s">
        <v>3764</v>
      </c>
      <c r="N294" t="s">
        <v>661</v>
      </c>
      <c r="O294" t="s">
        <v>6446</v>
      </c>
      <c r="P294" t="s">
        <v>8068</v>
      </c>
      <c r="Q294" t="s">
        <v>1</v>
      </c>
      <c r="R294">
        <v>1</v>
      </c>
      <c r="S294">
        <v>1</v>
      </c>
      <c r="T294">
        <v>123</v>
      </c>
    </row>
    <row r="295" spans="1:20">
      <c r="A295">
        <v>294</v>
      </c>
      <c r="B295" t="s">
        <v>3760</v>
      </c>
      <c r="C295">
        <v>1195</v>
      </c>
      <c r="D295" t="s">
        <v>3761</v>
      </c>
      <c r="E295" t="s">
        <v>3010</v>
      </c>
      <c r="F295" t="s">
        <v>3035</v>
      </c>
      <c r="G295" t="s">
        <v>3036</v>
      </c>
      <c r="H295" t="s">
        <v>3014</v>
      </c>
      <c r="I295" t="s">
        <v>3340</v>
      </c>
      <c r="J295" t="s">
        <v>3014</v>
      </c>
      <c r="K295" t="s">
        <v>3014</v>
      </c>
      <c r="L295" t="s">
        <v>3013</v>
      </c>
      <c r="M295" t="s">
        <v>3762</v>
      </c>
      <c r="N295" t="s">
        <v>1534</v>
      </c>
      <c r="O295" t="s">
        <v>8586</v>
      </c>
      <c r="P295" t="s">
        <v>8292</v>
      </c>
      <c r="Q295" t="s">
        <v>4509</v>
      </c>
      <c r="T295">
        <v>730</v>
      </c>
    </row>
    <row r="296" spans="1:20">
      <c r="A296">
        <v>293</v>
      </c>
      <c r="B296" t="s">
        <v>3759</v>
      </c>
      <c r="C296">
        <v>1195</v>
      </c>
      <c r="D296">
        <v>1195</v>
      </c>
      <c r="E296" t="s">
        <v>3231</v>
      </c>
      <c r="F296" t="s">
        <v>3035</v>
      </c>
      <c r="G296" t="s">
        <v>3024</v>
      </c>
      <c r="H296" t="s">
        <v>3014</v>
      </c>
      <c r="I296" t="s">
        <v>3014</v>
      </c>
      <c r="J296" t="s">
        <v>3014</v>
      </c>
      <c r="K296" t="s">
        <v>3014</v>
      </c>
      <c r="L296" t="s">
        <v>3014</v>
      </c>
      <c r="M296" t="s">
        <v>3690</v>
      </c>
      <c r="N296" t="s">
        <v>1294</v>
      </c>
      <c r="O296" t="s">
        <v>8559</v>
      </c>
      <c r="P296" t="s">
        <v>8264</v>
      </c>
      <c r="Q296" t="s">
        <v>6437</v>
      </c>
      <c r="T296">
        <v>477</v>
      </c>
    </row>
    <row r="297" spans="1:20">
      <c r="A297">
        <v>296</v>
      </c>
      <c r="B297" t="s">
        <v>3765</v>
      </c>
      <c r="C297">
        <v>1195</v>
      </c>
      <c r="D297" t="s">
        <v>3766</v>
      </c>
      <c r="E297" t="s">
        <v>3515</v>
      </c>
      <c r="F297" t="s">
        <v>3035</v>
      </c>
      <c r="G297" t="s">
        <v>3036</v>
      </c>
      <c r="H297" t="s">
        <v>3340</v>
      </c>
      <c r="I297" t="s">
        <v>3340</v>
      </c>
      <c r="J297" t="s">
        <v>3340</v>
      </c>
      <c r="K297" t="s">
        <v>3014</v>
      </c>
      <c r="L297" t="s">
        <v>3315</v>
      </c>
      <c r="M297" t="s">
        <v>3697</v>
      </c>
      <c r="N297" t="s">
        <v>1468</v>
      </c>
      <c r="O297" t="s">
        <v>8577</v>
      </c>
      <c r="P297" t="s">
        <v>8282</v>
      </c>
      <c r="Q297" t="s">
        <v>6377</v>
      </c>
      <c r="T297">
        <v>623</v>
      </c>
    </row>
    <row r="298" spans="1:20">
      <c r="A298">
        <v>298</v>
      </c>
      <c r="B298" t="s">
        <v>3770</v>
      </c>
      <c r="C298">
        <v>1196</v>
      </c>
      <c r="D298" t="s">
        <v>3771</v>
      </c>
      <c r="E298" t="s">
        <v>3049</v>
      </c>
      <c r="F298" t="s">
        <v>3035</v>
      </c>
      <c r="G298" t="s">
        <v>3111</v>
      </c>
      <c r="H298" t="s">
        <v>3014</v>
      </c>
      <c r="I298" t="s">
        <v>3014</v>
      </c>
      <c r="J298" t="s">
        <v>3014</v>
      </c>
      <c r="K298" t="s">
        <v>3014</v>
      </c>
      <c r="L298" t="s">
        <v>3013</v>
      </c>
      <c r="M298" t="s">
        <v>3772</v>
      </c>
      <c r="N298" t="s">
        <v>326</v>
      </c>
      <c r="O298" t="s">
        <v>8362</v>
      </c>
      <c r="P298" t="s">
        <v>8066</v>
      </c>
      <c r="Q298" t="s">
        <v>6450</v>
      </c>
      <c r="R298">
        <v>1</v>
      </c>
      <c r="S298">
        <v>1</v>
      </c>
      <c r="T298">
        <v>1236</v>
      </c>
    </row>
    <row r="299" spans="1:20">
      <c r="A299" t="s">
        <v>3773</v>
      </c>
      <c r="B299" t="s">
        <v>3774</v>
      </c>
      <c r="C299">
        <v>1196</v>
      </c>
      <c r="D299" t="s">
        <v>3775</v>
      </c>
      <c r="E299" t="s">
        <v>3049</v>
      </c>
      <c r="M299" t="s">
        <v>3776</v>
      </c>
      <c r="N299" t="s">
        <v>327</v>
      </c>
      <c r="O299" t="s">
        <v>8524</v>
      </c>
      <c r="P299" t="s">
        <v>8229</v>
      </c>
      <c r="Q299" t="s">
        <v>6398</v>
      </c>
      <c r="R299">
        <v>1</v>
      </c>
      <c r="S299">
        <v>1</v>
      </c>
      <c r="T299">
        <v>1254</v>
      </c>
    </row>
    <row r="300" spans="1:20">
      <c r="A300">
        <v>301</v>
      </c>
      <c r="B300" t="s">
        <v>3780</v>
      </c>
      <c r="C300">
        <v>1196</v>
      </c>
      <c r="D300" t="s">
        <v>3781</v>
      </c>
      <c r="E300" t="s">
        <v>3010</v>
      </c>
      <c r="F300" t="s">
        <v>3035</v>
      </c>
      <c r="G300" t="s">
        <v>3036</v>
      </c>
      <c r="H300" t="s">
        <v>3014</v>
      </c>
      <c r="I300" t="s">
        <v>3014</v>
      </c>
      <c r="J300" t="s">
        <v>3014</v>
      </c>
      <c r="K300" t="s">
        <v>3014</v>
      </c>
      <c r="L300" t="s">
        <v>3315</v>
      </c>
      <c r="M300" t="s">
        <v>3782</v>
      </c>
      <c r="N300" t="s">
        <v>1533</v>
      </c>
      <c r="O300" t="s">
        <v>8650</v>
      </c>
      <c r="P300" t="s">
        <v>8352</v>
      </c>
      <c r="Q300" t="s">
        <v>4518</v>
      </c>
      <c r="T300">
        <v>700</v>
      </c>
    </row>
    <row r="301" spans="1:20">
      <c r="A301">
        <v>300</v>
      </c>
      <c r="B301" t="s">
        <v>3777</v>
      </c>
      <c r="C301">
        <v>1196</v>
      </c>
      <c r="D301" t="s">
        <v>3778</v>
      </c>
      <c r="E301" t="s">
        <v>3010</v>
      </c>
      <c r="F301" t="s">
        <v>3035</v>
      </c>
      <c r="G301" t="s">
        <v>3036</v>
      </c>
      <c r="H301" t="s">
        <v>3014</v>
      </c>
      <c r="I301" t="s">
        <v>3014</v>
      </c>
      <c r="J301" t="s">
        <v>3014</v>
      </c>
      <c r="K301" t="s">
        <v>3014</v>
      </c>
      <c r="L301" t="s">
        <v>3315</v>
      </c>
      <c r="M301" t="s">
        <v>3779</v>
      </c>
      <c r="N301" t="s">
        <v>1470</v>
      </c>
      <c r="O301" t="s">
        <v>8577</v>
      </c>
      <c r="P301" t="s">
        <v>8282</v>
      </c>
      <c r="Q301" t="s">
        <v>6377</v>
      </c>
      <c r="T301">
        <v>626</v>
      </c>
    </row>
    <row r="302" spans="1:20">
      <c r="A302">
        <v>304</v>
      </c>
      <c r="B302" t="s">
        <v>3788</v>
      </c>
      <c r="C302">
        <v>1197</v>
      </c>
      <c r="D302" t="s">
        <v>3789</v>
      </c>
      <c r="E302" t="s">
        <v>3141</v>
      </c>
      <c r="F302" t="s">
        <v>3035</v>
      </c>
      <c r="G302" t="s">
        <v>3024</v>
      </c>
      <c r="H302" t="s">
        <v>3014</v>
      </c>
      <c r="I302" t="s">
        <v>3014</v>
      </c>
      <c r="J302" t="s">
        <v>3014</v>
      </c>
      <c r="K302" t="s">
        <v>3014</v>
      </c>
      <c r="L302" t="s">
        <v>3358</v>
      </c>
      <c r="M302" t="s">
        <v>3790</v>
      </c>
      <c r="N302" t="s">
        <v>6087</v>
      </c>
      <c r="O302" t="s">
        <v>8532</v>
      </c>
      <c r="P302" t="s">
        <v>8237</v>
      </c>
      <c r="Q302" t="s">
        <v>5727</v>
      </c>
      <c r="T302">
        <v>21</v>
      </c>
    </row>
    <row r="303" spans="1:20">
      <c r="A303">
        <v>302</v>
      </c>
      <c r="B303" t="s">
        <v>3783</v>
      </c>
      <c r="C303">
        <v>1197</v>
      </c>
      <c r="D303" t="s">
        <v>8782</v>
      </c>
      <c r="E303" t="s">
        <v>3141</v>
      </c>
      <c r="F303" t="s">
        <v>3035</v>
      </c>
      <c r="G303" t="s">
        <v>3024</v>
      </c>
      <c r="H303" t="s">
        <v>3315</v>
      </c>
      <c r="I303" t="s">
        <v>3014</v>
      </c>
      <c r="J303" t="s">
        <v>3014</v>
      </c>
      <c r="K303" t="s">
        <v>3340</v>
      </c>
      <c r="L303" t="s">
        <v>3315</v>
      </c>
      <c r="M303" t="s">
        <v>3784</v>
      </c>
      <c r="N303" t="s">
        <v>6122</v>
      </c>
      <c r="O303" t="s">
        <v>8543</v>
      </c>
      <c r="P303" t="s">
        <v>8249</v>
      </c>
      <c r="Q303" t="s">
        <v>5642</v>
      </c>
      <c r="T303">
        <v>48</v>
      </c>
    </row>
    <row r="304" spans="1:20">
      <c r="A304">
        <v>303</v>
      </c>
      <c r="B304" t="s">
        <v>3785</v>
      </c>
      <c r="C304">
        <v>1197</v>
      </c>
      <c r="D304" t="s">
        <v>3786</v>
      </c>
      <c r="E304" t="s">
        <v>3049</v>
      </c>
      <c r="F304" t="s">
        <v>3035</v>
      </c>
      <c r="G304" t="s">
        <v>3111</v>
      </c>
      <c r="H304" t="s">
        <v>3014</v>
      </c>
      <c r="I304" t="s">
        <v>3014</v>
      </c>
      <c r="J304" t="s">
        <v>3014</v>
      </c>
      <c r="K304" t="s">
        <v>3014</v>
      </c>
      <c r="L304" t="s">
        <v>3315</v>
      </c>
      <c r="M304" t="s">
        <v>3787</v>
      </c>
      <c r="N304" t="s">
        <v>659</v>
      </c>
      <c r="O304" t="s">
        <v>8434</v>
      </c>
      <c r="P304" t="s">
        <v>8138</v>
      </c>
      <c r="Q304" t="s">
        <v>6935</v>
      </c>
      <c r="R304">
        <v>1</v>
      </c>
      <c r="S304">
        <v>1</v>
      </c>
      <c r="T304">
        <v>208</v>
      </c>
    </row>
    <row r="305" spans="1:20">
      <c r="A305">
        <v>306</v>
      </c>
      <c r="B305" t="s">
        <v>3795</v>
      </c>
      <c r="C305">
        <v>1198</v>
      </c>
      <c r="D305" t="s">
        <v>472</v>
      </c>
      <c r="E305" t="s">
        <v>3049</v>
      </c>
      <c r="F305" t="s">
        <v>3035</v>
      </c>
      <c r="G305" t="s">
        <v>3036</v>
      </c>
      <c r="H305" t="s">
        <v>3013</v>
      </c>
      <c r="I305" t="s">
        <v>3014</v>
      </c>
      <c r="J305" t="s">
        <v>3014</v>
      </c>
      <c r="K305" t="s">
        <v>3014</v>
      </c>
      <c r="L305" t="s">
        <v>3014</v>
      </c>
      <c r="M305" t="s">
        <v>3796</v>
      </c>
      <c r="N305" t="s">
        <v>663</v>
      </c>
      <c r="O305" t="s">
        <v>8064</v>
      </c>
      <c r="P305" t="s">
        <v>8064</v>
      </c>
      <c r="Q305">
        <v>0</v>
      </c>
      <c r="S305">
        <v>1</v>
      </c>
      <c r="T305">
        <v>140</v>
      </c>
    </row>
    <row r="306" spans="1:20">
      <c r="A306">
        <v>319</v>
      </c>
      <c r="B306" t="s">
        <v>3822</v>
      </c>
      <c r="C306">
        <v>1198</v>
      </c>
      <c r="D306">
        <v>1198</v>
      </c>
      <c r="E306" t="s">
        <v>3010</v>
      </c>
      <c r="F306" t="s">
        <v>3035</v>
      </c>
      <c r="G306" t="s">
        <v>3036</v>
      </c>
      <c r="H306" t="s">
        <v>3340</v>
      </c>
      <c r="I306" t="s">
        <v>3014</v>
      </c>
      <c r="J306" t="s">
        <v>3013</v>
      </c>
      <c r="K306" t="s">
        <v>3014</v>
      </c>
      <c r="L306" t="s">
        <v>3315</v>
      </c>
      <c r="M306" t="s">
        <v>3810</v>
      </c>
      <c r="N306" t="s">
        <v>1310</v>
      </c>
      <c r="O306" t="s">
        <v>8559</v>
      </c>
      <c r="P306" t="s">
        <v>8264</v>
      </c>
      <c r="Q306" t="s">
        <v>6437</v>
      </c>
      <c r="T306">
        <v>485</v>
      </c>
    </row>
    <row r="307" spans="1:20">
      <c r="A307">
        <v>305</v>
      </c>
      <c r="B307" t="s">
        <v>3791</v>
      </c>
      <c r="C307">
        <v>1198</v>
      </c>
      <c r="D307" t="s">
        <v>3792</v>
      </c>
      <c r="E307" t="s">
        <v>3793</v>
      </c>
      <c r="F307" t="s">
        <v>3035</v>
      </c>
      <c r="G307" t="s">
        <v>3036</v>
      </c>
      <c r="H307" t="s">
        <v>3014</v>
      </c>
      <c r="I307" t="s">
        <v>3014</v>
      </c>
      <c r="J307" t="s">
        <v>3014</v>
      </c>
      <c r="K307" t="s">
        <v>3013</v>
      </c>
      <c r="L307" t="s">
        <v>3013</v>
      </c>
      <c r="M307" t="s">
        <v>3794</v>
      </c>
      <c r="N307" t="s">
        <v>3794</v>
      </c>
      <c r="O307" t="s">
        <v>8064</v>
      </c>
      <c r="P307" t="s">
        <v>8064</v>
      </c>
      <c r="Q307">
        <v>0</v>
      </c>
      <c r="T307">
        <v>1282</v>
      </c>
    </row>
    <row r="308" spans="1:20">
      <c r="A308">
        <v>308</v>
      </c>
      <c r="B308" t="s">
        <v>3799</v>
      </c>
      <c r="C308">
        <v>1199</v>
      </c>
      <c r="D308">
        <v>1199</v>
      </c>
      <c r="E308" t="s">
        <v>3141</v>
      </c>
      <c r="F308" t="s">
        <v>3035</v>
      </c>
      <c r="G308" t="s">
        <v>3036</v>
      </c>
      <c r="H308" t="s">
        <v>3370</v>
      </c>
      <c r="I308" t="s">
        <v>3370</v>
      </c>
      <c r="J308" t="s">
        <v>3315</v>
      </c>
      <c r="K308" t="s">
        <v>3014</v>
      </c>
      <c r="L308" t="s">
        <v>3315</v>
      </c>
      <c r="M308" t="s">
        <v>3800</v>
      </c>
      <c r="N308" t="s">
        <v>2806</v>
      </c>
      <c r="O308" t="s">
        <v>8635</v>
      </c>
      <c r="P308" t="s">
        <v>8340</v>
      </c>
      <c r="Q308" t="s">
        <v>2761</v>
      </c>
      <c r="T308">
        <v>1354</v>
      </c>
    </row>
    <row r="309" spans="1:20">
      <c r="A309">
        <v>309</v>
      </c>
      <c r="B309" t="s">
        <v>3801</v>
      </c>
      <c r="C309">
        <v>1199</v>
      </c>
      <c r="D309" t="s">
        <v>3802</v>
      </c>
      <c r="E309" t="s">
        <v>3010</v>
      </c>
      <c r="F309" t="s">
        <v>3035</v>
      </c>
      <c r="G309" t="s">
        <v>3036</v>
      </c>
      <c r="H309" t="s">
        <v>3014</v>
      </c>
      <c r="I309" t="s">
        <v>3014</v>
      </c>
      <c r="J309" t="s">
        <v>3014</v>
      </c>
      <c r="K309" t="s">
        <v>3014</v>
      </c>
      <c r="L309" t="s">
        <v>3315</v>
      </c>
      <c r="M309" t="s">
        <v>3782</v>
      </c>
      <c r="N309" t="s">
        <v>1533</v>
      </c>
      <c r="O309" t="s">
        <v>8650</v>
      </c>
      <c r="P309" t="s">
        <v>8352</v>
      </c>
      <c r="Q309" t="s">
        <v>4518</v>
      </c>
      <c r="T309">
        <v>700</v>
      </c>
    </row>
    <row r="310" spans="1:20">
      <c r="A310">
        <v>307</v>
      </c>
      <c r="B310" t="s">
        <v>3797</v>
      </c>
      <c r="C310">
        <v>1199</v>
      </c>
      <c r="D310">
        <v>1199</v>
      </c>
      <c r="E310" t="s">
        <v>3010</v>
      </c>
      <c r="F310" t="s">
        <v>3035</v>
      </c>
      <c r="G310" t="s">
        <v>3036</v>
      </c>
      <c r="H310" t="s">
        <v>3315</v>
      </c>
      <c r="I310" t="s">
        <v>3315</v>
      </c>
      <c r="J310" t="s">
        <v>3315</v>
      </c>
      <c r="K310" t="s">
        <v>3315</v>
      </c>
      <c r="L310" t="s">
        <v>3315</v>
      </c>
      <c r="M310" t="s">
        <v>3798</v>
      </c>
      <c r="N310" t="s">
        <v>328</v>
      </c>
      <c r="O310" t="s">
        <v>8064</v>
      </c>
      <c r="P310" t="s">
        <v>8064</v>
      </c>
      <c r="Q310">
        <v>0</v>
      </c>
      <c r="T310">
        <v>1242</v>
      </c>
    </row>
    <row r="311" spans="1:20">
      <c r="A311">
        <v>310</v>
      </c>
      <c r="B311" t="s">
        <v>3803</v>
      </c>
      <c r="C311">
        <v>1200</v>
      </c>
      <c r="D311" t="s">
        <v>3804</v>
      </c>
      <c r="E311" t="s">
        <v>3010</v>
      </c>
      <c r="F311" t="s">
        <v>3035</v>
      </c>
      <c r="G311" t="s">
        <v>3036</v>
      </c>
      <c r="H311" t="s">
        <v>3013</v>
      </c>
      <c r="I311" t="s">
        <v>3014</v>
      </c>
      <c r="J311" t="s">
        <v>3014</v>
      </c>
      <c r="K311" t="s">
        <v>3014</v>
      </c>
      <c r="L311" t="s">
        <v>3013</v>
      </c>
      <c r="M311" t="s">
        <v>3545</v>
      </c>
      <c r="N311" t="s">
        <v>1788</v>
      </c>
      <c r="O311" t="s">
        <v>8473</v>
      </c>
      <c r="P311" t="s">
        <v>8177</v>
      </c>
      <c r="Q311" t="s">
        <v>6320</v>
      </c>
      <c r="T311">
        <v>798</v>
      </c>
    </row>
    <row r="312" spans="1:20">
      <c r="A312">
        <v>312</v>
      </c>
      <c r="B312" t="s">
        <v>3808</v>
      </c>
      <c r="C312">
        <v>1201</v>
      </c>
      <c r="D312" t="s">
        <v>3809</v>
      </c>
      <c r="E312" t="s">
        <v>3010</v>
      </c>
      <c r="F312" t="s">
        <v>3035</v>
      </c>
      <c r="G312" t="s">
        <v>3036</v>
      </c>
      <c r="H312" t="s">
        <v>3370</v>
      </c>
      <c r="I312" t="s">
        <v>3315</v>
      </c>
      <c r="J312" t="s">
        <v>3315</v>
      </c>
      <c r="K312" t="s">
        <v>3014</v>
      </c>
      <c r="L312" t="s">
        <v>3315</v>
      </c>
      <c r="M312" t="s">
        <v>3810</v>
      </c>
      <c r="N312" t="s">
        <v>1310</v>
      </c>
      <c r="O312" t="s">
        <v>8559</v>
      </c>
      <c r="P312" t="s">
        <v>8264</v>
      </c>
      <c r="Q312" t="s">
        <v>6437</v>
      </c>
      <c r="T312">
        <v>485</v>
      </c>
    </row>
    <row r="313" spans="1:20">
      <c r="A313">
        <v>311</v>
      </c>
      <c r="B313" t="s">
        <v>3805</v>
      </c>
      <c r="C313">
        <v>1201</v>
      </c>
      <c r="D313" t="s">
        <v>3806</v>
      </c>
      <c r="E313" t="s">
        <v>3010</v>
      </c>
      <c r="F313" t="s">
        <v>3035</v>
      </c>
      <c r="G313" t="s">
        <v>3036</v>
      </c>
      <c r="H313" t="s">
        <v>3340</v>
      </c>
      <c r="I313" t="s">
        <v>3370</v>
      </c>
      <c r="J313" t="s">
        <v>3014</v>
      </c>
      <c r="K313" t="s">
        <v>3014</v>
      </c>
      <c r="L313" t="s">
        <v>3013</v>
      </c>
      <c r="M313" t="s">
        <v>3807</v>
      </c>
      <c r="N313" t="s">
        <v>1982</v>
      </c>
      <c r="O313" t="s">
        <v>8064</v>
      </c>
      <c r="P313" t="s">
        <v>8064</v>
      </c>
      <c r="Q313">
        <v>0</v>
      </c>
      <c r="T313">
        <v>976</v>
      </c>
    </row>
    <row r="314" spans="1:20">
      <c r="A314">
        <v>314</v>
      </c>
      <c r="B314" t="s">
        <v>3813</v>
      </c>
      <c r="C314">
        <v>1202</v>
      </c>
      <c r="D314">
        <v>1202</v>
      </c>
      <c r="E314" t="s">
        <v>3049</v>
      </c>
      <c r="F314" t="s">
        <v>3035</v>
      </c>
      <c r="G314" t="s">
        <v>3036</v>
      </c>
      <c r="H314" t="s">
        <v>3315</v>
      </c>
      <c r="I314" t="s">
        <v>3315</v>
      </c>
      <c r="J314" t="s">
        <v>3315</v>
      </c>
      <c r="K314" t="s">
        <v>3315</v>
      </c>
      <c r="L314" t="s">
        <v>3315</v>
      </c>
      <c r="M314" t="s">
        <v>3814</v>
      </c>
      <c r="N314" t="s">
        <v>668</v>
      </c>
      <c r="O314" t="s">
        <v>8447</v>
      </c>
      <c r="P314" t="s">
        <v>8151</v>
      </c>
      <c r="Q314" t="s">
        <v>6746</v>
      </c>
      <c r="R314">
        <v>1</v>
      </c>
      <c r="S314">
        <v>1</v>
      </c>
      <c r="T314">
        <v>236</v>
      </c>
    </row>
    <row r="315" spans="1:20">
      <c r="A315">
        <v>318</v>
      </c>
      <c r="B315" t="s">
        <v>3820</v>
      </c>
      <c r="C315">
        <v>1202</v>
      </c>
      <c r="D315" t="s">
        <v>3821</v>
      </c>
      <c r="E315" t="s">
        <v>3010</v>
      </c>
      <c r="F315" t="s">
        <v>3035</v>
      </c>
      <c r="G315" t="s">
        <v>3036</v>
      </c>
      <c r="H315" t="s">
        <v>3013</v>
      </c>
      <c r="I315" t="s">
        <v>3315</v>
      </c>
      <c r="J315" t="s">
        <v>3014</v>
      </c>
      <c r="K315" t="s">
        <v>3014</v>
      </c>
      <c r="L315" t="s">
        <v>3315</v>
      </c>
      <c r="M315" t="s">
        <v>3818</v>
      </c>
      <c r="N315" t="s">
        <v>1296</v>
      </c>
      <c r="O315" t="s">
        <v>8559</v>
      </c>
      <c r="P315" t="s">
        <v>8264</v>
      </c>
      <c r="Q315" t="s">
        <v>6437</v>
      </c>
      <c r="T315">
        <v>488</v>
      </c>
    </row>
    <row r="316" spans="1:20">
      <c r="A316">
        <v>313</v>
      </c>
      <c r="B316" t="s">
        <v>3811</v>
      </c>
      <c r="C316">
        <v>1202</v>
      </c>
      <c r="D316">
        <v>1202</v>
      </c>
      <c r="E316" t="s">
        <v>3010</v>
      </c>
      <c r="F316" t="s">
        <v>3035</v>
      </c>
      <c r="G316" t="s">
        <v>3036</v>
      </c>
      <c r="H316" t="s">
        <v>3014</v>
      </c>
      <c r="I316" t="s">
        <v>3014</v>
      </c>
      <c r="J316" t="s">
        <v>3014</v>
      </c>
      <c r="K316" t="s">
        <v>3013</v>
      </c>
      <c r="L316" t="s">
        <v>3315</v>
      </c>
      <c r="M316" t="s">
        <v>3812</v>
      </c>
      <c r="N316" t="s">
        <v>1295</v>
      </c>
      <c r="O316" t="s">
        <v>8559</v>
      </c>
      <c r="P316" t="s">
        <v>8264</v>
      </c>
      <c r="Q316" t="s">
        <v>6437</v>
      </c>
      <c r="T316">
        <v>486</v>
      </c>
    </row>
    <row r="317" spans="1:20">
      <c r="A317">
        <v>315</v>
      </c>
      <c r="B317" t="s">
        <v>3815</v>
      </c>
      <c r="C317">
        <v>1202</v>
      </c>
      <c r="D317" t="s">
        <v>3816</v>
      </c>
      <c r="E317" t="s">
        <v>3010</v>
      </c>
      <c r="F317" t="s">
        <v>3035</v>
      </c>
      <c r="G317" t="s">
        <v>3012</v>
      </c>
      <c r="H317" t="s">
        <v>3014</v>
      </c>
      <c r="I317" t="s">
        <v>3014</v>
      </c>
      <c r="J317" t="s">
        <v>3014</v>
      </c>
      <c r="K317" t="s">
        <v>3014</v>
      </c>
      <c r="L317" t="s">
        <v>3013</v>
      </c>
      <c r="M317" t="s">
        <v>3812</v>
      </c>
      <c r="N317" t="s">
        <v>1295</v>
      </c>
      <c r="O317" t="s">
        <v>8559</v>
      </c>
      <c r="P317" t="s">
        <v>8264</v>
      </c>
      <c r="Q317" t="s">
        <v>6437</v>
      </c>
      <c r="T317">
        <v>486</v>
      </c>
    </row>
    <row r="318" spans="1:20">
      <c r="A318">
        <v>316</v>
      </c>
      <c r="B318" t="s">
        <v>3817</v>
      </c>
      <c r="C318">
        <v>1202</v>
      </c>
      <c r="D318" t="s">
        <v>3816</v>
      </c>
      <c r="E318" t="s">
        <v>3010</v>
      </c>
      <c r="F318" t="s">
        <v>3035</v>
      </c>
      <c r="G318" t="s">
        <v>3036</v>
      </c>
      <c r="H318" t="s">
        <v>3014</v>
      </c>
      <c r="I318" t="s">
        <v>3014</v>
      </c>
      <c r="J318" t="s">
        <v>3014</v>
      </c>
      <c r="K318" t="s">
        <v>3014</v>
      </c>
      <c r="L318" t="s">
        <v>3013</v>
      </c>
      <c r="M318" t="s">
        <v>3818</v>
      </c>
      <c r="N318" t="s">
        <v>1296</v>
      </c>
      <c r="O318" t="s">
        <v>8559</v>
      </c>
      <c r="P318" t="s">
        <v>8264</v>
      </c>
      <c r="Q318" t="s">
        <v>6437</v>
      </c>
      <c r="T318">
        <v>488</v>
      </c>
    </row>
    <row r="319" spans="1:20">
      <c r="A319">
        <v>317</v>
      </c>
      <c r="B319" t="s">
        <v>3819</v>
      </c>
      <c r="C319">
        <v>1202</v>
      </c>
      <c r="D319" t="s">
        <v>3816</v>
      </c>
      <c r="E319" t="s">
        <v>3010</v>
      </c>
      <c r="F319" t="s">
        <v>3035</v>
      </c>
      <c r="G319" t="s">
        <v>3036</v>
      </c>
      <c r="H319" t="s">
        <v>3340</v>
      </c>
      <c r="I319" t="s">
        <v>3315</v>
      </c>
      <c r="J319" t="s">
        <v>3014</v>
      </c>
      <c r="K319" t="s">
        <v>3315</v>
      </c>
      <c r="L319" t="s">
        <v>3014</v>
      </c>
      <c r="M319" t="s">
        <v>3779</v>
      </c>
      <c r="N319" t="s">
        <v>1470</v>
      </c>
      <c r="O319" t="s">
        <v>8577</v>
      </c>
      <c r="P319" t="s">
        <v>8282</v>
      </c>
      <c r="Q319" t="s">
        <v>6377</v>
      </c>
      <c r="T319">
        <v>626</v>
      </c>
    </row>
    <row r="320" spans="1:20">
      <c r="A320">
        <v>320</v>
      </c>
      <c r="B320" t="s">
        <v>3823</v>
      </c>
      <c r="C320">
        <v>1203</v>
      </c>
      <c r="D320" t="s">
        <v>3824</v>
      </c>
      <c r="E320" t="s">
        <v>3049</v>
      </c>
      <c r="F320" t="s">
        <v>3035</v>
      </c>
      <c r="G320" t="s">
        <v>3036</v>
      </c>
      <c r="H320" t="s">
        <v>3014</v>
      </c>
      <c r="I320" t="s">
        <v>3014</v>
      </c>
      <c r="J320" t="s">
        <v>3014</v>
      </c>
      <c r="K320" t="s">
        <v>3014</v>
      </c>
      <c r="L320" t="s">
        <v>3315</v>
      </c>
      <c r="M320" t="s">
        <v>3825</v>
      </c>
      <c r="N320" t="s">
        <v>1167</v>
      </c>
      <c r="O320" t="s">
        <v>8360</v>
      </c>
      <c r="P320" t="s">
        <v>8063</v>
      </c>
      <c r="Q320" t="s">
        <v>6348</v>
      </c>
      <c r="R320">
        <v>1</v>
      </c>
      <c r="S320">
        <v>1</v>
      </c>
      <c r="T320">
        <v>1091</v>
      </c>
    </row>
    <row r="321" spans="1:20">
      <c r="A321">
        <v>321</v>
      </c>
      <c r="B321" t="s">
        <v>3826</v>
      </c>
      <c r="C321">
        <v>1204</v>
      </c>
      <c r="D321">
        <v>1204</v>
      </c>
      <c r="E321" t="s">
        <v>3092</v>
      </c>
      <c r="F321" t="s">
        <v>3035</v>
      </c>
      <c r="G321" t="s">
        <v>3036</v>
      </c>
      <c r="H321" t="s">
        <v>3014</v>
      </c>
      <c r="I321" t="s">
        <v>3014</v>
      </c>
      <c r="J321" t="s">
        <v>3014</v>
      </c>
      <c r="K321" t="s">
        <v>3014</v>
      </c>
      <c r="L321" t="s">
        <v>3315</v>
      </c>
      <c r="M321" t="s">
        <v>3827</v>
      </c>
      <c r="N321" t="s">
        <v>974</v>
      </c>
      <c r="O321" t="s">
        <v>8548</v>
      </c>
      <c r="P321" t="s">
        <v>8254</v>
      </c>
      <c r="Q321" t="s">
        <v>6444</v>
      </c>
      <c r="T321">
        <v>285</v>
      </c>
    </row>
    <row r="322" spans="1:20">
      <c r="A322">
        <v>322</v>
      </c>
      <c r="B322" t="s">
        <v>3828</v>
      </c>
      <c r="C322">
        <v>1204</v>
      </c>
      <c r="D322">
        <v>1204</v>
      </c>
      <c r="E322" t="s">
        <v>3092</v>
      </c>
      <c r="F322" t="s">
        <v>3024</v>
      </c>
      <c r="G322" t="s">
        <v>3024</v>
      </c>
      <c r="H322" t="s">
        <v>3340</v>
      </c>
      <c r="I322" t="s">
        <v>3340</v>
      </c>
      <c r="J322" t="s">
        <v>3014</v>
      </c>
      <c r="K322" t="s">
        <v>3014</v>
      </c>
      <c r="L322" t="s">
        <v>3013</v>
      </c>
      <c r="M322" t="s">
        <v>3829</v>
      </c>
      <c r="N322" t="s">
        <v>331</v>
      </c>
      <c r="O322" t="s">
        <v>8512</v>
      </c>
      <c r="P322" t="s">
        <v>8218</v>
      </c>
      <c r="Q322" t="s">
        <v>6473</v>
      </c>
      <c r="T322">
        <v>1194</v>
      </c>
    </row>
    <row r="323" spans="1:20">
      <c r="A323">
        <v>326</v>
      </c>
      <c r="B323" t="s">
        <v>3838</v>
      </c>
      <c r="C323">
        <v>1205</v>
      </c>
      <c r="D323" t="s">
        <v>3839</v>
      </c>
      <c r="E323" t="s">
        <v>3141</v>
      </c>
      <c r="F323" t="s">
        <v>3035</v>
      </c>
      <c r="G323" t="s">
        <v>3111</v>
      </c>
      <c r="H323" t="s">
        <v>3014</v>
      </c>
      <c r="I323" t="s">
        <v>3014</v>
      </c>
      <c r="J323" t="s">
        <v>3340</v>
      </c>
      <c r="K323" t="s">
        <v>3014</v>
      </c>
      <c r="L323" t="s">
        <v>3014</v>
      </c>
      <c r="M323" t="s">
        <v>3840</v>
      </c>
      <c r="N323" t="s">
        <v>6123</v>
      </c>
      <c r="O323" t="s">
        <v>8543</v>
      </c>
      <c r="P323" t="s">
        <v>8249</v>
      </c>
      <c r="Q323" t="s">
        <v>5642</v>
      </c>
      <c r="T323">
        <v>54</v>
      </c>
    </row>
    <row r="324" spans="1:20">
      <c r="A324">
        <v>323</v>
      </c>
      <c r="B324" t="s">
        <v>3830</v>
      </c>
      <c r="C324">
        <v>1205</v>
      </c>
      <c r="D324">
        <v>1205</v>
      </c>
      <c r="E324" t="s">
        <v>3141</v>
      </c>
      <c r="F324" t="s">
        <v>3035</v>
      </c>
      <c r="G324" t="s">
        <v>3036</v>
      </c>
      <c r="H324" t="s">
        <v>3014</v>
      </c>
      <c r="I324" t="s">
        <v>3340</v>
      </c>
      <c r="J324" t="s">
        <v>3014</v>
      </c>
      <c r="K324" t="s">
        <v>3013</v>
      </c>
      <c r="L324" t="s">
        <v>3315</v>
      </c>
      <c r="M324" t="s">
        <v>3831</v>
      </c>
      <c r="N324" t="s">
        <v>6037</v>
      </c>
      <c r="O324" t="s">
        <v>8543</v>
      </c>
      <c r="P324" t="s">
        <v>8249</v>
      </c>
      <c r="Q324" t="s">
        <v>5642</v>
      </c>
      <c r="T324">
        <v>60</v>
      </c>
    </row>
    <row r="325" spans="1:20">
      <c r="A325">
        <v>325</v>
      </c>
      <c r="B325" t="s">
        <v>3835</v>
      </c>
      <c r="C325">
        <v>1205</v>
      </c>
      <c r="D325" t="s">
        <v>3836</v>
      </c>
      <c r="E325" t="s">
        <v>3023</v>
      </c>
      <c r="F325" t="s">
        <v>3024</v>
      </c>
      <c r="G325" t="s">
        <v>3111</v>
      </c>
      <c r="H325" t="s">
        <v>3340</v>
      </c>
      <c r="I325" t="s">
        <v>3014</v>
      </c>
      <c r="J325" t="s">
        <v>3014</v>
      </c>
      <c r="K325" t="s">
        <v>3340</v>
      </c>
      <c r="L325" t="s">
        <v>3315</v>
      </c>
      <c r="M325" t="s">
        <v>3837</v>
      </c>
      <c r="N325" t="s">
        <v>665</v>
      </c>
      <c r="O325" t="s">
        <v>8389</v>
      </c>
      <c r="P325" t="s">
        <v>8093</v>
      </c>
      <c r="Q325" t="s">
        <v>6407</v>
      </c>
      <c r="T325">
        <v>99</v>
      </c>
    </row>
    <row r="326" spans="1:20">
      <c r="A326">
        <v>327</v>
      </c>
      <c r="B326" t="s">
        <v>3841</v>
      </c>
      <c r="C326">
        <v>1205</v>
      </c>
      <c r="D326" t="s">
        <v>3842</v>
      </c>
      <c r="E326" t="s">
        <v>3049</v>
      </c>
      <c r="F326" t="s">
        <v>3035</v>
      </c>
      <c r="G326" t="s">
        <v>3111</v>
      </c>
      <c r="H326" t="s">
        <v>3315</v>
      </c>
      <c r="I326" t="s">
        <v>3315</v>
      </c>
      <c r="J326" t="s">
        <v>3014</v>
      </c>
      <c r="K326" t="s">
        <v>3315</v>
      </c>
      <c r="L326" t="s">
        <v>3013</v>
      </c>
      <c r="M326" t="s">
        <v>3843</v>
      </c>
      <c r="N326" t="s">
        <v>670</v>
      </c>
      <c r="O326" t="s">
        <v>8413</v>
      </c>
      <c r="P326" t="s">
        <v>8116</v>
      </c>
      <c r="Q326" t="s">
        <v>6852</v>
      </c>
      <c r="R326">
        <v>1</v>
      </c>
      <c r="S326">
        <v>1</v>
      </c>
      <c r="T326">
        <v>146</v>
      </c>
    </row>
    <row r="327" spans="1:20">
      <c r="A327">
        <v>324</v>
      </c>
      <c r="B327" t="s">
        <v>3832</v>
      </c>
      <c r="C327">
        <v>1205</v>
      </c>
      <c r="D327" t="s">
        <v>3833</v>
      </c>
      <c r="E327" t="s">
        <v>3049</v>
      </c>
      <c r="F327" t="s">
        <v>3035</v>
      </c>
      <c r="G327" t="s">
        <v>3036</v>
      </c>
      <c r="H327" t="s">
        <v>3013</v>
      </c>
      <c r="I327" t="s">
        <v>3315</v>
      </c>
      <c r="J327" t="s">
        <v>3014</v>
      </c>
      <c r="K327" t="s">
        <v>3315</v>
      </c>
      <c r="L327" t="s">
        <v>3013</v>
      </c>
      <c r="M327" t="s">
        <v>3834</v>
      </c>
      <c r="N327" t="s">
        <v>8774</v>
      </c>
      <c r="O327" t="s">
        <v>8064</v>
      </c>
      <c r="P327" t="s">
        <v>8064</v>
      </c>
      <c r="Q327" t="e">
        <v>#N/A</v>
      </c>
      <c r="S327">
        <v>1</v>
      </c>
    </row>
    <row r="328" spans="1:20">
      <c r="A328" t="s">
        <v>3844</v>
      </c>
      <c r="B328" t="s">
        <v>3845</v>
      </c>
      <c r="C328">
        <v>1207</v>
      </c>
      <c r="D328" t="s">
        <v>3846</v>
      </c>
      <c r="E328" t="s">
        <v>3092</v>
      </c>
      <c r="M328" t="s">
        <v>3847</v>
      </c>
      <c r="N328" t="s">
        <v>329</v>
      </c>
      <c r="O328" t="s">
        <v>8510</v>
      </c>
      <c r="P328" t="s">
        <v>8216</v>
      </c>
      <c r="Q328" t="s">
        <v>67</v>
      </c>
      <c r="T328">
        <v>1188</v>
      </c>
    </row>
    <row r="329" spans="1:20">
      <c r="A329">
        <v>329</v>
      </c>
      <c r="B329" t="s">
        <v>3848</v>
      </c>
      <c r="C329">
        <v>1208</v>
      </c>
      <c r="D329" t="s">
        <v>6</v>
      </c>
      <c r="E329" t="s">
        <v>3049</v>
      </c>
      <c r="F329" t="s">
        <v>3035</v>
      </c>
      <c r="G329" t="s">
        <v>3111</v>
      </c>
      <c r="H329" t="s">
        <v>3014</v>
      </c>
      <c r="I329" t="s">
        <v>3014</v>
      </c>
      <c r="J329" t="s">
        <v>3014</v>
      </c>
      <c r="K329" t="s">
        <v>3014</v>
      </c>
      <c r="L329" t="s">
        <v>3013</v>
      </c>
      <c r="M329" t="s">
        <v>3849</v>
      </c>
      <c r="N329" t="s">
        <v>332</v>
      </c>
      <c r="O329" t="s">
        <v>8064</v>
      </c>
      <c r="P329" t="s">
        <v>8064</v>
      </c>
      <c r="Q329">
        <v>0</v>
      </c>
      <c r="S329">
        <v>1</v>
      </c>
      <c r="T329">
        <v>1238</v>
      </c>
    </row>
    <row r="330" spans="1:20">
      <c r="A330">
        <v>330</v>
      </c>
      <c r="B330" t="s">
        <v>3850</v>
      </c>
      <c r="C330">
        <v>1208</v>
      </c>
      <c r="D330" t="s">
        <v>3851</v>
      </c>
      <c r="E330" t="s">
        <v>3092</v>
      </c>
      <c r="F330" t="s">
        <v>3035</v>
      </c>
      <c r="G330" t="s">
        <v>3036</v>
      </c>
      <c r="H330" t="s">
        <v>3014</v>
      </c>
      <c r="I330" t="s">
        <v>3014</v>
      </c>
      <c r="J330" t="s">
        <v>3014</v>
      </c>
      <c r="K330" t="s">
        <v>3340</v>
      </c>
      <c r="L330" t="s">
        <v>3315</v>
      </c>
      <c r="M330" t="s">
        <v>3852</v>
      </c>
      <c r="N330" t="s">
        <v>2805</v>
      </c>
      <c r="O330" t="s">
        <v>8510</v>
      </c>
      <c r="P330" t="s">
        <v>8216</v>
      </c>
      <c r="Q330" t="s">
        <v>6632</v>
      </c>
      <c r="T330">
        <v>1353</v>
      </c>
    </row>
    <row r="331" spans="1:20">
      <c r="A331">
        <v>332</v>
      </c>
      <c r="B331" t="s">
        <v>3856</v>
      </c>
      <c r="C331">
        <v>1209</v>
      </c>
      <c r="D331" t="s">
        <v>3857</v>
      </c>
      <c r="E331" t="s">
        <v>3023</v>
      </c>
      <c r="F331" t="s">
        <v>3035</v>
      </c>
      <c r="G331" t="s">
        <v>3036</v>
      </c>
      <c r="H331" t="s">
        <v>3013</v>
      </c>
      <c r="I331" t="s">
        <v>3014</v>
      </c>
      <c r="J331" t="s">
        <v>3014</v>
      </c>
      <c r="K331" t="s">
        <v>3014</v>
      </c>
      <c r="L331" t="s">
        <v>3315</v>
      </c>
      <c r="M331" t="s">
        <v>3858</v>
      </c>
      <c r="N331" t="s">
        <v>672</v>
      </c>
      <c r="O331" t="s">
        <v>8390</v>
      </c>
      <c r="P331" t="s">
        <v>8094</v>
      </c>
      <c r="Q331" t="s">
        <v>6435</v>
      </c>
      <c r="T331">
        <v>101</v>
      </c>
    </row>
    <row r="332" spans="1:20">
      <c r="A332">
        <v>331</v>
      </c>
      <c r="B332" t="s">
        <v>3853</v>
      </c>
      <c r="C332">
        <v>1209</v>
      </c>
      <c r="D332" t="s">
        <v>3854</v>
      </c>
      <c r="E332" t="s">
        <v>3049</v>
      </c>
      <c r="F332" t="s">
        <v>3035</v>
      </c>
      <c r="G332" t="s">
        <v>3111</v>
      </c>
      <c r="H332" t="s">
        <v>3014</v>
      </c>
      <c r="I332" t="s">
        <v>3014</v>
      </c>
      <c r="J332" t="s">
        <v>3014</v>
      </c>
      <c r="K332" t="s">
        <v>3014</v>
      </c>
      <c r="L332" t="s">
        <v>3315</v>
      </c>
      <c r="M332" t="s">
        <v>3855</v>
      </c>
      <c r="N332" t="s">
        <v>1163</v>
      </c>
      <c r="O332" t="s">
        <v>8498</v>
      </c>
      <c r="P332" t="s">
        <v>8204</v>
      </c>
      <c r="Q332" t="s">
        <v>6430</v>
      </c>
      <c r="R332">
        <v>1</v>
      </c>
      <c r="S332">
        <v>1</v>
      </c>
      <c r="T332">
        <v>1078</v>
      </c>
    </row>
    <row r="333" spans="1:20">
      <c r="A333">
        <v>333</v>
      </c>
      <c r="B333" t="s">
        <v>3859</v>
      </c>
      <c r="C333">
        <v>1210</v>
      </c>
      <c r="D333" t="s">
        <v>3860</v>
      </c>
      <c r="E333" t="s">
        <v>3092</v>
      </c>
      <c r="F333" t="s">
        <v>3035</v>
      </c>
      <c r="G333" t="s">
        <v>3024</v>
      </c>
      <c r="H333" t="s">
        <v>3014</v>
      </c>
      <c r="I333" t="s">
        <v>3014</v>
      </c>
      <c r="J333" t="s">
        <v>3014</v>
      </c>
      <c r="K333" t="s">
        <v>3340</v>
      </c>
      <c r="L333" t="s">
        <v>3013</v>
      </c>
      <c r="M333" t="s">
        <v>3861</v>
      </c>
      <c r="N333" t="s">
        <v>330</v>
      </c>
      <c r="O333" t="s">
        <v>8064</v>
      </c>
      <c r="P333" t="s">
        <v>8064</v>
      </c>
      <c r="Q333">
        <v>0</v>
      </c>
      <c r="T333">
        <v>1174</v>
      </c>
    </row>
    <row r="334" spans="1:20">
      <c r="A334">
        <v>336</v>
      </c>
      <c r="B334" t="s">
        <v>3867</v>
      </c>
      <c r="C334">
        <v>1211</v>
      </c>
      <c r="D334" t="s">
        <v>3868</v>
      </c>
      <c r="E334" t="s">
        <v>3049</v>
      </c>
      <c r="F334" t="s">
        <v>3035</v>
      </c>
      <c r="G334" t="s">
        <v>3036</v>
      </c>
      <c r="H334" t="s">
        <v>3315</v>
      </c>
      <c r="I334" t="s">
        <v>3315</v>
      </c>
      <c r="J334" t="s">
        <v>3014</v>
      </c>
      <c r="K334" t="s">
        <v>3370</v>
      </c>
      <c r="L334" t="s">
        <v>3315</v>
      </c>
      <c r="M334" t="s">
        <v>3869</v>
      </c>
      <c r="N334" t="s">
        <v>674</v>
      </c>
      <c r="O334" t="s">
        <v>8064</v>
      </c>
      <c r="P334" t="s">
        <v>8064</v>
      </c>
      <c r="Q334">
        <v>0</v>
      </c>
      <c r="S334">
        <v>1</v>
      </c>
      <c r="T334">
        <v>148</v>
      </c>
    </row>
    <row r="335" spans="1:20">
      <c r="A335">
        <v>334</v>
      </c>
      <c r="B335" t="s">
        <v>3862</v>
      </c>
      <c r="C335">
        <v>1211</v>
      </c>
      <c r="D335" t="s">
        <v>3863</v>
      </c>
      <c r="E335" t="s">
        <v>3049</v>
      </c>
      <c r="F335" t="s">
        <v>3035</v>
      </c>
      <c r="G335" t="s">
        <v>3036</v>
      </c>
      <c r="H335" t="s">
        <v>3013</v>
      </c>
      <c r="I335" t="s">
        <v>3315</v>
      </c>
      <c r="J335" t="s">
        <v>3014</v>
      </c>
      <c r="K335" t="s">
        <v>3014</v>
      </c>
      <c r="L335" t="s">
        <v>3014</v>
      </c>
      <c r="M335" t="s">
        <v>3864</v>
      </c>
      <c r="N335" t="s">
        <v>1165</v>
      </c>
      <c r="O335" t="s">
        <v>6446</v>
      </c>
      <c r="P335" t="s">
        <v>8068</v>
      </c>
      <c r="Q335" t="s">
        <v>1</v>
      </c>
      <c r="R335">
        <v>1</v>
      </c>
      <c r="S335">
        <v>1</v>
      </c>
      <c r="T335">
        <v>1084</v>
      </c>
    </row>
    <row r="336" spans="1:20">
      <c r="A336">
        <v>335</v>
      </c>
      <c r="B336" t="s">
        <v>3865</v>
      </c>
      <c r="C336">
        <v>1211</v>
      </c>
      <c r="D336" t="s">
        <v>3866</v>
      </c>
      <c r="E336" t="s">
        <v>3010</v>
      </c>
      <c r="F336" t="s">
        <v>3035</v>
      </c>
      <c r="G336" t="s">
        <v>3036</v>
      </c>
      <c r="H336" t="s">
        <v>3013</v>
      </c>
      <c r="I336" t="s">
        <v>3014</v>
      </c>
      <c r="J336" t="s">
        <v>3315</v>
      </c>
      <c r="K336" t="s">
        <v>3315</v>
      </c>
      <c r="L336" t="s">
        <v>3315</v>
      </c>
      <c r="M336" t="s">
        <v>3807</v>
      </c>
      <c r="N336" t="s">
        <v>1982</v>
      </c>
      <c r="O336" t="s">
        <v>8064</v>
      </c>
      <c r="P336" t="s">
        <v>8064</v>
      </c>
      <c r="Q336">
        <v>0</v>
      </c>
      <c r="T336">
        <v>976</v>
      </c>
    </row>
    <row r="337" spans="1:20">
      <c r="A337">
        <v>337</v>
      </c>
      <c r="B337" t="s">
        <v>3870</v>
      </c>
      <c r="C337">
        <v>1211</v>
      </c>
      <c r="D337" t="s">
        <v>3871</v>
      </c>
      <c r="E337" t="s">
        <v>3010</v>
      </c>
      <c r="F337" t="s">
        <v>3035</v>
      </c>
      <c r="G337" t="s">
        <v>3036</v>
      </c>
      <c r="H337" t="s">
        <v>3014</v>
      </c>
      <c r="I337" t="s">
        <v>3014</v>
      </c>
      <c r="J337" t="s">
        <v>3014</v>
      </c>
      <c r="K337" t="s">
        <v>3014</v>
      </c>
      <c r="L337" t="s">
        <v>3315</v>
      </c>
      <c r="M337" t="s">
        <v>3872</v>
      </c>
      <c r="N337" t="s">
        <v>1999</v>
      </c>
      <c r="O337" t="s">
        <v>8485</v>
      </c>
      <c r="P337" t="s">
        <v>8189</v>
      </c>
      <c r="Q337" t="s">
        <v>6646</v>
      </c>
      <c r="T337">
        <v>963</v>
      </c>
    </row>
    <row r="338" spans="1:20">
      <c r="A338">
        <v>338</v>
      </c>
      <c r="B338" t="s">
        <v>3873</v>
      </c>
      <c r="C338">
        <v>1212</v>
      </c>
      <c r="D338">
        <v>1212</v>
      </c>
      <c r="E338" t="s">
        <v>3874</v>
      </c>
      <c r="F338" t="s">
        <v>3035</v>
      </c>
      <c r="G338" t="s">
        <v>3012</v>
      </c>
      <c r="H338" t="s">
        <v>3014</v>
      </c>
      <c r="I338" t="s">
        <v>3014</v>
      </c>
      <c r="J338" t="s">
        <v>3014</v>
      </c>
      <c r="K338" t="s">
        <v>3014</v>
      </c>
      <c r="L338" t="s">
        <v>3013</v>
      </c>
      <c r="M338" t="s">
        <v>3875</v>
      </c>
      <c r="N338" t="s">
        <v>6088</v>
      </c>
      <c r="O338" t="s">
        <v>8064</v>
      </c>
      <c r="P338" t="s">
        <v>8064</v>
      </c>
      <c r="Q338">
        <v>0</v>
      </c>
      <c r="T338">
        <v>13</v>
      </c>
    </row>
    <row r="339" spans="1:20">
      <c r="A339">
        <v>339</v>
      </c>
      <c r="B339" t="s">
        <v>3876</v>
      </c>
      <c r="C339">
        <v>1212</v>
      </c>
      <c r="D339" t="s">
        <v>3877</v>
      </c>
      <c r="E339" t="s">
        <v>3049</v>
      </c>
      <c r="F339" t="s">
        <v>3035</v>
      </c>
      <c r="G339" t="s">
        <v>3036</v>
      </c>
      <c r="H339" t="s">
        <v>3014</v>
      </c>
      <c r="I339" t="s">
        <v>3315</v>
      </c>
      <c r="J339" t="s">
        <v>3013</v>
      </c>
      <c r="K339" t="s">
        <v>3014</v>
      </c>
      <c r="L339" t="s">
        <v>3013</v>
      </c>
      <c r="M339" t="s">
        <v>3878</v>
      </c>
      <c r="N339" t="s">
        <v>977</v>
      </c>
      <c r="O339" t="s">
        <v>8064</v>
      </c>
      <c r="P339" t="s">
        <v>8064</v>
      </c>
      <c r="Q339">
        <v>0</v>
      </c>
      <c r="S339">
        <v>1</v>
      </c>
      <c r="T339">
        <v>267</v>
      </c>
    </row>
    <row r="340" spans="1:20">
      <c r="A340">
        <v>341</v>
      </c>
      <c r="B340" t="s">
        <v>3882</v>
      </c>
      <c r="C340">
        <v>1212</v>
      </c>
      <c r="D340" t="s">
        <v>477</v>
      </c>
      <c r="E340" t="s">
        <v>3049</v>
      </c>
      <c r="F340" t="s">
        <v>3035</v>
      </c>
      <c r="G340" t="s">
        <v>3036</v>
      </c>
      <c r="H340" t="s">
        <v>3340</v>
      </c>
      <c r="I340" t="s">
        <v>3315</v>
      </c>
      <c r="J340" t="s">
        <v>3014</v>
      </c>
      <c r="K340" t="s">
        <v>3315</v>
      </c>
      <c r="L340" t="s">
        <v>3315</v>
      </c>
      <c r="M340" t="s">
        <v>3883</v>
      </c>
      <c r="N340" t="s">
        <v>676</v>
      </c>
      <c r="O340" t="s">
        <v>8414</v>
      </c>
      <c r="P340" t="s">
        <v>8118</v>
      </c>
      <c r="Q340" t="s">
        <v>6339</v>
      </c>
      <c r="R340">
        <v>1</v>
      </c>
      <c r="S340">
        <v>1</v>
      </c>
      <c r="T340">
        <v>203</v>
      </c>
    </row>
    <row r="341" spans="1:20">
      <c r="A341">
        <v>340</v>
      </c>
      <c r="B341" t="s">
        <v>3879</v>
      </c>
      <c r="C341">
        <v>1212</v>
      </c>
      <c r="D341" t="s">
        <v>3880</v>
      </c>
      <c r="E341" t="s">
        <v>3020</v>
      </c>
      <c r="F341" t="s">
        <v>3035</v>
      </c>
      <c r="G341" t="s">
        <v>3036</v>
      </c>
      <c r="H341" t="s">
        <v>3014</v>
      </c>
      <c r="I341" t="s">
        <v>3014</v>
      </c>
      <c r="J341" t="s">
        <v>3013</v>
      </c>
      <c r="K341" t="s">
        <v>3014</v>
      </c>
      <c r="L341" t="s">
        <v>3013</v>
      </c>
      <c r="M341" t="s">
        <v>3881</v>
      </c>
      <c r="N341" t="s">
        <v>8777</v>
      </c>
      <c r="O341" t="s">
        <v>8064</v>
      </c>
      <c r="P341" t="s">
        <v>8064</v>
      </c>
      <c r="Q341">
        <v>0</v>
      </c>
      <c r="T341">
        <v>392</v>
      </c>
    </row>
    <row r="342" spans="1:20">
      <c r="A342">
        <v>342</v>
      </c>
      <c r="B342" t="s">
        <v>3884</v>
      </c>
      <c r="C342">
        <v>1213</v>
      </c>
      <c r="D342">
        <v>1213</v>
      </c>
      <c r="E342" t="s">
        <v>3010</v>
      </c>
      <c r="F342" t="s">
        <v>3035</v>
      </c>
      <c r="G342" t="s">
        <v>3036</v>
      </c>
      <c r="H342" t="s">
        <v>3014</v>
      </c>
      <c r="I342" t="s">
        <v>3014</v>
      </c>
      <c r="J342" t="s">
        <v>3014</v>
      </c>
      <c r="K342" t="s">
        <v>3014</v>
      </c>
      <c r="L342" t="s">
        <v>3315</v>
      </c>
      <c r="M342" t="s">
        <v>3885</v>
      </c>
      <c r="N342" t="s">
        <v>1298</v>
      </c>
      <c r="O342" t="s">
        <v>8559</v>
      </c>
      <c r="P342" t="s">
        <v>8264</v>
      </c>
      <c r="Q342" t="s">
        <v>6437</v>
      </c>
      <c r="T342">
        <v>465</v>
      </c>
    </row>
    <row r="343" spans="1:20">
      <c r="A343">
        <v>343</v>
      </c>
      <c r="B343" t="s">
        <v>3886</v>
      </c>
      <c r="C343">
        <v>1214</v>
      </c>
      <c r="D343" t="s">
        <v>3887</v>
      </c>
      <c r="E343" t="s">
        <v>3049</v>
      </c>
      <c r="F343" t="s">
        <v>3035</v>
      </c>
      <c r="G343" t="s">
        <v>3036</v>
      </c>
      <c r="H343" t="s">
        <v>3014</v>
      </c>
      <c r="I343" t="s">
        <v>3014</v>
      </c>
      <c r="J343" t="s">
        <v>3014</v>
      </c>
      <c r="K343" t="s">
        <v>3340</v>
      </c>
      <c r="L343" t="s">
        <v>3358</v>
      </c>
      <c r="M343" t="s">
        <v>3888</v>
      </c>
      <c r="N343" t="s">
        <v>678</v>
      </c>
      <c r="O343" t="s">
        <v>8358</v>
      </c>
      <c r="P343" t="s">
        <v>8061</v>
      </c>
      <c r="Q343" t="s">
        <v>6497</v>
      </c>
      <c r="R343">
        <v>1</v>
      </c>
      <c r="S343">
        <v>1</v>
      </c>
      <c r="T343">
        <v>1371</v>
      </c>
    </row>
    <row r="344" spans="1:20">
      <c r="A344">
        <v>344</v>
      </c>
      <c r="B344" t="s">
        <v>3889</v>
      </c>
      <c r="C344">
        <v>1215</v>
      </c>
      <c r="D344" t="s">
        <v>3890</v>
      </c>
      <c r="E344" t="s">
        <v>3049</v>
      </c>
      <c r="F344" t="s">
        <v>3035</v>
      </c>
      <c r="G344" t="s">
        <v>3036</v>
      </c>
      <c r="H344" t="s">
        <v>3014</v>
      </c>
      <c r="I344" t="s">
        <v>3014</v>
      </c>
      <c r="J344" t="s">
        <v>3014</v>
      </c>
      <c r="K344" t="s">
        <v>3014</v>
      </c>
      <c r="L344" t="s">
        <v>3315</v>
      </c>
      <c r="M344" t="s">
        <v>3891</v>
      </c>
      <c r="N344" t="s">
        <v>980</v>
      </c>
      <c r="O344" t="s">
        <v>8454</v>
      </c>
      <c r="P344" t="s">
        <v>8158</v>
      </c>
      <c r="Q344" t="s">
        <v>6439</v>
      </c>
      <c r="R344">
        <v>1</v>
      </c>
      <c r="S344">
        <v>1</v>
      </c>
      <c r="T344">
        <v>276</v>
      </c>
    </row>
    <row r="345" spans="1:20">
      <c r="A345">
        <v>345</v>
      </c>
      <c r="B345" t="s">
        <v>3892</v>
      </c>
      <c r="C345">
        <v>1216</v>
      </c>
      <c r="D345">
        <v>1216</v>
      </c>
      <c r="E345" t="s">
        <v>3141</v>
      </c>
      <c r="F345" t="s">
        <v>3035</v>
      </c>
      <c r="G345" t="s">
        <v>3036</v>
      </c>
      <c r="H345" t="s">
        <v>3014</v>
      </c>
      <c r="I345" t="s">
        <v>3014</v>
      </c>
      <c r="J345" t="s">
        <v>3014</v>
      </c>
      <c r="K345" t="s">
        <v>3014</v>
      </c>
      <c r="L345" t="s">
        <v>3014</v>
      </c>
      <c r="M345" t="s">
        <v>3893</v>
      </c>
      <c r="N345" t="s">
        <v>6038</v>
      </c>
      <c r="O345" t="s">
        <v>8540</v>
      </c>
      <c r="P345" t="s">
        <v>8245</v>
      </c>
      <c r="Q345" t="s">
        <v>5634</v>
      </c>
      <c r="T345">
        <v>43</v>
      </c>
    </row>
    <row r="346" spans="1:20">
      <c r="A346">
        <v>346</v>
      </c>
      <c r="B346" t="s">
        <v>3894</v>
      </c>
      <c r="C346">
        <v>1216</v>
      </c>
      <c r="D346" t="s">
        <v>478</v>
      </c>
      <c r="E346" t="s">
        <v>3141</v>
      </c>
      <c r="F346" t="s">
        <v>3035</v>
      </c>
      <c r="G346" t="s">
        <v>3036</v>
      </c>
      <c r="H346" t="s">
        <v>3014</v>
      </c>
      <c r="I346" t="s">
        <v>3014</v>
      </c>
      <c r="J346" t="s">
        <v>3013</v>
      </c>
      <c r="K346" t="s">
        <v>3014</v>
      </c>
      <c r="L346" t="s">
        <v>3315</v>
      </c>
      <c r="M346" t="s">
        <v>3895</v>
      </c>
      <c r="N346" t="s">
        <v>680</v>
      </c>
      <c r="O346" t="s">
        <v>6808</v>
      </c>
      <c r="P346" t="s">
        <v>6809</v>
      </c>
      <c r="Q346" t="s">
        <v>5719</v>
      </c>
      <c r="T346">
        <v>197</v>
      </c>
    </row>
    <row r="347" spans="1:20">
      <c r="A347">
        <v>347</v>
      </c>
      <c r="B347" t="s">
        <v>3867</v>
      </c>
      <c r="C347">
        <v>1217</v>
      </c>
      <c r="D347" t="s">
        <v>3896</v>
      </c>
      <c r="E347" t="s">
        <v>3049</v>
      </c>
      <c r="F347" t="s">
        <v>3035</v>
      </c>
      <c r="G347" t="s">
        <v>3036</v>
      </c>
      <c r="H347" t="s">
        <v>3014</v>
      </c>
      <c r="I347" t="s">
        <v>3014</v>
      </c>
      <c r="J347" t="s">
        <v>3014</v>
      </c>
      <c r="K347" t="s">
        <v>3315</v>
      </c>
      <c r="L347" t="s">
        <v>3013</v>
      </c>
      <c r="M347" t="s">
        <v>3897</v>
      </c>
      <c r="N347" t="s">
        <v>682</v>
      </c>
      <c r="O347" t="s">
        <v>8064</v>
      </c>
      <c r="P347" t="s">
        <v>8064</v>
      </c>
      <c r="Q347">
        <v>0</v>
      </c>
      <c r="S347">
        <v>1</v>
      </c>
      <c r="T347">
        <v>147</v>
      </c>
    </row>
    <row r="348" spans="1:20">
      <c r="A348">
        <v>351</v>
      </c>
      <c r="B348" t="s">
        <v>3905</v>
      </c>
      <c r="C348">
        <v>1218</v>
      </c>
      <c r="D348" t="s">
        <v>3906</v>
      </c>
      <c r="E348" t="s">
        <v>3049</v>
      </c>
      <c r="F348" t="s">
        <v>3035</v>
      </c>
      <c r="G348" t="s">
        <v>3111</v>
      </c>
      <c r="H348" t="s">
        <v>3014</v>
      </c>
      <c r="I348" t="s">
        <v>3014</v>
      </c>
      <c r="J348" t="s">
        <v>3013</v>
      </c>
      <c r="K348" t="s">
        <v>3014</v>
      </c>
      <c r="L348" t="s">
        <v>3013</v>
      </c>
      <c r="M348" t="s">
        <v>3907</v>
      </c>
      <c r="N348" t="s">
        <v>1170</v>
      </c>
      <c r="O348" t="s">
        <v>8064</v>
      </c>
      <c r="P348" t="s">
        <v>8064</v>
      </c>
      <c r="Q348">
        <v>0</v>
      </c>
      <c r="S348">
        <v>1</v>
      </c>
      <c r="T348">
        <v>1072</v>
      </c>
    </row>
    <row r="349" spans="1:20">
      <c r="A349">
        <v>352</v>
      </c>
      <c r="B349" t="s">
        <v>3908</v>
      </c>
      <c r="C349">
        <v>1218</v>
      </c>
      <c r="D349" t="s">
        <v>3909</v>
      </c>
      <c r="E349" t="s">
        <v>3010</v>
      </c>
      <c r="F349" t="s">
        <v>3035</v>
      </c>
      <c r="G349" t="s">
        <v>3036</v>
      </c>
      <c r="H349" s="17" t="s">
        <v>3013</v>
      </c>
      <c r="I349" s="17" t="s">
        <v>3315</v>
      </c>
      <c r="J349" s="17" t="s">
        <v>3014</v>
      </c>
      <c r="K349" s="17" t="s">
        <v>3340</v>
      </c>
      <c r="L349" s="17" t="s">
        <v>3315</v>
      </c>
      <c r="M349" t="s">
        <v>3910</v>
      </c>
      <c r="N349" t="s">
        <v>1471</v>
      </c>
      <c r="O349" t="s">
        <v>8364</v>
      </c>
      <c r="P349" t="s">
        <v>8069</v>
      </c>
      <c r="Q349" t="s">
        <v>4502</v>
      </c>
      <c r="T349">
        <v>614</v>
      </c>
    </row>
    <row r="350" spans="1:20">
      <c r="A350">
        <v>349</v>
      </c>
      <c r="B350" t="s">
        <v>3900</v>
      </c>
      <c r="C350">
        <v>1218</v>
      </c>
      <c r="D350">
        <v>1218</v>
      </c>
      <c r="E350" t="s">
        <v>3010</v>
      </c>
      <c r="F350" t="s">
        <v>3035</v>
      </c>
      <c r="G350" t="s">
        <v>3036</v>
      </c>
      <c r="H350" t="s">
        <v>3315</v>
      </c>
      <c r="I350" t="s">
        <v>3315</v>
      </c>
      <c r="J350" t="s">
        <v>3315</v>
      </c>
      <c r="K350" t="s">
        <v>3315</v>
      </c>
      <c r="L350" t="s">
        <v>3315</v>
      </c>
      <c r="M350" t="s">
        <v>3901</v>
      </c>
      <c r="N350" t="s">
        <v>685</v>
      </c>
      <c r="O350" t="s">
        <v>8064</v>
      </c>
      <c r="P350" t="s">
        <v>8064</v>
      </c>
      <c r="Q350">
        <v>0</v>
      </c>
      <c r="T350">
        <v>104</v>
      </c>
    </row>
    <row r="351" spans="1:20">
      <c r="A351">
        <v>350</v>
      </c>
      <c r="B351" t="s">
        <v>3902</v>
      </c>
      <c r="C351">
        <v>1218</v>
      </c>
      <c r="D351" t="s">
        <v>3903</v>
      </c>
      <c r="E351" t="s">
        <v>3010</v>
      </c>
      <c r="F351" t="s">
        <v>3035</v>
      </c>
      <c r="G351" t="s">
        <v>3036</v>
      </c>
      <c r="H351" t="s">
        <v>3014</v>
      </c>
      <c r="I351" t="s">
        <v>3014</v>
      </c>
      <c r="J351" t="s">
        <v>3014</v>
      </c>
      <c r="K351" t="s">
        <v>3014</v>
      </c>
      <c r="L351" t="s">
        <v>3315</v>
      </c>
      <c r="M351" t="s">
        <v>3904</v>
      </c>
      <c r="N351" t="s">
        <v>1535</v>
      </c>
      <c r="O351" t="s">
        <v>8592</v>
      </c>
      <c r="P351" t="s">
        <v>8297</v>
      </c>
      <c r="Q351" t="s">
        <v>7025</v>
      </c>
      <c r="T351">
        <v>717</v>
      </c>
    </row>
    <row r="352" spans="1:20">
      <c r="A352">
        <v>348</v>
      </c>
      <c r="B352" t="s">
        <v>3898</v>
      </c>
      <c r="C352">
        <v>1218</v>
      </c>
      <c r="D352">
        <v>1218</v>
      </c>
      <c r="E352" t="s">
        <v>3231</v>
      </c>
      <c r="F352" t="s">
        <v>3035</v>
      </c>
      <c r="G352" t="s">
        <v>3036</v>
      </c>
      <c r="H352" t="s">
        <v>3014</v>
      </c>
      <c r="I352" t="s">
        <v>3014</v>
      </c>
      <c r="J352" t="s">
        <v>3014</v>
      </c>
      <c r="K352" t="s">
        <v>3014</v>
      </c>
      <c r="L352" t="s">
        <v>3315</v>
      </c>
      <c r="M352" t="s">
        <v>3899</v>
      </c>
      <c r="N352" t="s">
        <v>1332</v>
      </c>
      <c r="O352" t="s">
        <v>8064</v>
      </c>
      <c r="P352" t="s">
        <v>8064</v>
      </c>
      <c r="Q352">
        <v>0</v>
      </c>
      <c r="T352">
        <v>411</v>
      </c>
    </row>
    <row r="353" spans="1:20">
      <c r="A353">
        <v>353</v>
      </c>
      <c r="B353" t="s">
        <v>3911</v>
      </c>
      <c r="C353">
        <v>1219</v>
      </c>
      <c r="D353">
        <v>1219</v>
      </c>
      <c r="E353" t="s">
        <v>3010</v>
      </c>
      <c r="F353" t="s">
        <v>3035</v>
      </c>
      <c r="G353" t="s">
        <v>3024</v>
      </c>
      <c r="H353" t="s">
        <v>3014</v>
      </c>
      <c r="I353" t="s">
        <v>3315</v>
      </c>
      <c r="J353" t="s">
        <v>3014</v>
      </c>
      <c r="K353" t="s">
        <v>3014</v>
      </c>
      <c r="L353" t="s">
        <v>3315</v>
      </c>
      <c r="M353" t="s">
        <v>3912</v>
      </c>
      <c r="N353" t="s">
        <v>983</v>
      </c>
      <c r="O353" t="s">
        <v>8364</v>
      </c>
      <c r="P353" t="s">
        <v>8069</v>
      </c>
      <c r="Q353" t="s">
        <v>4502</v>
      </c>
      <c r="T353">
        <v>315</v>
      </c>
    </row>
    <row r="354" spans="1:20">
      <c r="A354">
        <v>354</v>
      </c>
      <c r="B354" t="s">
        <v>3913</v>
      </c>
      <c r="C354">
        <v>1219</v>
      </c>
      <c r="D354">
        <v>1219</v>
      </c>
      <c r="E354" t="s">
        <v>3010</v>
      </c>
      <c r="F354" t="s">
        <v>3035</v>
      </c>
      <c r="G354" t="s">
        <v>3036</v>
      </c>
      <c r="H354" t="s">
        <v>3340</v>
      </c>
      <c r="I354" t="s">
        <v>3315</v>
      </c>
      <c r="J354" t="s">
        <v>3014</v>
      </c>
      <c r="K354" t="s">
        <v>3014</v>
      </c>
      <c r="L354" t="s">
        <v>3013</v>
      </c>
      <c r="M354" t="s">
        <v>3914</v>
      </c>
      <c r="N354" t="s">
        <v>334</v>
      </c>
      <c r="O354" t="s">
        <v>8064</v>
      </c>
      <c r="P354" t="s">
        <v>8064</v>
      </c>
      <c r="Q354">
        <v>0</v>
      </c>
      <c r="T354">
        <v>1222</v>
      </c>
    </row>
    <row r="355" spans="1:20">
      <c r="A355">
        <v>356</v>
      </c>
      <c r="B355" t="s">
        <v>3918</v>
      </c>
      <c r="C355">
        <v>1221</v>
      </c>
      <c r="D355" t="s">
        <v>3919</v>
      </c>
      <c r="E355" t="s">
        <v>3013</v>
      </c>
      <c r="F355" t="s">
        <v>3035</v>
      </c>
      <c r="G355" t="s">
        <v>3036</v>
      </c>
      <c r="H355" t="s">
        <v>3315</v>
      </c>
      <c r="I355" t="s">
        <v>3315</v>
      </c>
      <c r="J355" t="s">
        <v>3315</v>
      </c>
      <c r="K355" t="s">
        <v>3315</v>
      </c>
      <c r="L355" t="s">
        <v>3315</v>
      </c>
      <c r="M355" t="s">
        <v>3920</v>
      </c>
      <c r="N355" t="s">
        <v>1789</v>
      </c>
      <c r="O355" t="s">
        <v>8465</v>
      </c>
      <c r="P355" t="s">
        <v>8169</v>
      </c>
      <c r="Q355" t="s">
        <v>6504</v>
      </c>
      <c r="T355">
        <v>769</v>
      </c>
    </row>
    <row r="356" spans="1:20">
      <c r="A356">
        <v>359</v>
      </c>
      <c r="B356" t="s">
        <v>3924</v>
      </c>
      <c r="C356">
        <v>1221</v>
      </c>
      <c r="D356" t="s">
        <v>3925</v>
      </c>
      <c r="E356" t="s">
        <v>3049</v>
      </c>
      <c r="F356" t="s">
        <v>3035</v>
      </c>
      <c r="G356" t="s">
        <v>3036</v>
      </c>
      <c r="H356" t="s">
        <v>3013</v>
      </c>
      <c r="I356" t="s">
        <v>3315</v>
      </c>
      <c r="J356" t="s">
        <v>3013</v>
      </c>
      <c r="K356" t="s">
        <v>3013</v>
      </c>
      <c r="L356" t="s">
        <v>3013</v>
      </c>
      <c r="M356" t="s">
        <v>3926</v>
      </c>
      <c r="N356" t="s">
        <v>687</v>
      </c>
      <c r="O356" t="s">
        <v>8419</v>
      </c>
      <c r="P356" t="s">
        <v>8123</v>
      </c>
      <c r="Q356" t="s">
        <v>6391</v>
      </c>
      <c r="R356">
        <v>1</v>
      </c>
      <c r="S356">
        <v>1</v>
      </c>
      <c r="T356">
        <v>170</v>
      </c>
    </row>
    <row r="357" spans="1:20">
      <c r="A357">
        <v>358</v>
      </c>
      <c r="B357" t="s">
        <v>3923</v>
      </c>
      <c r="C357">
        <v>1221</v>
      </c>
      <c r="D357" t="s">
        <v>3922</v>
      </c>
      <c r="E357" t="s">
        <v>3010</v>
      </c>
      <c r="F357" t="s">
        <v>3035</v>
      </c>
      <c r="G357" t="s">
        <v>3036</v>
      </c>
      <c r="H357" t="s">
        <v>3315</v>
      </c>
      <c r="I357" t="s">
        <v>3315</v>
      </c>
      <c r="J357" t="s">
        <v>3014</v>
      </c>
      <c r="K357" t="s">
        <v>3315</v>
      </c>
      <c r="L357" t="s">
        <v>3013</v>
      </c>
      <c r="M357" t="s">
        <v>3920</v>
      </c>
      <c r="N357" t="s">
        <v>1789</v>
      </c>
      <c r="O357" t="s">
        <v>8465</v>
      </c>
      <c r="P357" t="s">
        <v>8169</v>
      </c>
      <c r="Q357" t="s">
        <v>6504</v>
      </c>
      <c r="T357">
        <v>769</v>
      </c>
    </row>
    <row r="358" spans="1:20">
      <c r="A358">
        <v>357</v>
      </c>
      <c r="B358" t="s">
        <v>3921</v>
      </c>
      <c r="C358">
        <v>1221</v>
      </c>
      <c r="D358" t="s">
        <v>3922</v>
      </c>
      <c r="E358" t="s">
        <v>3231</v>
      </c>
      <c r="F358" t="s">
        <v>3035</v>
      </c>
      <c r="G358" t="s">
        <v>3036</v>
      </c>
      <c r="H358" t="s">
        <v>3014</v>
      </c>
      <c r="I358" t="s">
        <v>3014</v>
      </c>
      <c r="J358" t="s">
        <v>3014</v>
      </c>
      <c r="K358" t="s">
        <v>3014</v>
      </c>
      <c r="L358" t="s">
        <v>3315</v>
      </c>
      <c r="M358" t="s">
        <v>3904</v>
      </c>
      <c r="N358" t="s">
        <v>1535</v>
      </c>
      <c r="O358" t="s">
        <v>8592</v>
      </c>
      <c r="P358" t="s">
        <v>8297</v>
      </c>
      <c r="Q358" t="s">
        <v>7025</v>
      </c>
      <c r="T358">
        <v>717</v>
      </c>
    </row>
    <row r="359" spans="1:20">
      <c r="A359">
        <v>355</v>
      </c>
      <c r="B359" t="s">
        <v>3915</v>
      </c>
      <c r="C359">
        <v>1221</v>
      </c>
      <c r="D359" t="s">
        <v>3916</v>
      </c>
      <c r="E359" t="s">
        <v>3092</v>
      </c>
      <c r="F359" t="s">
        <v>3035</v>
      </c>
      <c r="G359" t="s">
        <v>3024</v>
      </c>
      <c r="H359" t="s">
        <v>3013</v>
      </c>
      <c r="I359" t="s">
        <v>3315</v>
      </c>
      <c r="J359" t="s">
        <v>3014</v>
      </c>
      <c r="K359" t="s">
        <v>3014</v>
      </c>
      <c r="L359" t="s">
        <v>3013</v>
      </c>
      <c r="M359" t="s">
        <v>3917</v>
      </c>
      <c r="N359" t="s">
        <v>2826</v>
      </c>
      <c r="O359" t="s">
        <v>8064</v>
      </c>
      <c r="P359" t="s">
        <v>8064</v>
      </c>
      <c r="Q359">
        <v>0</v>
      </c>
      <c r="T359">
        <v>1380</v>
      </c>
    </row>
    <row r="360" spans="1:20">
      <c r="A360">
        <v>361</v>
      </c>
      <c r="B360" t="s">
        <v>3930</v>
      </c>
      <c r="C360">
        <v>1223</v>
      </c>
      <c r="D360" t="s">
        <v>3931</v>
      </c>
      <c r="E360" t="s">
        <v>3049</v>
      </c>
      <c r="F360" t="s">
        <v>3035</v>
      </c>
      <c r="G360" t="s">
        <v>3036</v>
      </c>
      <c r="H360" t="s">
        <v>3315</v>
      </c>
      <c r="I360" t="s">
        <v>3315</v>
      </c>
      <c r="J360" t="s">
        <v>3014</v>
      </c>
      <c r="K360" t="s">
        <v>3013</v>
      </c>
      <c r="L360" t="s">
        <v>3013</v>
      </c>
      <c r="M360" t="s">
        <v>3932</v>
      </c>
      <c r="N360" t="s">
        <v>1172</v>
      </c>
      <c r="O360" t="s">
        <v>8454</v>
      </c>
      <c r="P360" t="s">
        <v>8158</v>
      </c>
      <c r="Q360" t="s">
        <v>6439</v>
      </c>
      <c r="R360">
        <v>1</v>
      </c>
      <c r="S360">
        <v>1</v>
      </c>
      <c r="T360">
        <v>1089</v>
      </c>
    </row>
    <row r="361" spans="1:20">
      <c r="A361">
        <v>362</v>
      </c>
      <c r="B361" t="s">
        <v>3933</v>
      </c>
      <c r="C361">
        <v>1223</v>
      </c>
      <c r="D361" t="s">
        <v>3934</v>
      </c>
      <c r="E361" t="s">
        <v>3092</v>
      </c>
      <c r="F361" t="s">
        <v>3035</v>
      </c>
      <c r="G361" t="s">
        <v>3036</v>
      </c>
      <c r="H361" t="s">
        <v>3315</v>
      </c>
      <c r="I361" t="s">
        <v>3315</v>
      </c>
      <c r="J361" t="s">
        <v>3315</v>
      </c>
      <c r="K361" t="s">
        <v>3315</v>
      </c>
      <c r="L361" t="s">
        <v>3315</v>
      </c>
      <c r="M361" t="s">
        <v>3935</v>
      </c>
      <c r="N361" t="s">
        <v>2001</v>
      </c>
      <c r="O361" t="s">
        <v>8492</v>
      </c>
      <c r="P361" t="s">
        <v>8198</v>
      </c>
      <c r="Q361" t="s">
        <v>6661</v>
      </c>
      <c r="T361">
        <v>999</v>
      </c>
    </row>
    <row r="362" spans="1:20">
      <c r="A362">
        <v>360</v>
      </c>
      <c r="B362" t="s">
        <v>3927</v>
      </c>
      <c r="C362">
        <v>1223</v>
      </c>
      <c r="D362">
        <v>1223</v>
      </c>
      <c r="E362" t="s">
        <v>3928</v>
      </c>
      <c r="F362" t="s">
        <v>3035</v>
      </c>
      <c r="G362" t="s">
        <v>3036</v>
      </c>
      <c r="H362" t="s">
        <v>3014</v>
      </c>
      <c r="I362" t="s">
        <v>3315</v>
      </c>
      <c r="J362" t="s">
        <v>3014</v>
      </c>
      <c r="K362" t="s">
        <v>3340</v>
      </c>
      <c r="L362" t="s">
        <v>3013</v>
      </c>
      <c r="M362" t="s">
        <v>3929</v>
      </c>
      <c r="N362" t="s">
        <v>6021</v>
      </c>
      <c r="O362" t="s">
        <v>8064</v>
      </c>
      <c r="P362" t="s">
        <v>8064</v>
      </c>
      <c r="Q362">
        <v>0</v>
      </c>
      <c r="T362">
        <v>62</v>
      </c>
    </row>
    <row r="363" spans="1:20">
      <c r="A363">
        <v>365</v>
      </c>
      <c r="B363" t="s">
        <v>3940</v>
      </c>
      <c r="C363">
        <v>1225</v>
      </c>
      <c r="D363" t="s">
        <v>3941</v>
      </c>
      <c r="E363" t="s">
        <v>3049</v>
      </c>
      <c r="F363" t="s">
        <v>3035</v>
      </c>
      <c r="G363" t="s">
        <v>3111</v>
      </c>
      <c r="H363" t="s">
        <v>3014</v>
      </c>
      <c r="I363" t="s">
        <v>3370</v>
      </c>
      <c r="J363" t="s">
        <v>3013</v>
      </c>
      <c r="K363" t="s">
        <v>3014</v>
      </c>
      <c r="L363" t="s">
        <v>3315</v>
      </c>
      <c r="M363" t="s">
        <v>3942</v>
      </c>
      <c r="N363" t="s">
        <v>335</v>
      </c>
      <c r="O363" t="s">
        <v>8398</v>
      </c>
      <c r="P363" t="s">
        <v>8102</v>
      </c>
      <c r="Q363" t="s">
        <v>6387</v>
      </c>
      <c r="R363">
        <v>1</v>
      </c>
      <c r="S363">
        <v>1</v>
      </c>
      <c r="T363">
        <v>1212</v>
      </c>
    </row>
    <row r="364" spans="1:20">
      <c r="A364">
        <v>363</v>
      </c>
      <c r="B364" t="s">
        <v>3936</v>
      </c>
      <c r="C364">
        <v>1225</v>
      </c>
      <c r="D364">
        <v>1225</v>
      </c>
      <c r="E364" t="s">
        <v>3231</v>
      </c>
      <c r="F364" t="s">
        <v>3035</v>
      </c>
      <c r="G364" t="s">
        <v>3036</v>
      </c>
      <c r="H364" t="s">
        <v>3315</v>
      </c>
      <c r="I364" t="s">
        <v>3315</v>
      </c>
      <c r="J364" t="s">
        <v>3014</v>
      </c>
      <c r="K364" t="s">
        <v>3315</v>
      </c>
      <c r="L364" t="s">
        <v>3315</v>
      </c>
      <c r="M364" t="s">
        <v>3935</v>
      </c>
      <c r="N364" t="s">
        <v>2001</v>
      </c>
      <c r="O364" t="s">
        <v>8492</v>
      </c>
      <c r="P364" t="s">
        <v>8198</v>
      </c>
      <c r="Q364" t="s">
        <v>6661</v>
      </c>
      <c r="T364">
        <v>999</v>
      </c>
    </row>
    <row r="365" spans="1:20">
      <c r="A365" t="s">
        <v>3937</v>
      </c>
      <c r="B365" t="s">
        <v>3938</v>
      </c>
      <c r="C365">
        <v>1225</v>
      </c>
      <c r="D365">
        <v>1225</v>
      </c>
      <c r="E365" t="s">
        <v>3092</v>
      </c>
      <c r="M365" t="s">
        <v>3939</v>
      </c>
      <c r="N365" t="s">
        <v>6025</v>
      </c>
      <c r="O365" t="s">
        <v>8539</v>
      </c>
      <c r="P365" t="s">
        <v>8244</v>
      </c>
      <c r="Q365" t="s">
        <v>6023</v>
      </c>
      <c r="T365">
        <v>41</v>
      </c>
    </row>
    <row r="366" spans="1:20">
      <c r="A366">
        <v>366</v>
      </c>
      <c r="B366" t="s">
        <v>3943</v>
      </c>
      <c r="C366">
        <v>1226</v>
      </c>
      <c r="D366" t="s">
        <v>3944</v>
      </c>
      <c r="E366" t="s">
        <v>3049</v>
      </c>
      <c r="F366" t="s">
        <v>3035</v>
      </c>
      <c r="G366" t="s">
        <v>3036</v>
      </c>
      <c r="H366" t="s">
        <v>3315</v>
      </c>
      <c r="I366" t="s">
        <v>3315</v>
      </c>
      <c r="J366" t="s">
        <v>3014</v>
      </c>
      <c r="K366" t="s">
        <v>3315</v>
      </c>
      <c r="L366" t="s">
        <v>3013</v>
      </c>
      <c r="M366" t="s">
        <v>3945</v>
      </c>
      <c r="N366" t="s">
        <v>1174</v>
      </c>
      <c r="O366" t="s">
        <v>8499</v>
      </c>
      <c r="P366" t="s">
        <v>8205</v>
      </c>
      <c r="Q366" t="s">
        <v>6362</v>
      </c>
      <c r="R366">
        <v>1</v>
      </c>
      <c r="S366">
        <v>1</v>
      </c>
      <c r="T366">
        <v>1080</v>
      </c>
    </row>
    <row r="367" spans="1:20">
      <c r="A367">
        <v>367</v>
      </c>
      <c r="B367" t="s">
        <v>3946</v>
      </c>
      <c r="C367">
        <v>1228</v>
      </c>
      <c r="D367" t="s">
        <v>3947</v>
      </c>
      <c r="E367" t="s">
        <v>3010</v>
      </c>
      <c r="F367" t="s">
        <v>3035</v>
      </c>
      <c r="G367" t="s">
        <v>3036</v>
      </c>
      <c r="H367" t="s">
        <v>3014</v>
      </c>
      <c r="I367" t="s">
        <v>3315</v>
      </c>
      <c r="J367" t="s">
        <v>3014</v>
      </c>
      <c r="K367" t="s">
        <v>3315</v>
      </c>
      <c r="L367" t="s">
        <v>3013</v>
      </c>
      <c r="M367" t="s">
        <v>3948</v>
      </c>
      <c r="N367" t="s">
        <v>2000</v>
      </c>
      <c r="O367" t="s">
        <v>8483</v>
      </c>
      <c r="P367" t="s">
        <v>8188</v>
      </c>
      <c r="Q367" t="s">
        <v>6758</v>
      </c>
      <c r="T367">
        <v>980</v>
      </c>
    </row>
    <row r="368" spans="1:20">
      <c r="R368">
        <f>SUM(R1:R360)</f>
        <v>78</v>
      </c>
      <c r="S368">
        <v>80</v>
      </c>
    </row>
    <row r="369" spans="18:19">
      <c r="R369">
        <f>SUM(R32:R367)</f>
        <v>75</v>
      </c>
      <c r="S369">
        <f>SUM(S32:S367)</f>
        <v>104</v>
      </c>
    </row>
  </sheetData>
  <sortState xmlns:xlrd2="http://schemas.microsoft.com/office/spreadsheetml/2017/richdata2" ref="A2:T369">
    <sortCondition ref="C1:C36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3BE19-D612-EC45-8B15-C8D4C314CB2F}">
  <dimension ref="A1:G10"/>
  <sheetViews>
    <sheetView workbookViewId="0">
      <selection activeCell="A5" sqref="A5"/>
    </sheetView>
  </sheetViews>
  <sheetFormatPr baseColWidth="10" defaultRowHeight="16"/>
  <cols>
    <col min="1" max="1" width="51" bestFit="1" customWidth="1"/>
  </cols>
  <sheetData>
    <row r="1" spans="1:7">
      <c r="A1" s="3" t="s">
        <v>7</v>
      </c>
      <c r="B1" s="3" t="s">
        <v>484</v>
      </c>
      <c r="C1" s="3" t="s">
        <v>9</v>
      </c>
      <c r="D1" s="3" t="s">
        <v>2475</v>
      </c>
      <c r="E1" s="3" t="s">
        <v>485</v>
      </c>
      <c r="F1" s="3" t="s">
        <v>2298</v>
      </c>
      <c r="G1" s="3" t="s">
        <v>1214</v>
      </c>
    </row>
    <row r="2" spans="1:7">
      <c r="A2" t="s">
        <v>2372</v>
      </c>
      <c r="B2">
        <v>1299</v>
      </c>
      <c r="C2" t="s">
        <v>5187</v>
      </c>
      <c r="D2" t="s">
        <v>5186</v>
      </c>
      <c r="E2" t="s">
        <v>5188</v>
      </c>
      <c r="G2" t="s">
        <v>2371</v>
      </c>
    </row>
    <row r="3" spans="1:7">
      <c r="A3" t="s">
        <v>2373</v>
      </c>
      <c r="B3" t="s">
        <v>2559</v>
      </c>
      <c r="C3" t="s">
        <v>11</v>
      </c>
      <c r="D3" t="s">
        <v>5176</v>
      </c>
      <c r="E3" t="s">
        <v>3046</v>
      </c>
      <c r="G3" t="s">
        <v>2374</v>
      </c>
    </row>
    <row r="4" spans="1:7">
      <c r="A4" t="s">
        <v>2375</v>
      </c>
      <c r="B4" t="s">
        <v>5177</v>
      </c>
      <c r="C4" t="s">
        <v>104</v>
      </c>
      <c r="D4" t="s">
        <v>5176</v>
      </c>
      <c r="E4" t="s">
        <v>5178</v>
      </c>
      <c r="G4" t="s">
        <v>2376</v>
      </c>
    </row>
    <row r="5" spans="1:7">
      <c r="A5" t="s">
        <v>8870</v>
      </c>
      <c r="B5" t="s">
        <v>2560</v>
      </c>
      <c r="C5" t="s">
        <v>104</v>
      </c>
      <c r="D5" t="s">
        <v>5176</v>
      </c>
      <c r="E5" t="s">
        <v>5175</v>
      </c>
      <c r="G5" t="s">
        <v>2377</v>
      </c>
    </row>
    <row r="6" spans="1:7">
      <c r="A6" t="s">
        <v>2564</v>
      </c>
      <c r="B6" t="s">
        <v>2557</v>
      </c>
      <c r="C6" t="s">
        <v>2558</v>
      </c>
      <c r="D6" t="s">
        <v>5176</v>
      </c>
      <c r="E6" t="s">
        <v>5174</v>
      </c>
      <c r="G6" t="s">
        <v>2567</v>
      </c>
    </row>
    <row r="7" spans="1:7">
      <c r="A7" t="s">
        <v>2565</v>
      </c>
      <c r="B7" t="s">
        <v>2561</v>
      </c>
      <c r="C7" t="s">
        <v>11</v>
      </c>
      <c r="D7" t="s">
        <v>5176</v>
      </c>
      <c r="E7" t="s">
        <v>5179</v>
      </c>
      <c r="G7" t="s">
        <v>2568</v>
      </c>
    </row>
    <row r="8" spans="1:7">
      <c r="A8" t="s">
        <v>2566</v>
      </c>
      <c r="B8" t="s">
        <v>2562</v>
      </c>
      <c r="D8" t="s">
        <v>5176</v>
      </c>
      <c r="E8" t="s">
        <v>5182</v>
      </c>
      <c r="G8" t="s">
        <v>2569</v>
      </c>
    </row>
    <row r="9" spans="1:7">
      <c r="A9" t="s">
        <v>5180</v>
      </c>
      <c r="B9">
        <v>1293</v>
      </c>
      <c r="D9" t="s">
        <v>5176</v>
      </c>
      <c r="E9" t="s">
        <v>5181</v>
      </c>
    </row>
    <row r="10" spans="1:7">
      <c r="A10" t="s">
        <v>5183</v>
      </c>
      <c r="B10" t="s">
        <v>5184</v>
      </c>
      <c r="C10" t="s">
        <v>5185</v>
      </c>
      <c r="D10" t="s">
        <v>5186</v>
      </c>
      <c r="E10" t="s">
        <v>3794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15CFA-EE0D-A54B-99C1-FBF668304D67}">
  <dimension ref="A1:G746"/>
  <sheetViews>
    <sheetView zoomScale="126" zoomScaleNormal="126" workbookViewId="0">
      <selection activeCell="D10" sqref="D10"/>
    </sheetView>
  </sheetViews>
  <sheetFormatPr baseColWidth="10" defaultRowHeight="16"/>
  <cols>
    <col min="1" max="1" width="52.1640625" bestFit="1" customWidth="1"/>
    <col min="2" max="2" width="39.1640625" bestFit="1" customWidth="1"/>
    <col min="3" max="3" width="28.5" bestFit="1" customWidth="1"/>
    <col min="4" max="4" width="10.5" customWidth="1"/>
    <col min="5" max="5" width="35.33203125" bestFit="1" customWidth="1"/>
    <col min="6" max="6" width="28.5" bestFit="1" customWidth="1"/>
    <col min="7" max="7" width="34.33203125" customWidth="1"/>
    <col min="8" max="8" width="28.5" bestFit="1" customWidth="1"/>
  </cols>
  <sheetData>
    <row r="1" spans="1:7">
      <c r="A1" s="3" t="s">
        <v>7</v>
      </c>
      <c r="B1" s="3" t="s">
        <v>484</v>
      </c>
      <c r="C1" s="3" t="s">
        <v>9</v>
      </c>
      <c r="D1" s="3" t="s">
        <v>2475</v>
      </c>
      <c r="E1" s="3" t="s">
        <v>485</v>
      </c>
      <c r="F1" s="3" t="s">
        <v>2298</v>
      </c>
      <c r="G1" s="3" t="s">
        <v>1214</v>
      </c>
    </row>
    <row r="2" spans="1:7">
      <c r="A2" t="s">
        <v>1820</v>
      </c>
      <c r="B2" t="s">
        <v>4533</v>
      </c>
      <c r="D2" t="s">
        <v>4911</v>
      </c>
    </row>
    <row r="3" spans="1:7">
      <c r="A3" t="s">
        <v>2150</v>
      </c>
      <c r="B3" t="s">
        <v>4342</v>
      </c>
      <c r="C3" t="s">
        <v>4447</v>
      </c>
      <c r="D3" t="s">
        <v>4827</v>
      </c>
      <c r="E3" t="s">
        <v>1987</v>
      </c>
    </row>
    <row r="4" spans="1:7">
      <c r="A4" t="s">
        <v>1960</v>
      </c>
      <c r="B4" t="s">
        <v>4948</v>
      </c>
      <c r="C4" t="s">
        <v>4477</v>
      </c>
      <c r="D4" t="s">
        <v>4868</v>
      </c>
    </row>
    <row r="5" spans="1:7">
      <c r="A5" t="s">
        <v>1903</v>
      </c>
      <c r="B5" t="s">
        <v>4452</v>
      </c>
      <c r="C5" t="s">
        <v>4447</v>
      </c>
      <c r="D5" t="s">
        <v>4827</v>
      </c>
      <c r="E5" t="s">
        <v>1985</v>
      </c>
    </row>
    <row r="6" spans="1:7">
      <c r="A6" t="s">
        <v>1886</v>
      </c>
      <c r="B6" t="s">
        <v>4850</v>
      </c>
      <c r="C6" t="s">
        <v>4415</v>
      </c>
      <c r="D6" t="s">
        <v>4827</v>
      </c>
      <c r="E6" t="s">
        <v>1974</v>
      </c>
    </row>
    <row r="7" spans="1:7">
      <c r="A7" t="s">
        <v>1906</v>
      </c>
      <c r="B7" t="s">
        <v>760</v>
      </c>
      <c r="C7" t="s">
        <v>4417</v>
      </c>
      <c r="D7" t="s">
        <v>4827</v>
      </c>
      <c r="E7" t="s">
        <v>1988</v>
      </c>
    </row>
    <row r="8" spans="1:7">
      <c r="A8" t="s">
        <v>1916</v>
      </c>
      <c r="B8" t="s">
        <v>4340</v>
      </c>
      <c r="C8" t="s">
        <v>4422</v>
      </c>
      <c r="D8" t="s">
        <v>4827</v>
      </c>
      <c r="E8" t="s">
        <v>1996</v>
      </c>
    </row>
    <row r="9" spans="1:7">
      <c r="A9" t="s">
        <v>1954</v>
      </c>
      <c r="B9" t="s">
        <v>4353</v>
      </c>
      <c r="D9" t="s">
        <v>4868</v>
      </c>
      <c r="E9" t="s">
        <v>2008</v>
      </c>
    </row>
    <row r="10" spans="1:7">
      <c r="A10" t="s">
        <v>1900</v>
      </c>
      <c r="B10" t="s">
        <v>4339</v>
      </c>
      <c r="C10" t="s">
        <v>4422</v>
      </c>
      <c r="D10" t="s">
        <v>4827</v>
      </c>
      <c r="E10" t="s">
        <v>1983</v>
      </c>
    </row>
    <row r="11" spans="1:7">
      <c r="A11" t="s">
        <v>1961</v>
      </c>
      <c r="B11" t="s">
        <v>4352</v>
      </c>
      <c r="D11" t="s">
        <v>4868</v>
      </c>
    </row>
    <row r="12" spans="1:7">
      <c r="A12" t="s">
        <v>2154</v>
      </c>
      <c r="B12" t="s">
        <v>4949</v>
      </c>
      <c r="D12" t="s">
        <v>4868</v>
      </c>
    </row>
    <row r="13" spans="1:7">
      <c r="A13" t="s">
        <v>1946</v>
      </c>
      <c r="B13" t="s">
        <v>773</v>
      </c>
      <c r="D13" t="s">
        <v>4827</v>
      </c>
      <c r="E13" t="s">
        <v>2013</v>
      </c>
    </row>
    <row r="14" spans="1:7">
      <c r="A14" t="s">
        <v>2153</v>
      </c>
      <c r="B14" t="s">
        <v>4738</v>
      </c>
      <c r="D14" t="s">
        <v>4827</v>
      </c>
      <c r="E14" t="s">
        <v>1989</v>
      </c>
    </row>
    <row r="15" spans="1:7">
      <c r="A15" t="s">
        <v>2155</v>
      </c>
      <c r="B15" t="s">
        <v>4715</v>
      </c>
      <c r="D15" t="s">
        <v>4827</v>
      </c>
      <c r="E15" t="s">
        <v>1989</v>
      </c>
    </row>
    <row r="16" spans="1:7">
      <c r="A16" t="s">
        <v>1908</v>
      </c>
      <c r="B16" t="s">
        <v>4426</v>
      </c>
      <c r="C16" t="s">
        <v>4422</v>
      </c>
      <c r="D16" t="s">
        <v>4827</v>
      </c>
      <c r="E16" t="s">
        <v>1990</v>
      </c>
    </row>
    <row r="17" spans="1:5">
      <c r="A17" t="s">
        <v>1944</v>
      </c>
      <c r="B17" t="s">
        <v>4568</v>
      </c>
      <c r="D17" t="s">
        <v>4868</v>
      </c>
    </row>
    <row r="18" spans="1:5">
      <c r="A18" t="s">
        <v>1899</v>
      </c>
      <c r="B18" t="s">
        <v>4846</v>
      </c>
      <c r="C18" t="s">
        <v>4417</v>
      </c>
      <c r="D18" t="s">
        <v>4827</v>
      </c>
      <c r="E18" t="s">
        <v>1983</v>
      </c>
    </row>
    <row r="19" spans="1:5">
      <c r="A19" t="s">
        <v>1922</v>
      </c>
      <c r="B19" t="s">
        <v>4833</v>
      </c>
      <c r="D19" t="s">
        <v>4827</v>
      </c>
      <c r="E19" t="s">
        <v>2001</v>
      </c>
    </row>
    <row r="20" spans="1:5">
      <c r="A20" t="s">
        <v>1909</v>
      </c>
      <c r="B20" t="s">
        <v>4426</v>
      </c>
      <c r="C20" t="s">
        <v>4417</v>
      </c>
      <c r="D20" t="s">
        <v>4827</v>
      </c>
      <c r="E20" t="s">
        <v>1990</v>
      </c>
    </row>
    <row r="21" spans="1:5">
      <c r="A21" t="s">
        <v>2156</v>
      </c>
      <c r="B21" t="s">
        <v>4730</v>
      </c>
      <c r="C21" t="s">
        <v>4502</v>
      </c>
      <c r="D21" t="s">
        <v>4827</v>
      </c>
      <c r="E21" t="s">
        <v>2012</v>
      </c>
    </row>
    <row r="22" spans="1:5">
      <c r="A22" t="s">
        <v>1888</v>
      </c>
      <c r="B22" t="s">
        <v>4465</v>
      </c>
      <c r="C22" t="s">
        <v>4417</v>
      </c>
      <c r="D22" t="s">
        <v>4868</v>
      </c>
      <c r="E22" t="s">
        <v>1975</v>
      </c>
    </row>
    <row r="23" spans="1:5">
      <c r="A23" t="s">
        <v>1902</v>
      </c>
      <c r="B23" t="s">
        <v>4444</v>
      </c>
      <c r="C23" t="s">
        <v>4422</v>
      </c>
      <c r="D23" t="s">
        <v>4868</v>
      </c>
    </row>
    <row r="24" spans="1:5">
      <c r="A24" t="s">
        <v>1910</v>
      </c>
      <c r="B24" t="s">
        <v>4851</v>
      </c>
      <c r="C24" t="s">
        <v>4417</v>
      </c>
      <c r="D24" t="s">
        <v>4827</v>
      </c>
      <c r="E24" t="s">
        <v>1991</v>
      </c>
    </row>
    <row r="25" spans="1:5">
      <c r="A25" t="s">
        <v>4917</v>
      </c>
      <c r="B25">
        <v>1302</v>
      </c>
      <c r="C25" t="s">
        <v>4622</v>
      </c>
      <c r="D25" t="s">
        <v>4911</v>
      </c>
      <c r="E25" t="s">
        <v>4918</v>
      </c>
    </row>
    <row r="26" spans="1:5">
      <c r="A26" t="s">
        <v>1809</v>
      </c>
      <c r="B26" t="s">
        <v>1374</v>
      </c>
      <c r="C26" t="s">
        <v>4416</v>
      </c>
      <c r="D26" t="s">
        <v>4812</v>
      </c>
      <c r="E26" t="s">
        <v>1853</v>
      </c>
    </row>
    <row r="27" spans="1:5">
      <c r="A27" t="s">
        <v>1811</v>
      </c>
      <c r="B27" t="s">
        <v>4511</v>
      </c>
      <c r="C27" t="s">
        <v>4512</v>
      </c>
      <c r="D27" t="s">
        <v>4812</v>
      </c>
      <c r="E27" t="s">
        <v>1856</v>
      </c>
    </row>
    <row r="28" spans="1:5">
      <c r="A28" t="s">
        <v>2140</v>
      </c>
      <c r="B28" t="s">
        <v>4685</v>
      </c>
      <c r="C28" t="s">
        <v>4377</v>
      </c>
      <c r="D28" t="s">
        <v>4812</v>
      </c>
      <c r="E28" t="s">
        <v>1863</v>
      </c>
    </row>
    <row r="29" spans="1:5">
      <c r="A29" t="s">
        <v>2135</v>
      </c>
      <c r="B29" t="s">
        <v>4448</v>
      </c>
      <c r="C29" t="s">
        <v>4449</v>
      </c>
      <c r="D29" t="s">
        <v>4812</v>
      </c>
      <c r="E29" t="s">
        <v>1849</v>
      </c>
    </row>
    <row r="30" spans="1:5">
      <c r="A30" t="s">
        <v>1813</v>
      </c>
      <c r="B30" t="s">
        <v>4821</v>
      </c>
      <c r="C30" t="s">
        <v>4514</v>
      </c>
      <c r="D30" t="s">
        <v>4812</v>
      </c>
      <c r="E30" t="s">
        <v>1858</v>
      </c>
    </row>
    <row r="31" spans="1:5">
      <c r="A31" t="s">
        <v>1825</v>
      </c>
      <c r="B31" t="s">
        <v>4822</v>
      </c>
      <c r="D31" t="s">
        <v>4812</v>
      </c>
      <c r="E31" t="s">
        <v>1862</v>
      </c>
    </row>
    <row r="32" spans="1:5">
      <c r="A32" t="s">
        <v>2138</v>
      </c>
      <c r="B32" t="s">
        <v>4748</v>
      </c>
      <c r="C32" t="s">
        <v>4536</v>
      </c>
      <c r="D32" t="s">
        <v>4812</v>
      </c>
      <c r="E32" t="s">
        <v>1860</v>
      </c>
    </row>
    <row r="33" spans="1:5">
      <c r="A33" t="s">
        <v>1806</v>
      </c>
      <c r="B33" t="s">
        <v>4403</v>
      </c>
      <c r="C33" t="s">
        <v>4404</v>
      </c>
      <c r="D33" t="s">
        <v>4911</v>
      </c>
    </row>
    <row r="34" spans="1:5">
      <c r="A34" t="s">
        <v>2143</v>
      </c>
      <c r="B34" t="s">
        <v>4842</v>
      </c>
      <c r="C34" t="s">
        <v>4366</v>
      </c>
      <c r="D34" t="s">
        <v>4868</v>
      </c>
    </row>
    <row r="35" spans="1:5">
      <c r="A35" t="s">
        <v>1945</v>
      </c>
      <c r="B35" t="s">
        <v>4823</v>
      </c>
      <c r="D35" t="s">
        <v>4827</v>
      </c>
      <c r="E35" t="s">
        <v>2010</v>
      </c>
    </row>
    <row r="36" spans="1:5">
      <c r="A36" t="s">
        <v>4673</v>
      </c>
      <c r="B36" t="s">
        <v>4493</v>
      </c>
      <c r="C36" t="s">
        <v>4366</v>
      </c>
      <c r="D36" t="s">
        <v>4827</v>
      </c>
      <c r="E36" t="s">
        <v>1977</v>
      </c>
    </row>
    <row r="37" spans="1:5">
      <c r="A37" t="s">
        <v>4672</v>
      </c>
      <c r="B37" t="s">
        <v>4343</v>
      </c>
      <c r="C37" t="s">
        <v>4366</v>
      </c>
      <c r="D37" t="s">
        <v>4827</v>
      </c>
      <c r="E37" t="s">
        <v>1977</v>
      </c>
    </row>
    <row r="38" spans="1:5">
      <c r="A38" t="s">
        <v>4671</v>
      </c>
      <c r="B38" t="s">
        <v>4489</v>
      </c>
      <c r="C38" t="s">
        <v>4366</v>
      </c>
      <c r="D38" t="s">
        <v>4868</v>
      </c>
    </row>
    <row r="39" spans="1:5">
      <c r="A39" t="s">
        <v>1887</v>
      </c>
      <c r="B39" t="s">
        <v>4459</v>
      </c>
      <c r="D39" t="s">
        <v>4868</v>
      </c>
    </row>
    <row r="40" spans="1:5">
      <c r="A40" t="s">
        <v>4670</v>
      </c>
      <c r="B40" t="s">
        <v>4488</v>
      </c>
      <c r="C40" t="s">
        <v>4366</v>
      </c>
      <c r="D40" t="s">
        <v>4827</v>
      </c>
      <c r="E40" t="s">
        <v>1977</v>
      </c>
    </row>
    <row r="41" spans="1:5">
      <c r="A41" t="s">
        <v>2144</v>
      </c>
      <c r="B41" t="s">
        <v>4842</v>
      </c>
      <c r="C41" t="s">
        <v>4366</v>
      </c>
      <c r="D41" t="s">
        <v>4827</v>
      </c>
      <c r="E41" t="s">
        <v>1967</v>
      </c>
    </row>
    <row r="42" spans="1:5">
      <c r="A42" t="s">
        <v>2147</v>
      </c>
      <c r="B42" t="s">
        <v>4843</v>
      </c>
      <c r="C42" t="s">
        <v>4366</v>
      </c>
      <c r="D42" t="s">
        <v>4827</v>
      </c>
      <c r="E42" t="s">
        <v>1967</v>
      </c>
    </row>
    <row r="43" spans="1:5">
      <c r="A43" t="s">
        <v>4830</v>
      </c>
      <c r="B43" t="s">
        <v>4345</v>
      </c>
      <c r="C43" t="s">
        <v>4366</v>
      </c>
      <c r="D43" t="s">
        <v>4827</v>
      </c>
      <c r="E43" t="s">
        <v>1999</v>
      </c>
    </row>
    <row r="44" spans="1:5">
      <c r="A44" t="s">
        <v>2145</v>
      </c>
      <c r="B44" t="s">
        <v>4842</v>
      </c>
      <c r="C44" t="s">
        <v>4366</v>
      </c>
      <c r="D44" t="s">
        <v>4827</v>
      </c>
      <c r="E44" t="s">
        <v>1968</v>
      </c>
    </row>
    <row r="45" spans="1:5">
      <c r="A45" t="s">
        <v>2142</v>
      </c>
      <c r="B45" t="s">
        <v>4950</v>
      </c>
      <c r="D45" t="s">
        <v>4868</v>
      </c>
    </row>
    <row r="46" spans="1:5">
      <c r="A46" t="s">
        <v>1880</v>
      </c>
      <c r="B46" t="s">
        <v>4842</v>
      </c>
      <c r="D46" t="s">
        <v>4827</v>
      </c>
      <c r="E46" t="s">
        <v>1968</v>
      </c>
    </row>
    <row r="47" spans="1:5">
      <c r="A47" t="s">
        <v>1878</v>
      </c>
      <c r="B47" t="s">
        <v>4842</v>
      </c>
      <c r="C47" t="s">
        <v>4366</v>
      </c>
      <c r="D47" t="s">
        <v>4868</v>
      </c>
    </row>
    <row r="48" spans="1:5">
      <c r="A48" t="s">
        <v>4951</v>
      </c>
      <c r="B48" t="s">
        <v>4842</v>
      </c>
      <c r="C48" t="s">
        <v>4366</v>
      </c>
      <c r="D48" t="s">
        <v>4868</v>
      </c>
    </row>
    <row r="49" spans="1:5">
      <c r="A49" t="s">
        <v>2146</v>
      </c>
      <c r="B49" t="s">
        <v>4952</v>
      </c>
      <c r="D49" t="s">
        <v>4868</v>
      </c>
    </row>
    <row r="50" spans="1:5">
      <c r="A50" t="s">
        <v>1879</v>
      </c>
      <c r="B50" t="s">
        <v>4842</v>
      </c>
      <c r="C50" t="s">
        <v>4366</v>
      </c>
      <c r="D50" t="s">
        <v>4827</v>
      </c>
      <c r="E50" t="s">
        <v>1967</v>
      </c>
    </row>
    <row r="51" spans="1:5">
      <c r="A51" t="s">
        <v>1952</v>
      </c>
      <c r="B51" t="s">
        <v>4953</v>
      </c>
      <c r="C51" t="s">
        <v>4580</v>
      </c>
      <c r="D51" t="s">
        <v>4868</v>
      </c>
    </row>
    <row r="52" spans="1:5">
      <c r="A52" t="s">
        <v>1834</v>
      </c>
      <c r="B52" t="s">
        <v>4602</v>
      </c>
      <c r="D52" t="s">
        <v>4911</v>
      </c>
    </row>
    <row r="53" spans="1:5">
      <c r="A53" t="s">
        <v>1573</v>
      </c>
      <c r="B53" t="s">
        <v>4742</v>
      </c>
      <c r="C53" t="s">
        <v>4610</v>
      </c>
      <c r="D53" t="s">
        <v>4800</v>
      </c>
      <c r="E53" t="s">
        <v>1798</v>
      </c>
    </row>
    <row r="54" spans="1:5">
      <c r="A54" t="s">
        <v>1889</v>
      </c>
      <c r="B54" t="s">
        <v>4847</v>
      </c>
      <c r="C54" t="s">
        <v>4466</v>
      </c>
      <c r="D54" t="s">
        <v>4827</v>
      </c>
      <c r="E54" t="s">
        <v>1975</v>
      </c>
    </row>
    <row r="55" spans="1:5">
      <c r="A55" t="s">
        <v>1890</v>
      </c>
      <c r="B55" t="s">
        <v>4954</v>
      </c>
      <c r="D55" t="s">
        <v>4827</v>
      </c>
    </row>
    <row r="56" spans="1:5">
      <c r="A56" t="s">
        <v>4929</v>
      </c>
      <c r="B56" t="s">
        <v>4930</v>
      </c>
      <c r="D56" t="s">
        <v>4911</v>
      </c>
      <c r="E56" t="s">
        <v>4931</v>
      </c>
    </row>
    <row r="57" spans="1:5">
      <c r="A57" t="s">
        <v>1907</v>
      </c>
      <c r="B57" t="s">
        <v>4839</v>
      </c>
      <c r="C57" t="s">
        <v>4594</v>
      </c>
      <c r="D57" t="s">
        <v>4827</v>
      </c>
      <c r="E57" t="s">
        <v>1989</v>
      </c>
    </row>
    <row r="58" spans="1:5">
      <c r="A58" t="s">
        <v>1951</v>
      </c>
      <c r="B58" t="s">
        <v>4583</v>
      </c>
      <c r="C58" t="s">
        <v>4580</v>
      </c>
      <c r="D58" t="s">
        <v>4827</v>
      </c>
      <c r="E58" t="s">
        <v>2011</v>
      </c>
    </row>
    <row r="59" spans="1:5">
      <c r="A59" t="s">
        <v>2202</v>
      </c>
      <c r="B59" t="s">
        <v>2037</v>
      </c>
      <c r="D59" t="s">
        <v>4678</v>
      </c>
      <c r="E59" t="s">
        <v>2245</v>
      </c>
    </row>
    <row r="60" spans="1:5">
      <c r="A60" t="s">
        <v>2195</v>
      </c>
      <c r="B60" t="s">
        <v>2035</v>
      </c>
      <c r="C60" t="s">
        <v>4684</v>
      </c>
      <c r="D60" t="s">
        <v>4678</v>
      </c>
      <c r="E60" t="s">
        <v>2238</v>
      </c>
    </row>
    <row r="61" spans="1:5">
      <c r="A61" t="s">
        <v>2196</v>
      </c>
      <c r="B61" t="s">
        <v>2035</v>
      </c>
      <c r="D61" t="s">
        <v>4678</v>
      </c>
      <c r="E61" t="s">
        <v>2239</v>
      </c>
    </row>
    <row r="62" spans="1:5">
      <c r="A62" t="s">
        <v>2193</v>
      </c>
      <c r="B62" t="s">
        <v>2033</v>
      </c>
      <c r="D62" t="s">
        <v>4678</v>
      </c>
      <c r="E62" t="s">
        <v>2236</v>
      </c>
    </row>
    <row r="63" spans="1:5">
      <c r="A63" t="s">
        <v>2180</v>
      </c>
      <c r="B63" t="s">
        <v>2026</v>
      </c>
      <c r="D63" t="s">
        <v>4678</v>
      </c>
      <c r="E63" t="s">
        <v>2223</v>
      </c>
    </row>
    <row r="64" spans="1:5">
      <c r="A64" t="s">
        <v>2171</v>
      </c>
      <c r="B64" t="s">
        <v>2020</v>
      </c>
      <c r="D64" t="s">
        <v>4678</v>
      </c>
      <c r="E64" t="s">
        <v>2214</v>
      </c>
    </row>
    <row r="65" spans="1:5">
      <c r="A65" t="s">
        <v>2201</v>
      </c>
      <c r="B65" t="s">
        <v>4687</v>
      </c>
      <c r="D65" t="s">
        <v>4678</v>
      </c>
      <c r="E65" t="s">
        <v>2244</v>
      </c>
    </row>
    <row r="66" spans="1:5">
      <c r="A66" t="s">
        <v>2190</v>
      </c>
      <c r="B66" t="s">
        <v>2031</v>
      </c>
      <c r="D66" t="s">
        <v>4678</v>
      </c>
      <c r="E66" t="s">
        <v>2233</v>
      </c>
    </row>
    <row r="67" spans="1:5">
      <c r="A67" t="s">
        <v>2204</v>
      </c>
      <c r="B67" t="s">
        <v>2038</v>
      </c>
      <c r="D67" t="s">
        <v>4678</v>
      </c>
      <c r="E67" t="s">
        <v>2247</v>
      </c>
    </row>
    <row r="68" spans="1:5">
      <c r="A68" t="s">
        <v>2194</v>
      </c>
      <c r="B68" t="s">
        <v>2034</v>
      </c>
      <c r="D68" t="s">
        <v>4678</v>
      </c>
      <c r="E68" t="s">
        <v>2237</v>
      </c>
    </row>
    <row r="69" spans="1:5">
      <c r="A69" t="s">
        <v>2177</v>
      </c>
      <c r="B69" t="s">
        <v>4682</v>
      </c>
      <c r="D69" t="s">
        <v>4678</v>
      </c>
      <c r="E69" t="s">
        <v>2220</v>
      </c>
    </row>
    <row r="70" spans="1:5">
      <c r="A70" t="s">
        <v>2189</v>
      </c>
      <c r="B70" t="s">
        <v>2031</v>
      </c>
      <c r="D70" t="s">
        <v>4678</v>
      </c>
      <c r="E70" t="s">
        <v>2232</v>
      </c>
    </row>
    <row r="71" spans="1:5">
      <c r="A71" t="s">
        <v>2192</v>
      </c>
      <c r="B71" t="s">
        <v>4683</v>
      </c>
      <c r="D71" t="s">
        <v>4678</v>
      </c>
      <c r="E71" t="s">
        <v>2235</v>
      </c>
    </row>
    <row r="72" spans="1:5">
      <c r="A72" t="s">
        <v>2198</v>
      </c>
      <c r="B72" t="s">
        <v>4685</v>
      </c>
      <c r="D72" t="s">
        <v>4678</v>
      </c>
      <c r="E72" t="s">
        <v>2241</v>
      </c>
    </row>
    <row r="73" spans="1:5">
      <c r="A73" t="s">
        <v>2197</v>
      </c>
      <c r="B73" t="s">
        <v>4685</v>
      </c>
      <c r="D73" t="s">
        <v>4678</v>
      </c>
      <c r="E73" t="s">
        <v>2240</v>
      </c>
    </row>
    <row r="74" spans="1:5">
      <c r="A74" t="s">
        <v>2172</v>
      </c>
      <c r="B74" t="s">
        <v>2021</v>
      </c>
      <c r="D74" t="s">
        <v>4678</v>
      </c>
      <c r="E74" t="s">
        <v>2215</v>
      </c>
    </row>
    <row r="75" spans="1:5">
      <c r="A75" t="s">
        <v>2161</v>
      </c>
      <c r="B75" t="s">
        <v>4679</v>
      </c>
      <c r="D75" t="s">
        <v>4678</v>
      </c>
      <c r="E75" t="s">
        <v>2206</v>
      </c>
    </row>
    <row r="76" spans="1:5">
      <c r="A76" t="s">
        <v>2162</v>
      </c>
      <c r="B76" t="s">
        <v>4679</v>
      </c>
      <c r="D76" t="s">
        <v>4678</v>
      </c>
      <c r="E76" t="s">
        <v>2206</v>
      </c>
    </row>
    <row r="77" spans="1:5">
      <c r="A77" t="s">
        <v>2163</v>
      </c>
      <c r="B77" t="s">
        <v>4679</v>
      </c>
      <c r="D77" t="s">
        <v>4678</v>
      </c>
      <c r="E77" t="s">
        <v>2206</v>
      </c>
    </row>
    <row r="78" spans="1:5">
      <c r="A78" t="s">
        <v>2169</v>
      </c>
      <c r="B78" t="s">
        <v>2018</v>
      </c>
      <c r="D78" t="s">
        <v>4678</v>
      </c>
      <c r="E78" t="s">
        <v>2212</v>
      </c>
    </row>
    <row r="79" spans="1:5">
      <c r="A79" t="s">
        <v>2170</v>
      </c>
      <c r="B79" t="s">
        <v>2019</v>
      </c>
      <c r="D79" t="s">
        <v>4678</v>
      </c>
      <c r="E79" t="s">
        <v>2213</v>
      </c>
    </row>
    <row r="80" spans="1:5">
      <c r="A80" t="s">
        <v>2164</v>
      </c>
      <c r="B80" t="s">
        <v>4679</v>
      </c>
      <c r="D80" t="s">
        <v>4678</v>
      </c>
      <c r="E80" t="s">
        <v>2207</v>
      </c>
    </row>
    <row r="81" spans="1:5">
      <c r="A81" t="s">
        <v>2184</v>
      </c>
      <c r="B81" t="s">
        <v>2030</v>
      </c>
      <c r="D81" t="s">
        <v>4678</v>
      </c>
      <c r="E81" t="s">
        <v>2227</v>
      </c>
    </row>
    <row r="82" spans="1:5">
      <c r="A82" t="s">
        <v>2182</v>
      </c>
      <c r="B82" t="s">
        <v>2028</v>
      </c>
      <c r="D82" t="s">
        <v>4678</v>
      </c>
      <c r="E82" t="s">
        <v>2225</v>
      </c>
    </row>
    <row r="83" spans="1:5">
      <c r="A83" t="s">
        <v>2185</v>
      </c>
      <c r="B83" t="s">
        <v>2031</v>
      </c>
      <c r="D83" t="s">
        <v>4678</v>
      </c>
      <c r="E83" t="s">
        <v>2228</v>
      </c>
    </row>
    <row r="84" spans="1:5">
      <c r="A84" t="s">
        <v>2178</v>
      </c>
      <c r="B84" t="s">
        <v>2024</v>
      </c>
      <c r="D84" t="s">
        <v>4678</v>
      </c>
      <c r="E84" t="s">
        <v>2221</v>
      </c>
    </row>
    <row r="85" spans="1:5">
      <c r="A85" t="s">
        <v>2165</v>
      </c>
      <c r="B85" t="s">
        <v>4679</v>
      </c>
      <c r="D85" t="s">
        <v>4678</v>
      </c>
      <c r="E85" t="s">
        <v>2208</v>
      </c>
    </row>
    <row r="86" spans="1:5">
      <c r="A86" t="s">
        <v>2166</v>
      </c>
      <c r="B86" t="s">
        <v>4679</v>
      </c>
      <c r="D86" t="s">
        <v>4678</v>
      </c>
      <c r="E86" t="s">
        <v>2209</v>
      </c>
    </row>
    <row r="87" spans="1:5">
      <c r="A87" t="s">
        <v>2200</v>
      </c>
      <c r="B87" t="s">
        <v>4686</v>
      </c>
      <c r="D87" t="s">
        <v>4678</v>
      </c>
      <c r="E87" t="s">
        <v>2243</v>
      </c>
    </row>
    <row r="88" spans="1:5">
      <c r="A88" t="s">
        <v>2203</v>
      </c>
      <c r="B88" t="s">
        <v>783</v>
      </c>
      <c r="D88" t="s">
        <v>4678</v>
      </c>
      <c r="E88" t="s">
        <v>2246</v>
      </c>
    </row>
    <row r="89" spans="1:5">
      <c r="A89" t="s">
        <v>2186</v>
      </c>
      <c r="B89" t="s">
        <v>2031</v>
      </c>
      <c r="D89" t="s">
        <v>4678</v>
      </c>
      <c r="E89" t="s">
        <v>2229</v>
      </c>
    </row>
    <row r="90" spans="1:5">
      <c r="A90" t="s">
        <v>2179</v>
      </c>
      <c r="B90" t="s">
        <v>2025</v>
      </c>
      <c r="D90" t="s">
        <v>4678</v>
      </c>
      <c r="E90" t="s">
        <v>2222</v>
      </c>
    </row>
    <row r="91" spans="1:5">
      <c r="A91" t="s">
        <v>2191</v>
      </c>
      <c r="B91" t="s">
        <v>2032</v>
      </c>
      <c r="D91" t="s">
        <v>4678</v>
      </c>
      <c r="E91" t="s">
        <v>2234</v>
      </c>
    </row>
    <row r="92" spans="1:5">
      <c r="A92" t="s">
        <v>2167</v>
      </c>
      <c r="B92" t="s">
        <v>4679</v>
      </c>
      <c r="D92" t="s">
        <v>4678</v>
      </c>
      <c r="E92" t="s">
        <v>2210</v>
      </c>
    </row>
    <row r="93" spans="1:5">
      <c r="A93" t="s">
        <v>2183</v>
      </c>
      <c r="B93" t="s">
        <v>2029</v>
      </c>
      <c r="D93" t="s">
        <v>4678</v>
      </c>
      <c r="E93" t="s">
        <v>2226</v>
      </c>
    </row>
    <row r="94" spans="1:5">
      <c r="A94" t="s">
        <v>2168</v>
      </c>
      <c r="B94" t="s">
        <v>4679</v>
      </c>
      <c r="D94" t="s">
        <v>4678</v>
      </c>
      <c r="E94" t="s">
        <v>2211</v>
      </c>
    </row>
    <row r="95" spans="1:5">
      <c r="A95" t="s">
        <v>2176</v>
      </c>
      <c r="B95" t="s">
        <v>2023</v>
      </c>
      <c r="D95" t="s">
        <v>4678</v>
      </c>
      <c r="E95" t="s">
        <v>2219</v>
      </c>
    </row>
    <row r="96" spans="1:5">
      <c r="A96" t="s">
        <v>2173</v>
      </c>
      <c r="B96" t="s">
        <v>2022</v>
      </c>
      <c r="D96" t="s">
        <v>4678</v>
      </c>
      <c r="E96" t="s">
        <v>2216</v>
      </c>
    </row>
    <row r="97" spans="1:5">
      <c r="A97" t="s">
        <v>2181</v>
      </c>
      <c r="B97" t="s">
        <v>2027</v>
      </c>
      <c r="D97" t="s">
        <v>4678</v>
      </c>
      <c r="E97" t="s">
        <v>2224</v>
      </c>
    </row>
    <row r="98" spans="1:5">
      <c r="A98" t="s">
        <v>2159</v>
      </c>
      <c r="B98" t="s">
        <v>2017</v>
      </c>
      <c r="D98" t="s">
        <v>4678</v>
      </c>
      <c r="E98" t="s">
        <v>2205</v>
      </c>
    </row>
    <row r="99" spans="1:5">
      <c r="A99" t="s">
        <v>2160</v>
      </c>
      <c r="B99" t="s">
        <v>2017</v>
      </c>
      <c r="D99" t="s">
        <v>4678</v>
      </c>
    </row>
    <row r="100" spans="1:5">
      <c r="A100" t="s">
        <v>2175</v>
      </c>
      <c r="B100" t="s">
        <v>4681</v>
      </c>
      <c r="D100" t="s">
        <v>4678</v>
      </c>
      <c r="E100" t="s">
        <v>2218</v>
      </c>
    </row>
    <row r="101" spans="1:5">
      <c r="A101" t="s">
        <v>2187</v>
      </c>
      <c r="B101" t="s">
        <v>2031</v>
      </c>
      <c r="D101" t="s">
        <v>4678</v>
      </c>
      <c r="E101" t="s">
        <v>2230</v>
      </c>
    </row>
    <row r="102" spans="1:5">
      <c r="A102" t="s">
        <v>2188</v>
      </c>
      <c r="B102" t="s">
        <v>2031</v>
      </c>
      <c r="D102" t="s">
        <v>4678</v>
      </c>
      <c r="E102" t="s">
        <v>2231</v>
      </c>
    </row>
    <row r="103" spans="1:5">
      <c r="A103" t="s">
        <v>2174</v>
      </c>
      <c r="B103" t="s">
        <v>4680</v>
      </c>
      <c r="D103" t="s">
        <v>4678</v>
      </c>
      <c r="E103" t="s">
        <v>2217</v>
      </c>
    </row>
    <row r="104" spans="1:5">
      <c r="A104" t="s">
        <v>2199</v>
      </c>
      <c r="B104" t="s">
        <v>2036</v>
      </c>
      <c r="D104" t="s">
        <v>4678</v>
      </c>
      <c r="E104" t="s">
        <v>2242</v>
      </c>
    </row>
    <row r="105" spans="1:5">
      <c r="A105" t="s">
        <v>4955</v>
      </c>
      <c r="B105" t="s">
        <v>586</v>
      </c>
      <c r="C105" t="s">
        <v>4461</v>
      </c>
      <c r="D105" t="s">
        <v>4911</v>
      </c>
    </row>
    <row r="106" spans="1:5">
      <c r="A106" t="s">
        <v>4956</v>
      </c>
      <c r="B106" t="s">
        <v>586</v>
      </c>
      <c r="C106" t="s">
        <v>4461</v>
      </c>
      <c r="D106" t="s">
        <v>4911</v>
      </c>
    </row>
    <row r="107" spans="1:5">
      <c r="A107" t="s">
        <v>4957</v>
      </c>
      <c r="B107" t="s">
        <v>586</v>
      </c>
      <c r="C107" t="s">
        <v>4461</v>
      </c>
      <c r="D107" t="s">
        <v>4911</v>
      </c>
    </row>
    <row r="108" spans="1:5">
      <c r="A108" t="s">
        <v>2127</v>
      </c>
      <c r="B108" t="s">
        <v>4541</v>
      </c>
      <c r="D108" t="s">
        <v>4800</v>
      </c>
      <c r="E108" t="s">
        <v>1792</v>
      </c>
    </row>
    <row r="109" spans="1:5">
      <c r="A109" t="s">
        <v>2132</v>
      </c>
      <c r="B109" t="s">
        <v>4810</v>
      </c>
      <c r="C109" t="s">
        <v>4411</v>
      </c>
      <c r="D109" t="s">
        <v>4800</v>
      </c>
      <c r="E109" t="s">
        <v>1804</v>
      </c>
    </row>
    <row r="110" spans="1:5">
      <c r="A110" t="s">
        <v>1842</v>
      </c>
      <c r="B110" t="s">
        <v>1837</v>
      </c>
      <c r="D110" t="s">
        <v>4812</v>
      </c>
      <c r="E110" t="s">
        <v>1869</v>
      </c>
    </row>
    <row r="111" spans="1:5">
      <c r="A111" t="s">
        <v>4661</v>
      </c>
      <c r="B111" t="s">
        <v>4442</v>
      </c>
      <c r="C111" t="s">
        <v>4443</v>
      </c>
      <c r="D111" t="s">
        <v>4705</v>
      </c>
      <c r="E111" t="s">
        <v>1330</v>
      </c>
    </row>
    <row r="112" spans="1:5">
      <c r="A112" t="s">
        <v>1313</v>
      </c>
      <c r="B112" t="s">
        <v>4713</v>
      </c>
      <c r="C112" t="s">
        <v>4532</v>
      </c>
      <c r="D112" t="s">
        <v>4705</v>
      </c>
      <c r="E112" t="s">
        <v>1337</v>
      </c>
    </row>
    <row r="113" spans="1:5">
      <c r="A113" t="s">
        <v>1312</v>
      </c>
      <c r="B113" t="s">
        <v>4713</v>
      </c>
      <c r="D113" t="s">
        <v>4705</v>
      </c>
      <c r="E113" t="s">
        <v>1336</v>
      </c>
    </row>
    <row r="114" spans="1:5">
      <c r="A114" t="s">
        <v>1316</v>
      </c>
      <c r="B114" t="s">
        <v>4714</v>
      </c>
      <c r="C114" t="s">
        <v>4560</v>
      </c>
      <c r="D114" t="s">
        <v>4705</v>
      </c>
      <c r="E114" t="s">
        <v>1338</v>
      </c>
    </row>
    <row r="115" spans="1:5">
      <c r="A115" t="s">
        <v>4663</v>
      </c>
      <c r="B115" t="s">
        <v>4706</v>
      </c>
      <c r="C115" t="s">
        <v>4486</v>
      </c>
      <c r="D115" t="s">
        <v>4705</v>
      </c>
      <c r="E115" t="s">
        <v>1331</v>
      </c>
    </row>
    <row r="116" spans="1:5">
      <c r="A116" t="s">
        <v>1771</v>
      </c>
      <c r="B116" t="s">
        <v>4803</v>
      </c>
      <c r="D116" t="s">
        <v>4800</v>
      </c>
      <c r="E116" t="s">
        <v>1781</v>
      </c>
    </row>
    <row r="117" spans="1:5">
      <c r="A117" t="s">
        <v>2121</v>
      </c>
      <c r="B117" t="s">
        <v>4804</v>
      </c>
      <c r="C117" t="s">
        <v>4471</v>
      </c>
      <c r="D117" t="s">
        <v>4800</v>
      </c>
      <c r="E117" t="s">
        <v>1782</v>
      </c>
    </row>
    <row r="118" spans="1:5">
      <c r="A118" t="s">
        <v>1548</v>
      </c>
      <c r="B118" t="s">
        <v>4467</v>
      </c>
      <c r="D118" t="s">
        <v>4697</v>
      </c>
    </row>
    <row r="119" spans="1:5">
      <c r="A119" t="s">
        <v>1773</v>
      </c>
      <c r="B119" t="s">
        <v>4474</v>
      </c>
      <c r="C119" t="s">
        <v>4473</v>
      </c>
      <c r="D119" t="s">
        <v>4800</v>
      </c>
      <c r="E119" t="s">
        <v>1783</v>
      </c>
    </row>
    <row r="120" spans="1:5">
      <c r="A120" t="s">
        <v>1554</v>
      </c>
      <c r="B120" t="s">
        <v>4805</v>
      </c>
      <c r="C120" t="s">
        <v>4471</v>
      </c>
      <c r="D120" t="s">
        <v>4800</v>
      </c>
      <c r="E120" t="s">
        <v>1786</v>
      </c>
    </row>
    <row r="121" spans="1:5">
      <c r="A121" t="s">
        <v>1775</v>
      </c>
      <c r="B121" t="s">
        <v>4343</v>
      </c>
      <c r="C121" t="s">
        <v>4471</v>
      </c>
      <c r="D121" t="s">
        <v>4800</v>
      </c>
      <c r="E121" t="s">
        <v>1786</v>
      </c>
    </row>
    <row r="122" spans="1:5">
      <c r="A122" t="s">
        <v>1555</v>
      </c>
      <c r="B122" t="s">
        <v>4344</v>
      </c>
      <c r="C122" t="s">
        <v>4471</v>
      </c>
      <c r="D122" t="s">
        <v>4800</v>
      </c>
      <c r="E122" t="s">
        <v>1788</v>
      </c>
    </row>
    <row r="123" spans="1:5">
      <c r="A123" t="s">
        <v>4695</v>
      </c>
      <c r="B123" t="s">
        <v>4696</v>
      </c>
      <c r="C123" t="s">
        <v>4471</v>
      </c>
      <c r="D123" t="s">
        <v>4697</v>
      </c>
      <c r="E123" t="s">
        <v>4698</v>
      </c>
    </row>
    <row r="124" spans="1:5">
      <c r="A124" t="s">
        <v>1772</v>
      </c>
      <c r="B124" t="s">
        <v>608</v>
      </c>
      <c r="C124" t="s">
        <v>4471</v>
      </c>
      <c r="D124" t="s">
        <v>4800</v>
      </c>
      <c r="E124" t="s">
        <v>1782</v>
      </c>
    </row>
    <row r="125" spans="1:5">
      <c r="A125" t="s">
        <v>1774</v>
      </c>
      <c r="B125" t="s">
        <v>4804</v>
      </c>
      <c r="C125" t="s">
        <v>4471</v>
      </c>
      <c r="D125" t="s">
        <v>4800</v>
      </c>
      <c r="E125" t="s">
        <v>1782</v>
      </c>
    </row>
    <row r="126" spans="1:5">
      <c r="A126" t="s">
        <v>1559</v>
      </c>
      <c r="B126" t="s">
        <v>4748</v>
      </c>
      <c r="C126" t="s">
        <v>4471</v>
      </c>
      <c r="D126" t="s">
        <v>4800</v>
      </c>
      <c r="E126" t="s">
        <v>1791</v>
      </c>
    </row>
    <row r="127" spans="1:5">
      <c r="A127" t="s">
        <v>4893</v>
      </c>
      <c r="B127">
        <v>1170</v>
      </c>
      <c r="C127" t="s">
        <v>4471</v>
      </c>
      <c r="D127" t="s">
        <v>4697</v>
      </c>
      <c r="E127" t="s">
        <v>4894</v>
      </c>
    </row>
    <row r="128" spans="1:5">
      <c r="A128" t="s">
        <v>4958</v>
      </c>
      <c r="B128" t="s">
        <v>4656</v>
      </c>
      <c r="D128" t="s">
        <v>4697</v>
      </c>
    </row>
    <row r="129" spans="1:5">
      <c r="A129" t="s">
        <v>4890</v>
      </c>
      <c r="B129">
        <v>1148</v>
      </c>
      <c r="C129" t="s">
        <v>4472</v>
      </c>
      <c r="D129" t="s">
        <v>4697</v>
      </c>
      <c r="E129" t="s">
        <v>1780</v>
      </c>
    </row>
    <row r="130" spans="1:5">
      <c r="A130" t="s">
        <v>4920</v>
      </c>
      <c r="B130">
        <v>1303</v>
      </c>
      <c r="D130" t="s">
        <v>4697</v>
      </c>
      <c r="E130" t="s">
        <v>4921</v>
      </c>
    </row>
    <row r="131" spans="1:5">
      <c r="A131" t="s">
        <v>1826</v>
      </c>
      <c r="B131" t="s">
        <v>4823</v>
      </c>
      <c r="C131" t="s">
        <v>4569</v>
      </c>
      <c r="D131" t="s">
        <v>4812</v>
      </c>
      <c r="E131" t="s">
        <v>1862</v>
      </c>
    </row>
    <row r="132" spans="1:5">
      <c r="A132" t="s">
        <v>1827</v>
      </c>
      <c r="B132" t="s">
        <v>4824</v>
      </c>
      <c r="C132" t="s">
        <v>4569</v>
      </c>
      <c r="D132" t="s">
        <v>4812</v>
      </c>
      <c r="E132" t="s">
        <v>1863</v>
      </c>
    </row>
    <row r="133" spans="1:5">
      <c r="A133" t="s">
        <v>1564</v>
      </c>
      <c r="B133" t="s">
        <v>1020</v>
      </c>
      <c r="C133" t="s">
        <v>4598</v>
      </c>
      <c r="D133" t="s">
        <v>4800</v>
      </c>
      <c r="E133" t="s">
        <v>1795</v>
      </c>
    </row>
    <row r="134" spans="1:5">
      <c r="A134" t="s">
        <v>2129</v>
      </c>
      <c r="B134" t="s">
        <v>4717</v>
      </c>
      <c r="D134" t="s">
        <v>4800</v>
      </c>
      <c r="E134" t="s">
        <v>1801</v>
      </c>
    </row>
    <row r="135" spans="1:5">
      <c r="A135" t="s">
        <v>2130</v>
      </c>
      <c r="B135" t="s">
        <v>4809</v>
      </c>
      <c r="D135" t="s">
        <v>4800</v>
      </c>
      <c r="E135" t="s">
        <v>1802</v>
      </c>
    </row>
    <row r="136" spans="1:5">
      <c r="A136" t="s">
        <v>4959</v>
      </c>
      <c r="B136" t="s">
        <v>4639</v>
      </c>
      <c r="C136" t="s">
        <v>4640</v>
      </c>
      <c r="D136" t="s">
        <v>4697</v>
      </c>
    </row>
    <row r="137" spans="1:5">
      <c r="A137" t="s">
        <v>1812</v>
      </c>
      <c r="B137" t="s">
        <v>4513</v>
      </c>
      <c r="C137" t="s">
        <v>4446</v>
      </c>
      <c r="D137" t="s">
        <v>4812</v>
      </c>
      <c r="E137" t="s">
        <v>1857</v>
      </c>
    </row>
    <row r="138" spans="1:5">
      <c r="A138" t="s">
        <v>4813</v>
      </c>
      <c r="B138" t="s">
        <v>4814</v>
      </c>
      <c r="C138" t="s">
        <v>4446</v>
      </c>
      <c r="D138" t="s">
        <v>4812</v>
      </c>
      <c r="E138" t="s">
        <v>1849</v>
      </c>
    </row>
    <row r="139" spans="1:5">
      <c r="A139" t="s">
        <v>4960</v>
      </c>
      <c r="B139" t="s">
        <v>4814</v>
      </c>
      <c r="C139" t="s">
        <v>4446</v>
      </c>
      <c r="D139" t="s">
        <v>4911</v>
      </c>
    </row>
    <row r="140" spans="1:5">
      <c r="A140" t="s">
        <v>1807</v>
      </c>
      <c r="B140" t="s">
        <v>4818</v>
      </c>
      <c r="C140" t="s">
        <v>4457</v>
      </c>
      <c r="D140" t="s">
        <v>4812</v>
      </c>
      <c r="E140" t="s">
        <v>1851</v>
      </c>
    </row>
    <row r="141" spans="1:5">
      <c r="A141" t="s">
        <v>4961</v>
      </c>
      <c r="B141" t="s">
        <v>4814</v>
      </c>
      <c r="C141" t="s">
        <v>4446</v>
      </c>
      <c r="D141" t="s">
        <v>4911</v>
      </c>
    </row>
    <row r="142" spans="1:5">
      <c r="A142" t="s">
        <v>4962</v>
      </c>
      <c r="B142" t="s">
        <v>4814</v>
      </c>
      <c r="C142" t="s">
        <v>4446</v>
      </c>
      <c r="D142" t="s">
        <v>4911</v>
      </c>
    </row>
    <row r="143" spans="1:5">
      <c r="A143" t="s">
        <v>4815</v>
      </c>
      <c r="B143" t="s">
        <v>4816</v>
      </c>
      <c r="C143" t="s">
        <v>4446</v>
      </c>
      <c r="D143" t="s">
        <v>4812</v>
      </c>
      <c r="E143" t="s">
        <v>1850</v>
      </c>
    </row>
    <row r="144" spans="1:5">
      <c r="A144" t="s">
        <v>4817</v>
      </c>
      <c r="B144" t="s">
        <v>4816</v>
      </c>
      <c r="C144" t="s">
        <v>4446</v>
      </c>
      <c r="D144" t="s">
        <v>4812</v>
      </c>
      <c r="E144" t="s">
        <v>1850</v>
      </c>
    </row>
    <row r="145" spans="1:5">
      <c r="A145" t="s">
        <v>4963</v>
      </c>
      <c r="B145" t="s">
        <v>4816</v>
      </c>
      <c r="C145" t="s">
        <v>4446</v>
      </c>
      <c r="D145" t="s">
        <v>4911</v>
      </c>
    </row>
    <row r="146" spans="1:5">
      <c r="A146" t="s">
        <v>1817</v>
      </c>
      <c r="B146" t="s">
        <v>4964</v>
      </c>
      <c r="D146" t="s">
        <v>4911</v>
      </c>
    </row>
    <row r="147" spans="1:5">
      <c r="A147" t="s">
        <v>2139</v>
      </c>
      <c r="B147" t="s">
        <v>4798</v>
      </c>
      <c r="D147" t="s">
        <v>4812</v>
      </c>
      <c r="E147" t="s">
        <v>1861</v>
      </c>
    </row>
    <row r="148" spans="1:5">
      <c r="A148" t="s">
        <v>1823</v>
      </c>
      <c r="B148" t="s">
        <v>4559</v>
      </c>
      <c r="C148" t="s">
        <v>4446</v>
      </c>
      <c r="D148" t="s">
        <v>4812</v>
      </c>
      <c r="E148" t="s">
        <v>1861</v>
      </c>
    </row>
    <row r="149" spans="1:5">
      <c r="A149" t="s">
        <v>1836</v>
      </c>
      <c r="B149" t="s">
        <v>4965</v>
      </c>
      <c r="D149" t="s">
        <v>4812</v>
      </c>
    </row>
    <row r="150" spans="1:5">
      <c r="A150" t="s">
        <v>1814</v>
      </c>
      <c r="B150" t="s">
        <v>4966</v>
      </c>
      <c r="D150" t="s">
        <v>4812</v>
      </c>
    </row>
    <row r="151" spans="1:5">
      <c r="A151" t="s">
        <v>1818</v>
      </c>
      <c r="B151" t="s">
        <v>2028</v>
      </c>
      <c r="C151" t="s">
        <v>4446</v>
      </c>
      <c r="D151" t="s">
        <v>4812</v>
      </c>
      <c r="E151" t="s">
        <v>1859</v>
      </c>
    </row>
    <row r="152" spans="1:5">
      <c r="A152" t="s">
        <v>1808</v>
      </c>
      <c r="B152" t="s">
        <v>4482</v>
      </c>
      <c r="D152" t="s">
        <v>4812</v>
      </c>
      <c r="E152" t="s">
        <v>1852</v>
      </c>
    </row>
    <row r="153" spans="1:5">
      <c r="A153" t="s">
        <v>4909</v>
      </c>
      <c r="B153" t="s">
        <v>4910</v>
      </c>
      <c r="C153" t="s">
        <v>4446</v>
      </c>
      <c r="D153" t="s">
        <v>4911</v>
      </c>
      <c r="E153" t="s">
        <v>1858</v>
      </c>
    </row>
    <row r="154" spans="1:5">
      <c r="A154" t="s">
        <v>4932</v>
      </c>
      <c r="B154">
        <v>1304</v>
      </c>
      <c r="C154" t="s">
        <v>4446</v>
      </c>
      <c r="D154" t="s">
        <v>4911</v>
      </c>
      <c r="E154" t="s">
        <v>4931</v>
      </c>
    </row>
    <row r="155" spans="1:5">
      <c r="A155" t="s">
        <v>1560</v>
      </c>
      <c r="B155" t="s">
        <v>4807</v>
      </c>
      <c r="D155" t="s">
        <v>4800</v>
      </c>
      <c r="E155" t="s">
        <v>1791</v>
      </c>
    </row>
    <row r="156" spans="1:5">
      <c r="A156" t="s">
        <v>1569</v>
      </c>
      <c r="B156" t="s">
        <v>1020</v>
      </c>
      <c r="D156" t="s">
        <v>4800</v>
      </c>
      <c r="E156" t="s">
        <v>1795</v>
      </c>
    </row>
    <row r="157" spans="1:5">
      <c r="A157" t="s">
        <v>1893</v>
      </c>
      <c r="B157" t="s">
        <v>4849</v>
      </c>
      <c r="C157" t="s">
        <v>4504</v>
      </c>
      <c r="D157" t="s">
        <v>4827</v>
      </c>
      <c r="E157" t="s">
        <v>1978</v>
      </c>
    </row>
    <row r="158" spans="1:5">
      <c r="A158" t="s">
        <v>1926</v>
      </c>
      <c r="B158" t="s">
        <v>4542</v>
      </c>
      <c r="D158" t="s">
        <v>4868</v>
      </c>
    </row>
    <row r="159" spans="1:5">
      <c r="A159" t="s">
        <v>1919</v>
      </c>
      <c r="B159" t="s">
        <v>4351</v>
      </c>
      <c r="D159" t="s">
        <v>4827</v>
      </c>
      <c r="E159" t="s">
        <v>1998</v>
      </c>
    </row>
    <row r="160" spans="1:5">
      <c r="A160" t="s">
        <v>1920</v>
      </c>
      <c r="B160" t="s">
        <v>4853</v>
      </c>
      <c r="D160" t="s">
        <v>4827</v>
      </c>
      <c r="E160" t="s">
        <v>1998</v>
      </c>
    </row>
    <row r="161" spans="1:5">
      <c r="A161" t="s">
        <v>1892</v>
      </c>
      <c r="B161" t="s">
        <v>4497</v>
      </c>
      <c r="C161" t="s">
        <v>4498</v>
      </c>
      <c r="D161" t="s">
        <v>4868</v>
      </c>
      <c r="E161" t="s">
        <v>4907</v>
      </c>
    </row>
    <row r="162" spans="1:5">
      <c r="A162" t="s">
        <v>4967</v>
      </c>
      <c r="B162" t="s">
        <v>4968</v>
      </c>
      <c r="C162" t="s">
        <v>4460</v>
      </c>
      <c r="D162" t="s">
        <v>4911</v>
      </c>
    </row>
    <row r="163" spans="1:5">
      <c r="A163" t="s">
        <v>4969</v>
      </c>
      <c r="B163" t="s">
        <v>4968</v>
      </c>
      <c r="C163" t="s">
        <v>4460</v>
      </c>
      <c r="D163" t="s">
        <v>4911</v>
      </c>
    </row>
    <row r="164" spans="1:5">
      <c r="A164" t="s">
        <v>4970</v>
      </c>
      <c r="B164" t="s">
        <v>4968</v>
      </c>
      <c r="C164" t="s">
        <v>4460</v>
      </c>
      <c r="D164" t="s">
        <v>4911</v>
      </c>
    </row>
    <row r="165" spans="1:5">
      <c r="A165" t="s">
        <v>1821</v>
      </c>
      <c r="B165" t="s">
        <v>4551</v>
      </c>
      <c r="D165" t="s">
        <v>4911</v>
      </c>
    </row>
    <row r="166" spans="1:5">
      <c r="A166" t="s">
        <v>1841</v>
      </c>
      <c r="B166" t="s">
        <v>4811</v>
      </c>
      <c r="D166" t="s">
        <v>4812</v>
      </c>
      <c r="E166" t="s">
        <v>1870</v>
      </c>
    </row>
    <row r="167" spans="1:5">
      <c r="A167" t="s">
        <v>1848</v>
      </c>
      <c r="B167" t="s">
        <v>4642</v>
      </c>
      <c r="C167" t="s">
        <v>4643</v>
      </c>
      <c r="D167" t="s">
        <v>4812</v>
      </c>
      <c r="E167" t="s">
        <v>1872</v>
      </c>
    </row>
    <row r="168" spans="1:5">
      <c r="A168" t="s">
        <v>4971</v>
      </c>
      <c r="B168" t="s">
        <v>4972</v>
      </c>
      <c r="D168" t="s">
        <v>4868</v>
      </c>
    </row>
    <row r="169" spans="1:5">
      <c r="A169" t="s">
        <v>2148</v>
      </c>
      <c r="B169" t="s">
        <v>4848</v>
      </c>
      <c r="C169" t="s">
        <v>4400</v>
      </c>
      <c r="D169" t="s">
        <v>4827</v>
      </c>
      <c r="E169" t="s">
        <v>1981</v>
      </c>
    </row>
    <row r="170" spans="1:5">
      <c r="A170" t="s">
        <v>1915</v>
      </c>
      <c r="B170" t="s">
        <v>4430</v>
      </c>
      <c r="C170" t="s">
        <v>4431</v>
      </c>
      <c r="D170" t="s">
        <v>4827</v>
      </c>
      <c r="E170" t="s">
        <v>1995</v>
      </c>
    </row>
    <row r="171" spans="1:5">
      <c r="A171" t="s">
        <v>2648</v>
      </c>
      <c r="B171" t="s">
        <v>4759</v>
      </c>
      <c r="D171" t="s">
        <v>4855</v>
      </c>
      <c r="E171" t="s">
        <v>2714</v>
      </c>
    </row>
    <row r="172" spans="1:5">
      <c r="A172" t="s">
        <v>2664</v>
      </c>
      <c r="B172" t="s">
        <v>2690</v>
      </c>
      <c r="D172" t="s">
        <v>4855</v>
      </c>
      <c r="E172" t="s">
        <v>2745</v>
      </c>
    </row>
    <row r="173" spans="1:5">
      <c r="A173" t="s">
        <v>2628</v>
      </c>
      <c r="B173" t="s">
        <v>2631</v>
      </c>
      <c r="D173" t="s">
        <v>4855</v>
      </c>
      <c r="E173" t="s">
        <v>2723</v>
      </c>
    </row>
    <row r="174" spans="1:5">
      <c r="A174" t="s">
        <v>2640</v>
      </c>
      <c r="B174" t="s">
        <v>4858</v>
      </c>
      <c r="C174" t="s">
        <v>2699</v>
      </c>
      <c r="D174" t="s">
        <v>4855</v>
      </c>
      <c r="E174" t="s">
        <v>2725</v>
      </c>
    </row>
    <row r="175" spans="1:5">
      <c r="A175" t="s">
        <v>2665</v>
      </c>
      <c r="B175" t="s">
        <v>4863</v>
      </c>
      <c r="D175" t="s">
        <v>4855</v>
      </c>
      <c r="E175" t="s">
        <v>2746</v>
      </c>
    </row>
    <row r="176" spans="1:5">
      <c r="A176" t="s">
        <v>2645</v>
      </c>
      <c r="B176" t="s">
        <v>2676</v>
      </c>
      <c r="D176" t="s">
        <v>4855</v>
      </c>
      <c r="E176" t="s">
        <v>2732</v>
      </c>
    </row>
    <row r="177" spans="1:5">
      <c r="A177" t="s">
        <v>2662</v>
      </c>
      <c r="B177" t="s">
        <v>2688</v>
      </c>
      <c r="D177" t="s">
        <v>4855</v>
      </c>
      <c r="E177" t="s">
        <v>2742</v>
      </c>
    </row>
    <row r="178" spans="1:5">
      <c r="A178" t="s">
        <v>2660</v>
      </c>
      <c r="B178" t="s">
        <v>4862</v>
      </c>
      <c r="C178" t="s">
        <v>2702</v>
      </c>
      <c r="D178" t="s">
        <v>4855</v>
      </c>
      <c r="E178" t="s">
        <v>2743</v>
      </c>
    </row>
    <row r="179" spans="1:5">
      <c r="A179" t="s">
        <v>2646</v>
      </c>
      <c r="B179" t="s">
        <v>2676</v>
      </c>
      <c r="C179" t="s">
        <v>2699</v>
      </c>
      <c r="D179" t="s">
        <v>4855</v>
      </c>
      <c r="E179" t="s">
        <v>2718</v>
      </c>
    </row>
    <row r="180" spans="1:5">
      <c r="A180" t="s">
        <v>2656</v>
      </c>
      <c r="B180" t="s">
        <v>2683</v>
      </c>
      <c r="D180" t="s">
        <v>4855</v>
      </c>
      <c r="E180" t="s">
        <v>2737</v>
      </c>
    </row>
    <row r="181" spans="1:5">
      <c r="A181" t="s">
        <v>2653</v>
      </c>
      <c r="B181" t="s">
        <v>2681</v>
      </c>
      <c r="D181" t="s">
        <v>4855</v>
      </c>
      <c r="E181" t="s">
        <v>2734</v>
      </c>
    </row>
    <row r="182" spans="1:5">
      <c r="A182" t="s">
        <v>2638</v>
      </c>
      <c r="B182" t="s">
        <v>2673</v>
      </c>
      <c r="D182" t="s">
        <v>4855</v>
      </c>
      <c r="E182" t="s">
        <v>2721</v>
      </c>
    </row>
    <row r="183" spans="1:5">
      <c r="A183" t="s">
        <v>2657</v>
      </c>
      <c r="B183" t="s">
        <v>2684</v>
      </c>
      <c r="D183" t="s">
        <v>4855</v>
      </c>
      <c r="E183" t="s">
        <v>2738</v>
      </c>
    </row>
    <row r="184" spans="1:5">
      <c r="A184" t="s">
        <v>2655</v>
      </c>
      <c r="B184" t="s">
        <v>2682</v>
      </c>
      <c r="D184" t="s">
        <v>4855</v>
      </c>
      <c r="E184" t="s">
        <v>2736</v>
      </c>
    </row>
    <row r="185" spans="1:5">
      <c r="A185" t="s">
        <v>2649</v>
      </c>
      <c r="B185" t="s">
        <v>2679</v>
      </c>
      <c r="C185" t="s">
        <v>2678</v>
      </c>
      <c r="D185" t="s">
        <v>4855</v>
      </c>
      <c r="E185" t="s">
        <v>2728</v>
      </c>
    </row>
    <row r="186" spans="1:5">
      <c r="A186" t="s">
        <v>2647</v>
      </c>
      <c r="B186" t="s">
        <v>2677</v>
      </c>
      <c r="D186" t="s">
        <v>4855</v>
      </c>
      <c r="E186" t="s">
        <v>2727</v>
      </c>
    </row>
    <row r="187" spans="1:5">
      <c r="A187" t="s">
        <v>2659</v>
      </c>
      <c r="B187" t="s">
        <v>2686</v>
      </c>
      <c r="C187" t="s">
        <v>2678</v>
      </c>
      <c r="D187" t="s">
        <v>4855</v>
      </c>
      <c r="E187" t="s">
        <v>2740</v>
      </c>
    </row>
    <row r="188" spans="1:5">
      <c r="A188" t="s">
        <v>2637</v>
      </c>
      <c r="B188" t="s">
        <v>2672</v>
      </c>
      <c r="C188" t="s">
        <v>2699</v>
      </c>
      <c r="D188" t="s">
        <v>4855</v>
      </c>
      <c r="E188" t="s">
        <v>2720</v>
      </c>
    </row>
    <row r="189" spans="1:5">
      <c r="A189" t="s">
        <v>2633</v>
      </c>
      <c r="B189" t="s">
        <v>4856</v>
      </c>
      <c r="D189" t="s">
        <v>4855</v>
      </c>
      <c r="E189" t="s">
        <v>2708</v>
      </c>
    </row>
    <row r="190" spans="1:5">
      <c r="A190" t="s">
        <v>2661</v>
      </c>
      <c r="B190" t="s">
        <v>2687</v>
      </c>
      <c r="C190" t="s">
        <v>2678</v>
      </c>
      <c r="D190" t="s">
        <v>4855</v>
      </c>
      <c r="E190" t="s">
        <v>2741</v>
      </c>
    </row>
    <row r="191" spans="1:5">
      <c r="A191" t="s">
        <v>2627</v>
      </c>
      <c r="B191" t="s">
        <v>2623</v>
      </c>
      <c r="C191" t="s">
        <v>2624</v>
      </c>
      <c r="D191" t="s">
        <v>4855</v>
      </c>
      <c r="E191" t="s">
        <v>2707</v>
      </c>
    </row>
    <row r="192" spans="1:5">
      <c r="A192" t="s">
        <v>2651</v>
      </c>
      <c r="B192" t="s">
        <v>4861</v>
      </c>
      <c r="C192" t="s">
        <v>2678</v>
      </c>
      <c r="D192" t="s">
        <v>4855</v>
      </c>
      <c r="E192" t="s">
        <v>2730</v>
      </c>
    </row>
    <row r="193" spans="1:5">
      <c r="A193" t="s">
        <v>2630</v>
      </c>
      <c r="B193" t="s">
        <v>4861</v>
      </c>
      <c r="D193" t="s">
        <v>4855</v>
      </c>
      <c r="E193" t="s">
        <v>2731</v>
      </c>
    </row>
    <row r="194" spans="1:5">
      <c r="A194" t="s">
        <v>2626</v>
      </c>
      <c r="B194" t="s">
        <v>2693</v>
      </c>
      <c r="D194" t="s">
        <v>4855</v>
      </c>
      <c r="E194" t="s">
        <v>2750</v>
      </c>
    </row>
    <row r="195" spans="1:5">
      <c r="A195" t="s">
        <v>2667</v>
      </c>
      <c r="B195" t="s">
        <v>2692</v>
      </c>
      <c r="C195" t="s">
        <v>2704</v>
      </c>
      <c r="D195" t="s">
        <v>4855</v>
      </c>
      <c r="E195" t="s">
        <v>2749</v>
      </c>
    </row>
    <row r="196" spans="1:5">
      <c r="A196" t="s">
        <v>2639</v>
      </c>
      <c r="B196" t="s">
        <v>2706</v>
      </c>
      <c r="D196" t="s">
        <v>4855</v>
      </c>
      <c r="E196" t="s">
        <v>2724</v>
      </c>
    </row>
    <row r="197" spans="1:5">
      <c r="A197" t="s">
        <v>2625</v>
      </c>
      <c r="B197" t="s">
        <v>4717</v>
      </c>
      <c r="D197" t="s">
        <v>4855</v>
      </c>
      <c r="E197" t="s">
        <v>2716</v>
      </c>
    </row>
    <row r="198" spans="1:5">
      <c r="A198" t="s">
        <v>2668</v>
      </c>
      <c r="B198" t="s">
        <v>773</v>
      </c>
      <c r="C198" t="s">
        <v>2698</v>
      </c>
      <c r="D198" t="s">
        <v>4855</v>
      </c>
      <c r="E198" t="s">
        <v>2715</v>
      </c>
    </row>
    <row r="199" spans="1:5">
      <c r="A199" t="s">
        <v>2635</v>
      </c>
      <c r="B199" t="s">
        <v>2671</v>
      </c>
      <c r="C199" t="s">
        <v>2700</v>
      </c>
      <c r="D199" t="s">
        <v>4855</v>
      </c>
      <c r="E199" t="s">
        <v>2719</v>
      </c>
    </row>
    <row r="200" spans="1:5">
      <c r="A200" t="s">
        <v>2636</v>
      </c>
      <c r="B200" t="s">
        <v>4857</v>
      </c>
      <c r="C200" t="s">
        <v>2697</v>
      </c>
      <c r="D200" t="s">
        <v>4855</v>
      </c>
      <c r="E200" t="s">
        <v>2710</v>
      </c>
    </row>
    <row r="201" spans="1:5">
      <c r="A201" t="s">
        <v>2634</v>
      </c>
      <c r="B201" t="s">
        <v>589</v>
      </c>
      <c r="C201" t="s">
        <v>2624</v>
      </c>
      <c r="D201" t="s">
        <v>4855</v>
      </c>
      <c r="E201" t="s">
        <v>2709</v>
      </c>
    </row>
    <row r="202" spans="1:5">
      <c r="A202" t="s">
        <v>2643</v>
      </c>
      <c r="B202" t="s">
        <v>631</v>
      </c>
      <c r="D202" t="s">
        <v>4855</v>
      </c>
      <c r="E202" t="s">
        <v>2713</v>
      </c>
    </row>
    <row r="203" spans="1:5">
      <c r="A203" t="s">
        <v>2652</v>
      </c>
      <c r="B203" t="s">
        <v>1426</v>
      </c>
      <c r="D203" t="s">
        <v>4855</v>
      </c>
      <c r="E203" t="s">
        <v>2733</v>
      </c>
    </row>
    <row r="204" spans="1:5">
      <c r="A204" t="s">
        <v>2666</v>
      </c>
      <c r="B204" t="s">
        <v>2691</v>
      </c>
      <c r="D204" t="s">
        <v>4855</v>
      </c>
      <c r="E204" t="s">
        <v>2748</v>
      </c>
    </row>
    <row r="205" spans="1:5">
      <c r="A205" t="s">
        <v>2663</v>
      </c>
      <c r="B205" t="s">
        <v>2689</v>
      </c>
      <c r="C205" t="s">
        <v>2703</v>
      </c>
      <c r="D205" t="s">
        <v>4855</v>
      </c>
      <c r="E205" t="s">
        <v>2744</v>
      </c>
    </row>
    <row r="206" spans="1:5">
      <c r="A206" t="s">
        <v>2642</v>
      </c>
      <c r="B206" t="s">
        <v>4860</v>
      </c>
      <c r="D206" t="s">
        <v>4855</v>
      </c>
      <c r="E206" t="s">
        <v>2712</v>
      </c>
    </row>
    <row r="207" spans="1:5">
      <c r="A207" t="s">
        <v>4873</v>
      </c>
      <c r="B207" t="s">
        <v>4637</v>
      </c>
      <c r="C207" t="s">
        <v>4638</v>
      </c>
      <c r="D207" t="s">
        <v>4868</v>
      </c>
      <c r="E207" t="s">
        <v>4874</v>
      </c>
    </row>
    <row r="208" spans="1:5">
      <c r="A208" t="s">
        <v>1838</v>
      </c>
      <c r="B208" t="s">
        <v>790</v>
      </c>
      <c r="D208" t="s">
        <v>4812</v>
      </c>
      <c r="E208" t="s">
        <v>1866</v>
      </c>
    </row>
    <row r="209" spans="1:5">
      <c r="A209" t="s">
        <v>1819</v>
      </c>
      <c r="B209" t="s">
        <v>1816</v>
      </c>
      <c r="D209" t="s">
        <v>4812</v>
      </c>
      <c r="E209" t="s">
        <v>1860</v>
      </c>
    </row>
    <row r="210" spans="1:5">
      <c r="A210" t="s">
        <v>2123</v>
      </c>
      <c r="B210" t="s">
        <v>4805</v>
      </c>
      <c r="C210" t="s">
        <v>4492</v>
      </c>
      <c r="D210" t="s">
        <v>4800</v>
      </c>
      <c r="E210" t="s">
        <v>1787</v>
      </c>
    </row>
    <row r="211" spans="1:5">
      <c r="A211" t="s">
        <v>1574</v>
      </c>
      <c r="B211" t="s">
        <v>4742</v>
      </c>
      <c r="D211" t="s">
        <v>4800</v>
      </c>
      <c r="E211" t="s">
        <v>1799</v>
      </c>
    </row>
    <row r="212" spans="1:5">
      <c r="A212" t="s">
        <v>2128</v>
      </c>
      <c r="B212" t="s">
        <v>760</v>
      </c>
      <c r="D212" t="s">
        <v>4800</v>
      </c>
      <c r="E212" t="s">
        <v>1794</v>
      </c>
    </row>
    <row r="213" spans="1:5">
      <c r="A213" t="s">
        <v>4941</v>
      </c>
      <c r="B213">
        <v>1301</v>
      </c>
      <c r="C213" t="s">
        <v>4648</v>
      </c>
      <c r="D213" t="s">
        <v>4697</v>
      </c>
      <c r="E213" t="s">
        <v>4942</v>
      </c>
    </row>
    <row r="214" spans="1:5">
      <c r="A214" t="s">
        <v>2136</v>
      </c>
      <c r="B214" t="s">
        <v>4819</v>
      </c>
      <c r="D214" t="s">
        <v>4812</v>
      </c>
      <c r="E214" t="s">
        <v>1859</v>
      </c>
    </row>
    <row r="215" spans="1:5">
      <c r="A215" t="s">
        <v>2137</v>
      </c>
      <c r="B215" t="s">
        <v>4973</v>
      </c>
      <c r="C215" t="s">
        <v>4531</v>
      </c>
      <c r="D215" t="s">
        <v>4911</v>
      </c>
    </row>
    <row r="216" spans="1:5">
      <c r="A216" t="s">
        <v>2133</v>
      </c>
      <c r="B216" t="s">
        <v>4401</v>
      </c>
      <c r="D216" t="s">
        <v>4911</v>
      </c>
    </row>
    <row r="217" spans="1:5">
      <c r="A217" t="s">
        <v>2134</v>
      </c>
      <c r="B217" t="s">
        <v>4409</v>
      </c>
      <c r="D217" t="s">
        <v>4911</v>
      </c>
    </row>
    <row r="218" spans="1:5">
      <c r="A218" t="s">
        <v>1840</v>
      </c>
      <c r="B218" t="s">
        <v>4718</v>
      </c>
      <c r="D218" t="s">
        <v>4812</v>
      </c>
      <c r="E218" t="s">
        <v>1869</v>
      </c>
    </row>
    <row r="219" spans="1:5">
      <c r="A219" t="s">
        <v>1828</v>
      </c>
      <c r="B219" t="s">
        <v>760</v>
      </c>
      <c r="D219" t="s">
        <v>4812</v>
      </c>
      <c r="E219" t="s">
        <v>1864</v>
      </c>
    </row>
    <row r="220" spans="1:5">
      <c r="A220" t="s">
        <v>1577</v>
      </c>
      <c r="B220" t="s">
        <v>4717</v>
      </c>
      <c r="C220" t="s">
        <v>4621</v>
      </c>
      <c r="D220" t="s">
        <v>4800</v>
      </c>
      <c r="E220" t="s">
        <v>1801</v>
      </c>
    </row>
    <row r="221" spans="1:5">
      <c r="A221" t="s">
        <v>1905</v>
      </c>
      <c r="B221" t="s">
        <v>1873</v>
      </c>
      <c r="C221" t="s">
        <v>4589</v>
      </c>
      <c r="D221" t="s">
        <v>4827</v>
      </c>
      <c r="E221" t="s">
        <v>1988</v>
      </c>
    </row>
    <row r="222" spans="1:5">
      <c r="A222" t="s">
        <v>1810</v>
      </c>
      <c r="B222" t="s">
        <v>4820</v>
      </c>
      <c r="C222" t="s">
        <v>4501</v>
      </c>
      <c r="D222" t="s">
        <v>4812</v>
      </c>
      <c r="E222" t="s">
        <v>1855</v>
      </c>
    </row>
    <row r="223" spans="1:5">
      <c r="A223" t="s">
        <v>1876</v>
      </c>
      <c r="B223" t="s">
        <v>4826</v>
      </c>
      <c r="C223" t="s">
        <v>4371</v>
      </c>
      <c r="D223" t="s">
        <v>4827</v>
      </c>
      <c r="E223" t="s">
        <v>1965</v>
      </c>
    </row>
    <row r="224" spans="1:5">
      <c r="A224" t="s">
        <v>1953</v>
      </c>
      <c r="B224" t="s">
        <v>4832</v>
      </c>
      <c r="C224" t="s">
        <v>4365</v>
      </c>
      <c r="D224" t="s">
        <v>4827</v>
      </c>
      <c r="E224" t="s">
        <v>2000</v>
      </c>
    </row>
    <row r="225" spans="1:5">
      <c r="A225" t="s">
        <v>1949</v>
      </c>
      <c r="B225" t="s">
        <v>4613</v>
      </c>
      <c r="D225" t="s">
        <v>4827</v>
      </c>
      <c r="E225" t="s">
        <v>2014</v>
      </c>
    </row>
    <row r="226" spans="1:5">
      <c r="A226" t="s">
        <v>1877</v>
      </c>
      <c r="B226" t="s">
        <v>4375</v>
      </c>
      <c r="C226" t="s">
        <v>4365</v>
      </c>
      <c r="D226" t="s">
        <v>4827</v>
      </c>
      <c r="E226" t="s">
        <v>1966</v>
      </c>
    </row>
    <row r="227" spans="1:5">
      <c r="A227" t="s">
        <v>1928</v>
      </c>
      <c r="B227" t="s">
        <v>4974</v>
      </c>
      <c r="C227" t="s">
        <v>4359</v>
      </c>
      <c r="D227" t="s">
        <v>4868</v>
      </c>
    </row>
    <row r="228" spans="1:5">
      <c r="A228" t="s">
        <v>1914</v>
      </c>
      <c r="B228" t="s">
        <v>4429</v>
      </c>
      <c r="C228" t="s">
        <v>4365</v>
      </c>
      <c r="D228" t="s">
        <v>4827</v>
      </c>
      <c r="E228" t="s">
        <v>1994</v>
      </c>
    </row>
    <row r="229" spans="1:5">
      <c r="A229" t="s">
        <v>1932</v>
      </c>
      <c r="B229" t="s">
        <v>4831</v>
      </c>
      <c r="C229" t="s">
        <v>4365</v>
      </c>
      <c r="D229" t="s">
        <v>4827</v>
      </c>
      <c r="E229" t="s">
        <v>2004</v>
      </c>
    </row>
    <row r="230" spans="1:5">
      <c r="A230" t="s">
        <v>1933</v>
      </c>
      <c r="B230" t="s">
        <v>4831</v>
      </c>
      <c r="C230" t="s">
        <v>4365</v>
      </c>
      <c r="D230" t="s">
        <v>4827</v>
      </c>
      <c r="E230" t="s">
        <v>2005</v>
      </c>
    </row>
    <row r="231" spans="1:5">
      <c r="A231" t="s">
        <v>1934</v>
      </c>
      <c r="B231" t="s">
        <v>4831</v>
      </c>
      <c r="C231" t="s">
        <v>4365</v>
      </c>
      <c r="D231" t="s">
        <v>4827</v>
      </c>
      <c r="E231" t="s">
        <v>2006</v>
      </c>
    </row>
    <row r="232" spans="1:5">
      <c r="A232" t="s">
        <v>1935</v>
      </c>
      <c r="B232" t="s">
        <v>4831</v>
      </c>
      <c r="C232" t="s">
        <v>4365</v>
      </c>
      <c r="D232" t="s">
        <v>4827</v>
      </c>
      <c r="E232" t="s">
        <v>2006</v>
      </c>
    </row>
    <row r="233" spans="1:5">
      <c r="A233" t="s">
        <v>1936</v>
      </c>
      <c r="B233" t="s">
        <v>4831</v>
      </c>
      <c r="C233" t="s">
        <v>4365</v>
      </c>
      <c r="D233" t="s">
        <v>4827</v>
      </c>
      <c r="E233" t="s">
        <v>2007</v>
      </c>
    </row>
    <row r="234" spans="1:5">
      <c r="A234" t="s">
        <v>4841</v>
      </c>
      <c r="B234" t="s">
        <v>4767</v>
      </c>
      <c r="C234" t="s">
        <v>4365</v>
      </c>
      <c r="D234" t="s">
        <v>4827</v>
      </c>
      <c r="E234" t="s">
        <v>1964</v>
      </c>
    </row>
    <row r="235" spans="1:5">
      <c r="A235" t="s">
        <v>1929</v>
      </c>
      <c r="B235" t="s">
        <v>4749</v>
      </c>
      <c r="C235" t="s">
        <v>4365</v>
      </c>
      <c r="D235" t="s">
        <v>4827</v>
      </c>
      <c r="E235" t="s">
        <v>2004</v>
      </c>
    </row>
    <row r="236" spans="1:5">
      <c r="A236" t="s">
        <v>1930</v>
      </c>
      <c r="B236" t="s">
        <v>4749</v>
      </c>
      <c r="C236" t="s">
        <v>4365</v>
      </c>
      <c r="D236" t="s">
        <v>4827</v>
      </c>
      <c r="E236" t="s">
        <v>2005</v>
      </c>
    </row>
    <row r="237" spans="1:5">
      <c r="A237" t="s">
        <v>1948</v>
      </c>
      <c r="B237" t="s">
        <v>773</v>
      </c>
      <c r="D237" t="s">
        <v>4827</v>
      </c>
      <c r="E237" t="s">
        <v>2014</v>
      </c>
    </row>
    <row r="238" spans="1:5">
      <c r="A238" t="s">
        <v>1937</v>
      </c>
      <c r="B238" t="s">
        <v>4831</v>
      </c>
      <c r="C238" t="s">
        <v>4365</v>
      </c>
      <c r="D238" t="s">
        <v>4827</v>
      </c>
      <c r="E238" t="s">
        <v>2007</v>
      </c>
    </row>
    <row r="239" spans="1:5">
      <c r="A239" t="s">
        <v>1943</v>
      </c>
      <c r="B239" t="s">
        <v>4723</v>
      </c>
      <c r="C239" t="s">
        <v>4449</v>
      </c>
      <c r="D239" t="s">
        <v>4827</v>
      </c>
      <c r="E239" t="s">
        <v>2010</v>
      </c>
    </row>
    <row r="240" spans="1:5">
      <c r="A240" t="s">
        <v>1927</v>
      </c>
      <c r="B240" t="s">
        <v>4543</v>
      </c>
      <c r="C240" t="s">
        <v>4365</v>
      </c>
      <c r="D240" t="s">
        <v>4827</v>
      </c>
      <c r="E240" t="s">
        <v>2003</v>
      </c>
    </row>
    <row r="241" spans="1:5">
      <c r="A241" t="s">
        <v>4844</v>
      </c>
      <c r="B241" t="s">
        <v>4845</v>
      </c>
      <c r="C241" t="s">
        <v>4365</v>
      </c>
      <c r="D241" t="s">
        <v>4827</v>
      </c>
      <c r="E241" t="s">
        <v>1969</v>
      </c>
    </row>
    <row r="242" spans="1:5">
      <c r="A242" t="s">
        <v>1955</v>
      </c>
      <c r="B242" t="s">
        <v>4975</v>
      </c>
      <c r="D242" t="s">
        <v>4868</v>
      </c>
    </row>
    <row r="243" spans="1:5">
      <c r="A243" t="s">
        <v>5171</v>
      </c>
      <c r="B243" t="s">
        <v>4356</v>
      </c>
      <c r="D243" t="s">
        <v>4868</v>
      </c>
    </row>
    <row r="244" spans="1:5">
      <c r="A244" t="s">
        <v>5172</v>
      </c>
      <c r="B244" t="s">
        <v>4355</v>
      </c>
      <c r="D244" t="s">
        <v>4868</v>
      </c>
    </row>
    <row r="245" spans="1:5">
      <c r="A245" t="s">
        <v>5173</v>
      </c>
      <c r="B245" t="s">
        <v>4676</v>
      </c>
      <c r="C245" t="s">
        <v>4677</v>
      </c>
      <c r="D245" t="s">
        <v>4868</v>
      </c>
      <c r="E245" t="s">
        <v>4887</v>
      </c>
    </row>
    <row r="246" spans="1:5">
      <c r="A246" t="s">
        <v>4659</v>
      </c>
      <c r="B246" t="s">
        <v>4379</v>
      </c>
      <c r="C246" t="s">
        <v>4380</v>
      </c>
      <c r="D246" t="s">
        <v>4705</v>
      </c>
      <c r="E246" t="s">
        <v>1328</v>
      </c>
    </row>
    <row r="247" spans="1:5">
      <c r="A247" t="s">
        <v>1354</v>
      </c>
      <c r="B247" t="s">
        <v>4976</v>
      </c>
      <c r="D247" t="s">
        <v>4693</v>
      </c>
    </row>
    <row r="248" spans="1:5">
      <c r="A248" t="s">
        <v>1311</v>
      </c>
      <c r="B248" t="s">
        <v>4709</v>
      </c>
      <c r="D248" t="s">
        <v>4705</v>
      </c>
      <c r="E248" t="s">
        <v>1335</v>
      </c>
    </row>
    <row r="249" spans="1:5">
      <c r="A249" t="s">
        <v>1355</v>
      </c>
      <c r="B249" t="s">
        <v>4976</v>
      </c>
      <c r="D249" t="s">
        <v>4693</v>
      </c>
    </row>
    <row r="250" spans="1:5">
      <c r="A250" t="s">
        <v>4666</v>
      </c>
      <c r="B250" t="s">
        <v>4707</v>
      </c>
      <c r="D250" t="s">
        <v>4705</v>
      </c>
      <c r="E250" t="s">
        <v>1334</v>
      </c>
    </row>
    <row r="251" spans="1:5">
      <c r="A251" t="s">
        <v>1321</v>
      </c>
      <c r="B251" t="s">
        <v>4712</v>
      </c>
      <c r="D251" t="s">
        <v>4705</v>
      </c>
      <c r="E251" t="s">
        <v>1341</v>
      </c>
    </row>
    <row r="252" spans="1:5">
      <c r="A252" t="s">
        <v>4667</v>
      </c>
      <c r="B252" t="s">
        <v>4708</v>
      </c>
      <c r="D252" t="s">
        <v>4705</v>
      </c>
      <c r="E252" t="s">
        <v>1333</v>
      </c>
    </row>
    <row r="253" spans="1:5">
      <c r="A253" t="s">
        <v>1326</v>
      </c>
      <c r="B253" t="s">
        <v>4718</v>
      </c>
      <c r="D253" t="s">
        <v>4705</v>
      </c>
      <c r="E253" t="s">
        <v>1347</v>
      </c>
    </row>
    <row r="254" spans="1:5">
      <c r="A254" t="s">
        <v>1324</v>
      </c>
      <c r="B254" t="s">
        <v>790</v>
      </c>
      <c r="D254" t="s">
        <v>4705</v>
      </c>
      <c r="E254" t="s">
        <v>1345</v>
      </c>
    </row>
    <row r="255" spans="1:5">
      <c r="A255" t="s">
        <v>1320</v>
      </c>
      <c r="B255" t="s">
        <v>4711</v>
      </c>
      <c r="C255" t="s">
        <v>4616</v>
      </c>
      <c r="D255" t="s">
        <v>4705</v>
      </c>
      <c r="E255" t="s">
        <v>1340</v>
      </c>
    </row>
    <row r="256" spans="1:5">
      <c r="A256" t="s">
        <v>1323</v>
      </c>
      <c r="B256" t="s">
        <v>4717</v>
      </c>
      <c r="C256" t="s">
        <v>4620</v>
      </c>
      <c r="D256" t="s">
        <v>4705</v>
      </c>
      <c r="E256" t="s">
        <v>1344</v>
      </c>
    </row>
    <row r="257" spans="1:5">
      <c r="A257" t="s">
        <v>4664</v>
      </c>
      <c r="B257" t="s">
        <v>683</v>
      </c>
      <c r="D257" t="s">
        <v>4705</v>
      </c>
      <c r="E257" t="s">
        <v>1332</v>
      </c>
    </row>
    <row r="258" spans="1:5">
      <c r="A258" t="s">
        <v>4977</v>
      </c>
      <c r="B258" t="s">
        <v>4552</v>
      </c>
      <c r="D258" t="s">
        <v>4693</v>
      </c>
    </row>
    <row r="259" spans="1:5">
      <c r="A259" t="s">
        <v>4915</v>
      </c>
      <c r="B259">
        <v>1305</v>
      </c>
      <c r="C259" t="s">
        <v>4549</v>
      </c>
      <c r="D259" t="s">
        <v>4693</v>
      </c>
      <c r="E259" t="s">
        <v>4916</v>
      </c>
    </row>
    <row r="260" spans="1:5">
      <c r="A260" t="s">
        <v>1358</v>
      </c>
      <c r="B260" t="s">
        <v>1047</v>
      </c>
      <c r="C260" t="s">
        <v>4646</v>
      </c>
      <c r="D260" t="s">
        <v>4705</v>
      </c>
      <c r="E260" t="s">
        <v>1349</v>
      </c>
    </row>
    <row r="261" spans="1:5">
      <c r="A261" t="s">
        <v>1770</v>
      </c>
      <c r="B261" t="s">
        <v>4811</v>
      </c>
      <c r="D261" t="s">
        <v>4870</v>
      </c>
    </row>
    <row r="262" spans="1:5">
      <c r="A262" t="s">
        <v>1647</v>
      </c>
      <c r="B262" t="s">
        <v>1438</v>
      </c>
      <c r="C262" t="s">
        <v>4557</v>
      </c>
      <c r="D262" t="s">
        <v>4732</v>
      </c>
      <c r="E262" t="s">
        <v>1477</v>
      </c>
    </row>
    <row r="263" spans="1:5">
      <c r="A263" t="s">
        <v>2067</v>
      </c>
      <c r="B263" t="s">
        <v>1366</v>
      </c>
      <c r="C263" t="s">
        <v>4447</v>
      </c>
      <c r="D263" t="s">
        <v>4732</v>
      </c>
      <c r="E263" t="s">
        <v>1457</v>
      </c>
    </row>
    <row r="264" spans="1:5">
      <c r="A264" t="s">
        <v>2092</v>
      </c>
      <c r="B264" t="s">
        <v>4742</v>
      </c>
      <c r="D264" t="s">
        <v>4732</v>
      </c>
      <c r="E264" t="s">
        <v>1497</v>
      </c>
    </row>
    <row r="265" spans="1:5">
      <c r="A265" t="s">
        <v>1422</v>
      </c>
      <c r="B265" t="s">
        <v>1272</v>
      </c>
      <c r="D265" t="s">
        <v>4688</v>
      </c>
    </row>
    <row r="266" spans="1:5">
      <c r="A266" t="s">
        <v>1414</v>
      </c>
      <c r="B266" t="s">
        <v>1279</v>
      </c>
      <c r="D266" t="s">
        <v>4719</v>
      </c>
      <c r="E266" t="s">
        <v>1309</v>
      </c>
    </row>
    <row r="267" spans="1:5">
      <c r="A267" t="s">
        <v>1594</v>
      </c>
      <c r="B267" t="s">
        <v>4412</v>
      </c>
      <c r="D267" t="s">
        <v>4690</v>
      </c>
    </row>
    <row r="268" spans="1:5">
      <c r="A268" t="s">
        <v>4978</v>
      </c>
      <c r="B268" t="s">
        <v>4412</v>
      </c>
      <c r="C268" t="s">
        <v>4408</v>
      </c>
      <c r="D268" t="s">
        <v>4690</v>
      </c>
    </row>
    <row r="269" spans="1:5">
      <c r="A269" t="s">
        <v>2072</v>
      </c>
      <c r="B269" t="s">
        <v>4760</v>
      </c>
      <c r="C269" t="s">
        <v>4508</v>
      </c>
      <c r="D269" t="s">
        <v>4732</v>
      </c>
      <c r="E269" t="s">
        <v>1467</v>
      </c>
    </row>
    <row r="270" spans="1:5">
      <c r="A270" t="s">
        <v>1635</v>
      </c>
      <c r="B270" t="s">
        <v>4979</v>
      </c>
      <c r="C270" t="s">
        <v>4537</v>
      </c>
      <c r="D270" t="s">
        <v>4690</v>
      </c>
    </row>
    <row r="271" spans="1:5">
      <c r="A271" t="s">
        <v>1593</v>
      </c>
      <c r="B271" t="s">
        <v>4396</v>
      </c>
      <c r="C271" t="s">
        <v>4397</v>
      </c>
      <c r="D271" t="s">
        <v>4732</v>
      </c>
      <c r="E271" t="s">
        <v>1450</v>
      </c>
    </row>
    <row r="272" spans="1:5">
      <c r="A272" t="s">
        <v>1601</v>
      </c>
      <c r="B272" t="s">
        <v>4413</v>
      </c>
      <c r="C272" t="s">
        <v>4408</v>
      </c>
      <c r="D272" t="s">
        <v>4690</v>
      </c>
    </row>
    <row r="273" spans="1:5">
      <c r="A273" t="s">
        <v>1654</v>
      </c>
      <c r="B273" t="s">
        <v>1442</v>
      </c>
      <c r="C273" t="s">
        <v>4502</v>
      </c>
      <c r="D273" t="s">
        <v>4690</v>
      </c>
    </row>
    <row r="274" spans="1:5">
      <c r="A274" t="s">
        <v>1616</v>
      </c>
      <c r="B274" t="s">
        <v>1372</v>
      </c>
      <c r="C274" t="s">
        <v>4447</v>
      </c>
      <c r="D274" t="s">
        <v>4732</v>
      </c>
      <c r="E274" t="s">
        <v>1460</v>
      </c>
    </row>
    <row r="275" spans="1:5">
      <c r="A275" t="s">
        <v>2079</v>
      </c>
      <c r="B275" t="s">
        <v>1441</v>
      </c>
      <c r="C275" t="s">
        <v>4362</v>
      </c>
      <c r="D275" t="s">
        <v>4732</v>
      </c>
      <c r="E275" t="s">
        <v>1479</v>
      </c>
    </row>
    <row r="276" spans="1:5">
      <c r="A276" t="s">
        <v>2071</v>
      </c>
      <c r="B276" t="s">
        <v>1377</v>
      </c>
      <c r="C276" t="s">
        <v>4505</v>
      </c>
      <c r="D276" t="s">
        <v>4690</v>
      </c>
    </row>
    <row r="277" spans="1:5">
      <c r="A277" t="s">
        <v>2095</v>
      </c>
      <c r="B277" t="s">
        <v>4809</v>
      </c>
      <c r="C277" t="s">
        <v>4377</v>
      </c>
      <c r="D277" t="s">
        <v>4690</v>
      </c>
    </row>
    <row r="278" spans="1:5">
      <c r="A278" t="s">
        <v>1670</v>
      </c>
      <c r="B278" t="s">
        <v>4574</v>
      </c>
      <c r="C278" t="s">
        <v>4575</v>
      </c>
      <c r="D278" t="s">
        <v>4690</v>
      </c>
    </row>
    <row r="279" spans="1:5">
      <c r="A279" t="s">
        <v>1700</v>
      </c>
      <c r="B279" t="s">
        <v>4741</v>
      </c>
      <c r="C279" t="s">
        <v>4357</v>
      </c>
      <c r="D279" t="s">
        <v>4732</v>
      </c>
      <c r="E279" t="s">
        <v>1498</v>
      </c>
    </row>
    <row r="280" spans="1:5">
      <c r="A280" t="s">
        <v>1407</v>
      </c>
      <c r="B280" t="s">
        <v>1274</v>
      </c>
      <c r="C280" t="s">
        <v>4570</v>
      </c>
      <c r="D280" t="s">
        <v>4719</v>
      </c>
      <c r="E280" t="s">
        <v>1302</v>
      </c>
    </row>
    <row r="281" spans="1:5">
      <c r="A281" t="s">
        <v>1656</v>
      </c>
      <c r="B281" t="s">
        <v>738</v>
      </c>
      <c r="C281" t="s">
        <v>4563</v>
      </c>
      <c r="D281" t="s">
        <v>4732</v>
      </c>
      <c r="E281" t="s">
        <v>1480</v>
      </c>
    </row>
    <row r="282" spans="1:5">
      <c r="A282" t="s">
        <v>1382</v>
      </c>
      <c r="B282" t="s">
        <v>1242</v>
      </c>
      <c r="C282" t="s">
        <v>4357</v>
      </c>
      <c r="D282" t="s">
        <v>4719</v>
      </c>
      <c r="E282" t="s">
        <v>1281</v>
      </c>
    </row>
    <row r="283" spans="1:5">
      <c r="A283" t="s">
        <v>1691</v>
      </c>
      <c r="B283" t="s">
        <v>4738</v>
      </c>
      <c r="D283" t="s">
        <v>4732</v>
      </c>
      <c r="E283" t="s">
        <v>1494</v>
      </c>
    </row>
    <row r="284" spans="1:5">
      <c r="A284" t="s">
        <v>1624</v>
      </c>
      <c r="B284" t="s">
        <v>1378</v>
      </c>
      <c r="C284" t="s">
        <v>4374</v>
      </c>
      <c r="D284" t="s">
        <v>4732</v>
      </c>
      <c r="E284" t="s">
        <v>1464</v>
      </c>
    </row>
    <row r="285" spans="1:5">
      <c r="A285" t="s">
        <v>1619</v>
      </c>
      <c r="B285" t="s">
        <v>4757</v>
      </c>
      <c r="C285" t="s">
        <v>4374</v>
      </c>
      <c r="D285" t="s">
        <v>4690</v>
      </c>
    </row>
    <row r="286" spans="1:5">
      <c r="A286" t="s">
        <v>1620</v>
      </c>
      <c r="B286" t="s">
        <v>4757</v>
      </c>
      <c r="C286" t="s">
        <v>4374</v>
      </c>
      <c r="D286" t="s">
        <v>4732</v>
      </c>
      <c r="E286" t="s">
        <v>1462</v>
      </c>
    </row>
    <row r="287" spans="1:5">
      <c r="A287" t="s">
        <v>1611</v>
      </c>
      <c r="B287" t="s">
        <v>1368</v>
      </c>
      <c r="C287" t="s">
        <v>4418</v>
      </c>
      <c r="D287" t="s">
        <v>4732</v>
      </c>
      <c r="E287" t="s">
        <v>1458</v>
      </c>
    </row>
    <row r="288" spans="1:5">
      <c r="A288" t="s">
        <v>1625</v>
      </c>
      <c r="B288" t="s">
        <v>4759</v>
      </c>
      <c r="C288" t="s">
        <v>4374</v>
      </c>
      <c r="D288" t="s">
        <v>4732</v>
      </c>
      <c r="E288" t="s">
        <v>1466</v>
      </c>
    </row>
    <row r="289" spans="1:5">
      <c r="A289" t="s">
        <v>1669</v>
      </c>
      <c r="B289" t="s">
        <v>4727</v>
      </c>
      <c r="D289" t="s">
        <v>4732</v>
      </c>
      <c r="E289" t="s">
        <v>1484</v>
      </c>
    </row>
    <row r="290" spans="1:5">
      <c r="A290" t="s">
        <v>1591</v>
      </c>
      <c r="B290" t="s">
        <v>4393</v>
      </c>
      <c r="C290" t="s">
        <v>4392</v>
      </c>
      <c r="D290" t="s">
        <v>4732</v>
      </c>
      <c r="E290" t="s">
        <v>1448</v>
      </c>
    </row>
    <row r="291" spans="1:5">
      <c r="A291" t="s">
        <v>1615</v>
      </c>
      <c r="B291" t="s">
        <v>1371</v>
      </c>
      <c r="D291" t="s">
        <v>4732</v>
      </c>
      <c r="E291" t="s">
        <v>1460</v>
      </c>
    </row>
    <row r="292" spans="1:5">
      <c r="A292" t="s">
        <v>2073</v>
      </c>
      <c r="B292" t="s">
        <v>1381</v>
      </c>
      <c r="C292" t="s">
        <v>4374</v>
      </c>
      <c r="D292" t="s">
        <v>4732</v>
      </c>
      <c r="E292" t="s">
        <v>1470</v>
      </c>
    </row>
    <row r="293" spans="1:5">
      <c r="A293" t="s">
        <v>1420</v>
      </c>
      <c r="B293" t="s">
        <v>1270</v>
      </c>
      <c r="C293" t="s">
        <v>4534</v>
      </c>
      <c r="D293" t="s">
        <v>4688</v>
      </c>
      <c r="E293" t="s">
        <v>4689</v>
      </c>
    </row>
    <row r="294" spans="1:5">
      <c r="A294" t="s">
        <v>1610</v>
      </c>
      <c r="B294" t="s">
        <v>4755</v>
      </c>
      <c r="D294" t="s">
        <v>4732</v>
      </c>
      <c r="E294" t="s">
        <v>1458</v>
      </c>
    </row>
    <row r="295" spans="1:5">
      <c r="A295" t="s">
        <v>1612</v>
      </c>
      <c r="B295" t="s">
        <v>1368</v>
      </c>
      <c r="C295" t="s">
        <v>4418</v>
      </c>
      <c r="D295" t="s">
        <v>4732</v>
      </c>
      <c r="E295" t="s">
        <v>1459</v>
      </c>
    </row>
    <row r="296" spans="1:5">
      <c r="A296" t="s">
        <v>4703</v>
      </c>
      <c r="B296">
        <v>1240</v>
      </c>
      <c r="C296" t="s">
        <v>4544</v>
      </c>
      <c r="D296" t="s">
        <v>4690</v>
      </c>
      <c r="E296" t="s">
        <v>4704</v>
      </c>
    </row>
    <row r="297" spans="1:5">
      <c r="A297" t="s">
        <v>1603</v>
      </c>
      <c r="B297" t="s">
        <v>4754</v>
      </c>
      <c r="C297" t="s">
        <v>4392</v>
      </c>
      <c r="D297" t="s">
        <v>4732</v>
      </c>
      <c r="E297" t="s">
        <v>1455</v>
      </c>
    </row>
    <row r="298" spans="1:5">
      <c r="A298" t="s">
        <v>1604</v>
      </c>
      <c r="B298" t="s">
        <v>4420</v>
      </c>
      <c r="C298" t="s">
        <v>4392</v>
      </c>
      <c r="D298" t="s">
        <v>4690</v>
      </c>
    </row>
    <row r="299" spans="1:5">
      <c r="A299" t="s">
        <v>1605</v>
      </c>
      <c r="B299" t="s">
        <v>4980</v>
      </c>
      <c r="C299" t="s">
        <v>4392</v>
      </c>
      <c r="D299" t="s">
        <v>4690</v>
      </c>
    </row>
    <row r="300" spans="1:5">
      <c r="A300" t="s">
        <v>1607</v>
      </c>
      <c r="B300" t="s">
        <v>1362</v>
      </c>
      <c r="C300" t="s">
        <v>4392</v>
      </c>
      <c r="D300" t="s">
        <v>4690</v>
      </c>
      <c r="E300" t="s">
        <v>4691</v>
      </c>
    </row>
    <row r="301" spans="1:5">
      <c r="A301" t="s">
        <v>1586</v>
      </c>
      <c r="B301" t="s">
        <v>4376</v>
      </c>
      <c r="C301" t="s">
        <v>4377</v>
      </c>
      <c r="D301" t="s">
        <v>4732</v>
      </c>
      <c r="E301" t="s">
        <v>1445</v>
      </c>
    </row>
    <row r="302" spans="1:5">
      <c r="A302" t="s">
        <v>1386</v>
      </c>
      <c r="B302" t="s">
        <v>1249</v>
      </c>
      <c r="D302" t="s">
        <v>4719</v>
      </c>
      <c r="E302" t="s">
        <v>1285</v>
      </c>
    </row>
    <row r="303" spans="1:5">
      <c r="A303" t="s">
        <v>2058</v>
      </c>
      <c r="B303" t="s">
        <v>1238</v>
      </c>
      <c r="C303" t="s">
        <v>4357</v>
      </c>
      <c r="D303" t="s">
        <v>4688</v>
      </c>
    </row>
    <row r="304" spans="1:5">
      <c r="A304" t="s">
        <v>1651</v>
      </c>
      <c r="B304" t="s">
        <v>1273</v>
      </c>
      <c r="C304" t="s">
        <v>4418</v>
      </c>
      <c r="D304" t="s">
        <v>4690</v>
      </c>
    </row>
    <row r="305" spans="1:5">
      <c r="A305" t="s">
        <v>1652</v>
      </c>
      <c r="B305" t="s">
        <v>1273</v>
      </c>
      <c r="C305" t="s">
        <v>4418</v>
      </c>
      <c r="D305" t="s">
        <v>4732</v>
      </c>
      <c r="E305" t="s">
        <v>1479</v>
      </c>
    </row>
    <row r="306" spans="1:5">
      <c r="A306" t="s">
        <v>1653</v>
      </c>
      <c r="B306" t="s">
        <v>1273</v>
      </c>
      <c r="C306" t="s">
        <v>4418</v>
      </c>
      <c r="D306" t="s">
        <v>4690</v>
      </c>
    </row>
    <row r="307" spans="1:5">
      <c r="A307" t="s">
        <v>1622</v>
      </c>
      <c r="B307" t="s">
        <v>1375</v>
      </c>
      <c r="C307" t="s">
        <v>4503</v>
      </c>
      <c r="D307" t="s">
        <v>4732</v>
      </c>
      <c r="E307" t="s">
        <v>1463</v>
      </c>
    </row>
    <row r="308" spans="1:5">
      <c r="A308" t="s">
        <v>4900</v>
      </c>
      <c r="B308">
        <v>1039</v>
      </c>
      <c r="D308" t="s">
        <v>4688</v>
      </c>
      <c r="E308" t="s">
        <v>4901</v>
      </c>
    </row>
    <row r="309" spans="1:5">
      <c r="A309" t="s">
        <v>2063</v>
      </c>
      <c r="B309" t="s">
        <v>4420</v>
      </c>
      <c r="C309" t="s">
        <v>4392</v>
      </c>
      <c r="D309" t="s">
        <v>4690</v>
      </c>
    </row>
    <row r="310" spans="1:5">
      <c r="A310" t="s">
        <v>2075</v>
      </c>
      <c r="B310" t="s">
        <v>1426</v>
      </c>
      <c r="C310" t="s">
        <v>4392</v>
      </c>
      <c r="D310" t="s">
        <v>4732</v>
      </c>
      <c r="E310" t="s">
        <v>1471</v>
      </c>
    </row>
    <row r="311" spans="1:5">
      <c r="A311" t="s">
        <v>2081</v>
      </c>
      <c r="B311" t="s">
        <v>4572</v>
      </c>
      <c r="C311" t="s">
        <v>4392</v>
      </c>
      <c r="D311" t="s">
        <v>4732</v>
      </c>
      <c r="E311" t="s">
        <v>1478</v>
      </c>
    </row>
    <row r="312" spans="1:5">
      <c r="A312" t="s">
        <v>2080</v>
      </c>
      <c r="B312" t="s">
        <v>1443</v>
      </c>
      <c r="C312" t="s">
        <v>4556</v>
      </c>
      <c r="D312" t="s">
        <v>4732</v>
      </c>
      <c r="E312" t="s">
        <v>1477</v>
      </c>
    </row>
    <row r="313" spans="1:5">
      <c r="A313" t="s">
        <v>2078</v>
      </c>
      <c r="B313" t="s">
        <v>1437</v>
      </c>
      <c r="C313" t="s">
        <v>4556</v>
      </c>
      <c r="D313" t="s">
        <v>4732</v>
      </c>
      <c r="E313" t="s">
        <v>1477</v>
      </c>
    </row>
    <row r="314" spans="1:5">
      <c r="A314" t="s">
        <v>2064</v>
      </c>
      <c r="B314" t="s">
        <v>4420</v>
      </c>
      <c r="C314" t="s">
        <v>4392</v>
      </c>
      <c r="D314" t="s">
        <v>4690</v>
      </c>
    </row>
    <row r="315" spans="1:5">
      <c r="A315" t="s">
        <v>2062</v>
      </c>
      <c r="B315" t="s">
        <v>4753</v>
      </c>
      <c r="C315" t="s">
        <v>4357</v>
      </c>
      <c r="D315" t="s">
        <v>4732</v>
      </c>
      <c r="E315" t="s">
        <v>1447</v>
      </c>
    </row>
    <row r="316" spans="1:5">
      <c r="A316" t="s">
        <v>1686</v>
      </c>
      <c r="B316" t="s">
        <v>4737</v>
      </c>
      <c r="C316" t="s">
        <v>4374</v>
      </c>
      <c r="D316" t="s">
        <v>4732</v>
      </c>
      <c r="E316" t="s">
        <v>1493</v>
      </c>
    </row>
    <row r="317" spans="1:5">
      <c r="A317" t="s">
        <v>1606</v>
      </c>
      <c r="B317" t="s">
        <v>1361</v>
      </c>
      <c r="C317" t="s">
        <v>4421</v>
      </c>
      <c r="D317" t="s">
        <v>4690</v>
      </c>
    </row>
    <row r="318" spans="1:5">
      <c r="A318" t="s">
        <v>2111</v>
      </c>
      <c r="B318" t="s">
        <v>4778</v>
      </c>
      <c r="C318" t="s">
        <v>4458</v>
      </c>
      <c r="D318" t="s">
        <v>4764</v>
      </c>
      <c r="E318" t="s">
        <v>1525</v>
      </c>
    </row>
    <row r="319" spans="1:5">
      <c r="A319" t="s">
        <v>2107</v>
      </c>
      <c r="B319" t="s">
        <v>4779</v>
      </c>
      <c r="C319" t="s">
        <v>4458</v>
      </c>
      <c r="D319" t="s">
        <v>4764</v>
      </c>
      <c r="E319" t="s">
        <v>1525</v>
      </c>
    </row>
    <row r="320" spans="1:5">
      <c r="A320" t="s">
        <v>2108</v>
      </c>
      <c r="B320" t="s">
        <v>4780</v>
      </c>
      <c r="C320" t="s">
        <v>4458</v>
      </c>
      <c r="D320" t="s">
        <v>4764</v>
      </c>
      <c r="E320" t="s">
        <v>1525</v>
      </c>
    </row>
    <row r="321" spans="1:5">
      <c r="A321" t="s">
        <v>1632</v>
      </c>
      <c r="B321" t="s">
        <v>1427</v>
      </c>
      <c r="C321" t="s">
        <v>4528</v>
      </c>
      <c r="D321" t="s">
        <v>4732</v>
      </c>
      <c r="E321" t="s">
        <v>1471</v>
      </c>
    </row>
    <row r="322" spans="1:5">
      <c r="A322" t="s">
        <v>2060</v>
      </c>
      <c r="B322" t="s">
        <v>4373</v>
      </c>
      <c r="C322" t="s">
        <v>4374</v>
      </c>
      <c r="D322" t="s">
        <v>4732</v>
      </c>
      <c r="E322" t="s">
        <v>1445</v>
      </c>
    </row>
    <row r="323" spans="1:5">
      <c r="A323" t="s">
        <v>1704</v>
      </c>
      <c r="B323" t="s">
        <v>4617</v>
      </c>
      <c r="D323" t="s">
        <v>4690</v>
      </c>
    </row>
    <row r="324" spans="1:5">
      <c r="A324" t="s">
        <v>1724</v>
      </c>
      <c r="B324" t="s">
        <v>4981</v>
      </c>
      <c r="C324" t="s">
        <v>4410</v>
      </c>
      <c r="D324" t="s">
        <v>4690</v>
      </c>
    </row>
    <row r="325" spans="1:5">
      <c r="A325" t="s">
        <v>1617</v>
      </c>
      <c r="B325" t="s">
        <v>1374</v>
      </c>
      <c r="D325" t="s">
        <v>4732</v>
      </c>
      <c r="E325" t="s">
        <v>1461</v>
      </c>
    </row>
    <row r="326" spans="1:5">
      <c r="A326" t="s">
        <v>2089</v>
      </c>
      <c r="B326" t="s">
        <v>4982</v>
      </c>
      <c r="D326" t="s">
        <v>4690</v>
      </c>
    </row>
    <row r="327" spans="1:5">
      <c r="A327" t="s">
        <v>1713</v>
      </c>
      <c r="B327" t="s">
        <v>4629</v>
      </c>
      <c r="D327" t="s">
        <v>4690</v>
      </c>
    </row>
    <row r="328" spans="1:5">
      <c r="A328" t="s">
        <v>1613</v>
      </c>
      <c r="B328" t="s">
        <v>4464</v>
      </c>
      <c r="D328" t="s">
        <v>4690</v>
      </c>
    </row>
    <row r="329" spans="1:5">
      <c r="A329" t="s">
        <v>1701</v>
      </c>
      <c r="B329" t="s">
        <v>4612</v>
      </c>
      <c r="D329" t="s">
        <v>4690</v>
      </c>
    </row>
    <row r="330" spans="1:5">
      <c r="A330" t="s">
        <v>1694</v>
      </c>
      <c r="B330" t="s">
        <v>4715</v>
      </c>
      <c r="D330" t="s">
        <v>4732</v>
      </c>
      <c r="E330" t="s">
        <v>1496</v>
      </c>
    </row>
    <row r="331" spans="1:5">
      <c r="A331" t="s">
        <v>4983</v>
      </c>
      <c r="B331" t="s">
        <v>4654</v>
      </c>
      <c r="D331" t="s">
        <v>4690</v>
      </c>
    </row>
    <row r="332" spans="1:5">
      <c r="A332" t="s">
        <v>1618</v>
      </c>
      <c r="B332" t="s">
        <v>4756</v>
      </c>
      <c r="D332" t="s">
        <v>4732</v>
      </c>
      <c r="E332" t="s">
        <v>1461</v>
      </c>
    </row>
    <row r="333" spans="1:5">
      <c r="A333" t="s">
        <v>2074</v>
      </c>
      <c r="B333" t="s">
        <v>1266</v>
      </c>
      <c r="C333" t="s">
        <v>4446</v>
      </c>
      <c r="D333" t="s">
        <v>4732</v>
      </c>
      <c r="E333" t="s">
        <v>1470</v>
      </c>
    </row>
    <row r="334" spans="1:5">
      <c r="A334" t="s">
        <v>2090</v>
      </c>
      <c r="B334" t="s">
        <v>4984</v>
      </c>
      <c r="D334" t="s">
        <v>4690</v>
      </c>
    </row>
    <row r="335" spans="1:5">
      <c r="A335" t="s">
        <v>2091</v>
      </c>
      <c r="B335" t="s">
        <v>4985</v>
      </c>
      <c r="C335" t="s">
        <v>4502</v>
      </c>
      <c r="D335" t="s">
        <v>4690</v>
      </c>
    </row>
    <row r="336" spans="1:5">
      <c r="A336" t="s">
        <v>2096</v>
      </c>
      <c r="B336" t="s">
        <v>4745</v>
      </c>
      <c r="D336" t="s">
        <v>4732</v>
      </c>
      <c r="E336" t="s">
        <v>1504</v>
      </c>
    </row>
    <row r="337" spans="1:5">
      <c r="A337" t="s">
        <v>2094</v>
      </c>
      <c r="B337" t="s">
        <v>4347</v>
      </c>
      <c r="C337" t="s">
        <v>4540</v>
      </c>
      <c r="D337" t="s">
        <v>4690</v>
      </c>
    </row>
    <row r="338" spans="1:5">
      <c r="A338" t="s">
        <v>1673</v>
      </c>
      <c r="B338" t="s">
        <v>4713</v>
      </c>
      <c r="D338" t="s">
        <v>4732</v>
      </c>
      <c r="E338" t="s">
        <v>1486</v>
      </c>
    </row>
    <row r="339" spans="1:5">
      <c r="A339" t="s">
        <v>2083</v>
      </c>
      <c r="B339" t="s">
        <v>4713</v>
      </c>
      <c r="D339" t="s">
        <v>4732</v>
      </c>
      <c r="E339" t="s">
        <v>1486</v>
      </c>
    </row>
    <row r="340" spans="1:5">
      <c r="A340" t="s">
        <v>1706</v>
      </c>
      <c r="B340" t="s">
        <v>4717</v>
      </c>
      <c r="D340" t="s">
        <v>4732</v>
      </c>
      <c r="E340" t="s">
        <v>1502</v>
      </c>
    </row>
    <row r="341" spans="1:5">
      <c r="A341" t="s">
        <v>2068</v>
      </c>
      <c r="B341" t="s">
        <v>1369</v>
      </c>
      <c r="C341" t="s">
        <v>4463</v>
      </c>
      <c r="D341" t="s">
        <v>4690</v>
      </c>
    </row>
    <row r="342" spans="1:5">
      <c r="A342" t="s">
        <v>2077</v>
      </c>
      <c r="B342" t="s">
        <v>1432</v>
      </c>
      <c r="D342" t="s">
        <v>4690</v>
      </c>
    </row>
    <row r="343" spans="1:5">
      <c r="A343" t="s">
        <v>1637</v>
      </c>
      <c r="B343" t="s">
        <v>4749</v>
      </c>
      <c r="D343" t="s">
        <v>4732</v>
      </c>
      <c r="E343" t="s">
        <v>1473</v>
      </c>
    </row>
    <row r="344" spans="1:5">
      <c r="A344" t="s">
        <v>1705</v>
      </c>
      <c r="B344" t="s">
        <v>4618</v>
      </c>
      <c r="D344" t="s">
        <v>4732</v>
      </c>
      <c r="E344" t="s">
        <v>1500</v>
      </c>
    </row>
    <row r="345" spans="1:5">
      <c r="A345" t="s">
        <v>1675</v>
      </c>
      <c r="B345" t="s">
        <v>4586</v>
      </c>
      <c r="D345" t="s">
        <v>4732</v>
      </c>
      <c r="E345" t="s">
        <v>1488</v>
      </c>
    </row>
    <row r="346" spans="1:5">
      <c r="A346" t="s">
        <v>1717</v>
      </c>
      <c r="B346" t="s">
        <v>4632</v>
      </c>
      <c r="C346" t="s">
        <v>4530</v>
      </c>
      <c r="D346" t="s">
        <v>4690</v>
      </c>
    </row>
    <row r="347" spans="1:5">
      <c r="A347" t="s">
        <v>4669</v>
      </c>
      <c r="B347" t="s">
        <v>4633</v>
      </c>
      <c r="D347" t="s">
        <v>4690</v>
      </c>
      <c r="E347" t="s">
        <v>4881</v>
      </c>
    </row>
    <row r="348" spans="1:5">
      <c r="A348" t="s">
        <v>1708</v>
      </c>
      <c r="B348" t="s">
        <v>4872</v>
      </c>
      <c r="D348" t="s">
        <v>4690</v>
      </c>
      <c r="E348" t="s">
        <v>1503</v>
      </c>
    </row>
    <row r="349" spans="1:5">
      <c r="A349" t="s">
        <v>4882</v>
      </c>
      <c r="B349" t="s">
        <v>4632</v>
      </c>
      <c r="D349" t="s">
        <v>4690</v>
      </c>
      <c r="E349" t="s">
        <v>4881</v>
      </c>
    </row>
    <row r="350" spans="1:5">
      <c r="A350" t="s">
        <v>2097</v>
      </c>
      <c r="B350" t="s">
        <v>4632</v>
      </c>
      <c r="D350" t="s">
        <v>4690</v>
      </c>
    </row>
    <row r="351" spans="1:5">
      <c r="A351" t="s">
        <v>1588</v>
      </c>
      <c r="B351" t="s">
        <v>4752</v>
      </c>
      <c r="C351" t="s">
        <v>4385</v>
      </c>
      <c r="D351" t="s">
        <v>4690</v>
      </c>
      <c r="E351" t="s">
        <v>1446</v>
      </c>
    </row>
    <row r="352" spans="1:5">
      <c r="A352" t="s">
        <v>1650</v>
      </c>
      <c r="B352" t="s">
        <v>1440</v>
      </c>
      <c r="D352" t="s">
        <v>4690</v>
      </c>
    </row>
    <row r="353" spans="1:5">
      <c r="A353" t="s">
        <v>2076</v>
      </c>
      <c r="B353" t="s">
        <v>4707</v>
      </c>
      <c r="D353" t="s">
        <v>4732</v>
      </c>
      <c r="E353" t="s">
        <v>1472</v>
      </c>
    </row>
    <row r="354" spans="1:5">
      <c r="A354" t="s">
        <v>1642</v>
      </c>
      <c r="B354" t="s">
        <v>4750</v>
      </c>
      <c r="C354" t="s">
        <v>4545</v>
      </c>
      <c r="D354" t="s">
        <v>4732</v>
      </c>
      <c r="E354" t="s">
        <v>1475</v>
      </c>
    </row>
    <row r="355" spans="1:5">
      <c r="A355" t="s">
        <v>1672</v>
      </c>
      <c r="B355" t="s">
        <v>4713</v>
      </c>
      <c r="D355" t="s">
        <v>4732</v>
      </c>
      <c r="E355" t="s">
        <v>1485</v>
      </c>
    </row>
    <row r="356" spans="1:5">
      <c r="A356" t="s">
        <v>4876</v>
      </c>
      <c r="B356" t="s">
        <v>4877</v>
      </c>
      <c r="C356" t="s">
        <v>4655</v>
      </c>
      <c r="D356" t="s">
        <v>4690</v>
      </c>
      <c r="E356" t="s">
        <v>4878</v>
      </c>
    </row>
    <row r="357" spans="1:5">
      <c r="A357" t="s">
        <v>1639</v>
      </c>
      <c r="B357" t="s">
        <v>1431</v>
      </c>
      <c r="C357" t="s">
        <v>4502</v>
      </c>
      <c r="D357" t="s">
        <v>4732</v>
      </c>
      <c r="E357" t="s">
        <v>1474</v>
      </c>
    </row>
    <row r="358" spans="1:5">
      <c r="A358" t="s">
        <v>1640</v>
      </c>
      <c r="B358" t="s">
        <v>1433</v>
      </c>
      <c r="C358" t="s">
        <v>4502</v>
      </c>
      <c r="D358" t="s">
        <v>4732</v>
      </c>
      <c r="E358" t="s">
        <v>1475</v>
      </c>
    </row>
    <row r="359" spans="1:5">
      <c r="A359" t="s">
        <v>4986</v>
      </c>
      <c r="B359" t="s">
        <v>4644</v>
      </c>
      <c r="D359" t="s">
        <v>4690</v>
      </c>
    </row>
    <row r="360" spans="1:5">
      <c r="A360" t="s">
        <v>1641</v>
      </c>
      <c r="B360" t="s">
        <v>1433</v>
      </c>
      <c r="D360" t="s">
        <v>4690</v>
      </c>
    </row>
    <row r="361" spans="1:5">
      <c r="A361" t="s">
        <v>1668</v>
      </c>
      <c r="B361" t="s">
        <v>4567</v>
      </c>
      <c r="D361" t="s">
        <v>4732</v>
      </c>
      <c r="E361" t="s">
        <v>1483</v>
      </c>
    </row>
    <row r="362" spans="1:5">
      <c r="A362" t="s">
        <v>1649</v>
      </c>
      <c r="B362" t="s">
        <v>1439</v>
      </c>
      <c r="D362" t="s">
        <v>4690</v>
      </c>
    </row>
    <row r="363" spans="1:5">
      <c r="A363" t="s">
        <v>1671</v>
      </c>
      <c r="B363" t="s">
        <v>4576</v>
      </c>
      <c r="D363" t="s">
        <v>4690</v>
      </c>
    </row>
    <row r="364" spans="1:5">
      <c r="A364" t="s">
        <v>1674</v>
      </c>
      <c r="B364" t="s">
        <v>4585</v>
      </c>
      <c r="D364" t="s">
        <v>4732</v>
      </c>
      <c r="E364" t="s">
        <v>1487</v>
      </c>
    </row>
    <row r="365" spans="1:5">
      <c r="A365" t="s">
        <v>1677</v>
      </c>
      <c r="B365" t="s">
        <v>4588</v>
      </c>
      <c r="D365" t="s">
        <v>4732</v>
      </c>
      <c r="E365" t="s">
        <v>1490</v>
      </c>
    </row>
    <row r="366" spans="1:5">
      <c r="A366" t="s">
        <v>1676</v>
      </c>
      <c r="B366" t="s">
        <v>4587</v>
      </c>
      <c r="D366" t="s">
        <v>4732</v>
      </c>
      <c r="E366" t="s">
        <v>1489</v>
      </c>
    </row>
    <row r="367" spans="1:5">
      <c r="A367" t="s">
        <v>4883</v>
      </c>
      <c r="B367" t="s">
        <v>4652</v>
      </c>
      <c r="D367" t="s">
        <v>4690</v>
      </c>
      <c r="E367" t="s">
        <v>4884</v>
      </c>
    </row>
    <row r="368" spans="1:5">
      <c r="A368" t="s">
        <v>1721</v>
      </c>
      <c r="B368" t="s">
        <v>4349</v>
      </c>
      <c r="C368" t="s">
        <v>4502</v>
      </c>
      <c r="D368" t="s">
        <v>4732</v>
      </c>
      <c r="E368" t="s">
        <v>1506</v>
      </c>
    </row>
    <row r="369" spans="1:5">
      <c r="A369" t="s">
        <v>2098</v>
      </c>
      <c r="B369" t="s">
        <v>4349</v>
      </c>
      <c r="C369" t="s">
        <v>4502</v>
      </c>
      <c r="D369" t="s">
        <v>4690</v>
      </c>
    </row>
    <row r="370" spans="1:5">
      <c r="A370" t="s">
        <v>1722</v>
      </c>
      <c r="B370" t="s">
        <v>4349</v>
      </c>
      <c r="D370" t="s">
        <v>4690</v>
      </c>
    </row>
    <row r="371" spans="1:5">
      <c r="A371" t="s">
        <v>1711</v>
      </c>
      <c r="B371" t="s">
        <v>4627</v>
      </c>
      <c r="D371" t="s">
        <v>4690</v>
      </c>
    </row>
    <row r="372" spans="1:5">
      <c r="A372" t="s">
        <v>4885</v>
      </c>
      <c r="B372" t="s">
        <v>4657</v>
      </c>
      <c r="D372" t="s">
        <v>4690</v>
      </c>
      <c r="E372" t="s">
        <v>4886</v>
      </c>
    </row>
    <row r="373" spans="1:5">
      <c r="A373" t="s">
        <v>4987</v>
      </c>
      <c r="B373" t="s">
        <v>4653</v>
      </c>
      <c r="D373" t="s">
        <v>4690</v>
      </c>
    </row>
    <row r="374" spans="1:5">
      <c r="A374" t="s">
        <v>1703</v>
      </c>
      <c r="B374" t="s">
        <v>4615</v>
      </c>
      <c r="D374" t="s">
        <v>4732</v>
      </c>
      <c r="E374" t="s">
        <v>1500</v>
      </c>
    </row>
    <row r="375" spans="1:5">
      <c r="A375" t="s">
        <v>1646</v>
      </c>
      <c r="B375" t="s">
        <v>1436</v>
      </c>
      <c r="D375" t="s">
        <v>4690</v>
      </c>
    </row>
    <row r="376" spans="1:5">
      <c r="A376" t="s">
        <v>1643</v>
      </c>
      <c r="B376" t="s">
        <v>1434</v>
      </c>
      <c r="D376" t="s">
        <v>4732</v>
      </c>
      <c r="E376" t="s">
        <v>1476</v>
      </c>
    </row>
    <row r="377" spans="1:5">
      <c r="A377" t="s">
        <v>1644</v>
      </c>
      <c r="B377" t="s">
        <v>1434</v>
      </c>
      <c r="D377" t="s">
        <v>4690</v>
      </c>
    </row>
    <row r="378" spans="1:5">
      <c r="A378" t="s">
        <v>1659</v>
      </c>
      <c r="B378" t="s">
        <v>4731</v>
      </c>
      <c r="C378" t="s">
        <v>4502</v>
      </c>
      <c r="D378" t="s">
        <v>4732</v>
      </c>
      <c r="E378" t="s">
        <v>1481</v>
      </c>
    </row>
    <row r="379" spans="1:5">
      <c r="A379" t="s">
        <v>1692</v>
      </c>
      <c r="B379" t="s">
        <v>4740</v>
      </c>
      <c r="D379" t="s">
        <v>4690</v>
      </c>
    </row>
    <row r="380" spans="1:5">
      <c r="A380" t="s">
        <v>1660</v>
      </c>
      <c r="B380" t="s">
        <v>4565</v>
      </c>
      <c r="C380" t="s">
        <v>4502</v>
      </c>
      <c r="D380" t="s">
        <v>4732</v>
      </c>
      <c r="E380" t="s">
        <v>1481</v>
      </c>
    </row>
    <row r="381" spans="1:5">
      <c r="A381" t="s">
        <v>1661</v>
      </c>
      <c r="B381" t="s">
        <v>4988</v>
      </c>
      <c r="C381" t="s">
        <v>4502</v>
      </c>
      <c r="D381" t="s">
        <v>4690</v>
      </c>
    </row>
    <row r="382" spans="1:5">
      <c r="A382" t="s">
        <v>4867</v>
      </c>
      <c r="B382" t="s">
        <v>4579</v>
      </c>
      <c r="D382" t="s">
        <v>4690</v>
      </c>
      <c r="E382" t="s">
        <v>1485</v>
      </c>
    </row>
    <row r="383" spans="1:5">
      <c r="A383" t="s">
        <v>1662</v>
      </c>
      <c r="B383" t="s">
        <v>4988</v>
      </c>
      <c r="C383" t="s">
        <v>4502</v>
      </c>
      <c r="D383" t="s">
        <v>4690</v>
      </c>
    </row>
    <row r="384" spans="1:5">
      <c r="A384" t="s">
        <v>1663</v>
      </c>
      <c r="B384" t="s">
        <v>4989</v>
      </c>
      <c r="C384" t="s">
        <v>4502</v>
      </c>
      <c r="D384" t="s">
        <v>4690</v>
      </c>
    </row>
    <row r="385" spans="1:5">
      <c r="A385" t="s">
        <v>1666</v>
      </c>
      <c r="B385" t="s">
        <v>4990</v>
      </c>
      <c r="C385" t="s">
        <v>4502</v>
      </c>
      <c r="D385" t="s">
        <v>4690</v>
      </c>
    </row>
    <row r="386" spans="1:5">
      <c r="A386" t="s">
        <v>2088</v>
      </c>
      <c r="B386" t="s">
        <v>4738</v>
      </c>
      <c r="C386" t="s">
        <v>4502</v>
      </c>
      <c r="D386" t="s">
        <v>4732</v>
      </c>
      <c r="E386" t="s">
        <v>1495</v>
      </c>
    </row>
    <row r="387" spans="1:5">
      <c r="A387" t="s">
        <v>2085</v>
      </c>
      <c r="B387" t="s">
        <v>4582</v>
      </c>
      <c r="D387" t="s">
        <v>4732</v>
      </c>
      <c r="E387" t="s">
        <v>1487</v>
      </c>
    </row>
    <row r="388" spans="1:5">
      <c r="A388" t="s">
        <v>1678</v>
      </c>
      <c r="B388" t="s">
        <v>4734</v>
      </c>
      <c r="D388" t="s">
        <v>4732</v>
      </c>
      <c r="E388" t="s">
        <v>1488</v>
      </c>
    </row>
    <row r="389" spans="1:5">
      <c r="A389" t="s">
        <v>1680</v>
      </c>
      <c r="B389" t="s">
        <v>4736</v>
      </c>
      <c r="D389" t="s">
        <v>4732</v>
      </c>
      <c r="E389" t="s">
        <v>1489</v>
      </c>
    </row>
    <row r="390" spans="1:5">
      <c r="A390" t="s">
        <v>1683</v>
      </c>
      <c r="B390" t="s">
        <v>1359</v>
      </c>
      <c r="D390" t="s">
        <v>4732</v>
      </c>
      <c r="E390" t="s">
        <v>1491</v>
      </c>
    </row>
    <row r="391" spans="1:5">
      <c r="A391" t="s">
        <v>1679</v>
      </c>
      <c r="B391" t="s">
        <v>4735</v>
      </c>
      <c r="C391" t="s">
        <v>4502</v>
      </c>
      <c r="D391" t="s">
        <v>4732</v>
      </c>
      <c r="E391" t="s">
        <v>1488</v>
      </c>
    </row>
    <row r="392" spans="1:5">
      <c r="A392" t="s">
        <v>4991</v>
      </c>
      <c r="B392" t="s">
        <v>4634</v>
      </c>
      <c r="D392" t="s">
        <v>4690</v>
      </c>
    </row>
    <row r="393" spans="1:5">
      <c r="A393" t="s">
        <v>2093</v>
      </c>
      <c r="B393" t="s">
        <v>4618</v>
      </c>
      <c r="D393" t="s">
        <v>4732</v>
      </c>
      <c r="E393" t="s">
        <v>1501</v>
      </c>
    </row>
    <row r="394" spans="1:5">
      <c r="A394" t="s">
        <v>1695</v>
      </c>
      <c r="B394" t="s">
        <v>4605</v>
      </c>
      <c r="D394" t="s">
        <v>4732</v>
      </c>
      <c r="E394" t="s">
        <v>1497</v>
      </c>
    </row>
    <row r="395" spans="1:5">
      <c r="A395" t="s">
        <v>1687</v>
      </c>
      <c r="B395" t="s">
        <v>4597</v>
      </c>
      <c r="D395" t="s">
        <v>4690</v>
      </c>
    </row>
    <row r="396" spans="1:5">
      <c r="A396" t="s">
        <v>4992</v>
      </c>
      <c r="B396" t="s">
        <v>4644</v>
      </c>
      <c r="D396" t="s">
        <v>4690</v>
      </c>
    </row>
    <row r="397" spans="1:5">
      <c r="A397" t="s">
        <v>1707</v>
      </c>
      <c r="B397" t="s">
        <v>4623</v>
      </c>
      <c r="D397" t="s">
        <v>4690</v>
      </c>
    </row>
    <row r="398" spans="1:5">
      <c r="A398" t="s">
        <v>1696</v>
      </c>
      <c r="B398" t="s">
        <v>4605</v>
      </c>
      <c r="D398" t="s">
        <v>4690</v>
      </c>
    </row>
    <row r="399" spans="1:5">
      <c r="A399" t="s">
        <v>1710</v>
      </c>
      <c r="B399" t="s">
        <v>4625</v>
      </c>
      <c r="D399" t="s">
        <v>4732</v>
      </c>
      <c r="E399" t="s">
        <v>1501</v>
      </c>
    </row>
    <row r="400" spans="1:5">
      <c r="A400" t="s">
        <v>2087</v>
      </c>
      <c r="B400" t="s">
        <v>4590</v>
      </c>
      <c r="D400" t="s">
        <v>4732</v>
      </c>
      <c r="E400" t="s">
        <v>1492</v>
      </c>
    </row>
    <row r="401" spans="1:5">
      <c r="A401" t="s">
        <v>1698</v>
      </c>
      <c r="B401" t="s">
        <v>4608</v>
      </c>
      <c r="D401" t="s">
        <v>4690</v>
      </c>
    </row>
    <row r="402" spans="1:5">
      <c r="A402" t="s">
        <v>1702</v>
      </c>
      <c r="B402" t="s">
        <v>4993</v>
      </c>
      <c r="D402" t="s">
        <v>4690</v>
      </c>
    </row>
    <row r="403" spans="1:5">
      <c r="A403" t="s">
        <v>1631</v>
      </c>
      <c r="B403" t="s">
        <v>4747</v>
      </c>
      <c r="C403" t="s">
        <v>4502</v>
      </c>
      <c r="D403" t="s">
        <v>4732</v>
      </c>
      <c r="E403" t="s">
        <v>1471</v>
      </c>
    </row>
    <row r="404" spans="1:5">
      <c r="A404" t="s">
        <v>1693</v>
      </c>
      <c r="B404" t="s">
        <v>4740</v>
      </c>
      <c r="D404" t="s">
        <v>4732</v>
      </c>
      <c r="E404" t="s">
        <v>1496</v>
      </c>
    </row>
    <row r="405" spans="1:5">
      <c r="A405" t="s">
        <v>1714</v>
      </c>
      <c r="B405" t="s">
        <v>4630</v>
      </c>
      <c r="D405" t="s">
        <v>4690</v>
      </c>
    </row>
    <row r="406" spans="1:5">
      <c r="A406" t="s">
        <v>2084</v>
      </c>
      <c r="B406" t="s">
        <v>4581</v>
      </c>
      <c r="C406" t="s">
        <v>4502</v>
      </c>
      <c r="D406" t="s">
        <v>4690</v>
      </c>
    </row>
    <row r="407" spans="1:5">
      <c r="A407" t="s">
        <v>1648</v>
      </c>
      <c r="B407" t="s">
        <v>4723</v>
      </c>
      <c r="D407" t="s">
        <v>4732</v>
      </c>
      <c r="E407" t="s">
        <v>1478</v>
      </c>
    </row>
    <row r="408" spans="1:5">
      <c r="A408" t="s">
        <v>4865</v>
      </c>
      <c r="B408" t="s">
        <v>4578</v>
      </c>
      <c r="D408" t="s">
        <v>4690</v>
      </c>
      <c r="E408" t="s">
        <v>4866</v>
      </c>
    </row>
    <row r="409" spans="1:5">
      <c r="A409" t="s">
        <v>1658</v>
      </c>
      <c r="B409" t="s">
        <v>4994</v>
      </c>
      <c r="C409" t="s">
        <v>4502</v>
      </c>
      <c r="D409" t="s">
        <v>4690</v>
      </c>
    </row>
    <row r="410" spans="1:5">
      <c r="A410" t="s">
        <v>1664</v>
      </c>
      <c r="B410" t="s">
        <v>4988</v>
      </c>
      <c r="C410" t="s">
        <v>4502</v>
      </c>
      <c r="D410" t="s">
        <v>4690</v>
      </c>
    </row>
    <row r="411" spans="1:5">
      <c r="A411" t="s">
        <v>1684</v>
      </c>
      <c r="B411" t="s">
        <v>4593</v>
      </c>
      <c r="C411" t="s">
        <v>4502</v>
      </c>
      <c r="D411" t="s">
        <v>4732</v>
      </c>
      <c r="E411" t="s">
        <v>1492</v>
      </c>
    </row>
    <row r="412" spans="1:5">
      <c r="A412" t="s">
        <v>1685</v>
      </c>
      <c r="B412" t="s">
        <v>4995</v>
      </c>
      <c r="D412" t="s">
        <v>4690</v>
      </c>
    </row>
    <row r="413" spans="1:5">
      <c r="A413" t="s">
        <v>1715</v>
      </c>
      <c r="B413" t="s">
        <v>4630</v>
      </c>
      <c r="D413" t="s">
        <v>4690</v>
      </c>
    </row>
    <row r="414" spans="1:5">
      <c r="A414" t="s">
        <v>1716</v>
      </c>
      <c r="B414" t="s">
        <v>4630</v>
      </c>
      <c r="D414" t="s">
        <v>4732</v>
      </c>
      <c r="E414" t="s">
        <v>1504</v>
      </c>
    </row>
    <row r="415" spans="1:5">
      <c r="A415" t="s">
        <v>4996</v>
      </c>
      <c r="B415" t="s">
        <v>4579</v>
      </c>
      <c r="D415" t="s">
        <v>4690</v>
      </c>
    </row>
    <row r="416" spans="1:5">
      <c r="A416" t="s">
        <v>1667</v>
      </c>
      <c r="B416" t="s">
        <v>4733</v>
      </c>
      <c r="D416" t="s">
        <v>4732</v>
      </c>
      <c r="E416" t="s">
        <v>1483</v>
      </c>
    </row>
    <row r="417" spans="1:5">
      <c r="A417" t="s">
        <v>1630</v>
      </c>
      <c r="B417" t="s">
        <v>4762</v>
      </c>
      <c r="C417" t="s">
        <v>4515</v>
      </c>
      <c r="D417" t="s">
        <v>4732</v>
      </c>
      <c r="E417" t="s">
        <v>1469</v>
      </c>
    </row>
    <row r="418" spans="1:5">
      <c r="A418" t="s">
        <v>1392</v>
      </c>
      <c r="B418" t="s">
        <v>1255</v>
      </c>
      <c r="C418" t="s">
        <v>4418</v>
      </c>
      <c r="D418" t="s">
        <v>4719</v>
      </c>
      <c r="E418" t="s">
        <v>1290</v>
      </c>
    </row>
    <row r="419" spans="1:5">
      <c r="A419" t="s">
        <v>1681</v>
      </c>
      <c r="B419" t="s">
        <v>4736</v>
      </c>
      <c r="D419" t="s">
        <v>4732</v>
      </c>
      <c r="E419" t="s">
        <v>1491</v>
      </c>
    </row>
    <row r="420" spans="1:5">
      <c r="A420" t="s">
        <v>4879</v>
      </c>
      <c r="B420">
        <v>1299</v>
      </c>
      <c r="D420" t="s">
        <v>4690</v>
      </c>
      <c r="E420" t="s">
        <v>4878</v>
      </c>
    </row>
    <row r="421" spans="1:5">
      <c r="A421" t="s">
        <v>2100</v>
      </c>
      <c r="B421" t="s">
        <v>4997</v>
      </c>
      <c r="D421" t="s">
        <v>4690</v>
      </c>
    </row>
    <row r="422" spans="1:5">
      <c r="A422" t="s">
        <v>1688</v>
      </c>
      <c r="B422" t="s">
        <v>4998</v>
      </c>
      <c r="D422" t="s">
        <v>4690</v>
      </c>
    </row>
    <row r="423" spans="1:5">
      <c r="A423" t="s">
        <v>2044</v>
      </c>
      <c r="B423" t="s">
        <v>1258</v>
      </c>
      <c r="C423" t="s">
        <v>4365</v>
      </c>
      <c r="D423" t="s">
        <v>4719</v>
      </c>
      <c r="E423" t="s">
        <v>1292</v>
      </c>
    </row>
    <row r="424" spans="1:5">
      <c r="A424" t="s">
        <v>2099</v>
      </c>
      <c r="B424" t="s">
        <v>1044</v>
      </c>
      <c r="C424" t="s">
        <v>4641</v>
      </c>
      <c r="D424" t="s">
        <v>4732</v>
      </c>
      <c r="E424" t="s">
        <v>1507</v>
      </c>
    </row>
    <row r="425" spans="1:5">
      <c r="A425" t="s">
        <v>1718</v>
      </c>
      <c r="B425" t="s">
        <v>4746</v>
      </c>
      <c r="D425" t="s">
        <v>4732</v>
      </c>
      <c r="E425" t="s">
        <v>1505</v>
      </c>
    </row>
    <row r="426" spans="1:5">
      <c r="A426" t="s">
        <v>1627</v>
      </c>
      <c r="B426" t="s">
        <v>4760</v>
      </c>
      <c r="C426" t="s">
        <v>4509</v>
      </c>
      <c r="D426" t="s">
        <v>4732</v>
      </c>
      <c r="E426" t="s">
        <v>1467</v>
      </c>
    </row>
    <row r="427" spans="1:5">
      <c r="A427" t="s">
        <v>1585</v>
      </c>
      <c r="B427" t="s">
        <v>4999</v>
      </c>
      <c r="C427" t="s">
        <v>4372</v>
      </c>
      <c r="D427" t="s">
        <v>4690</v>
      </c>
    </row>
    <row r="428" spans="1:5">
      <c r="A428" t="s">
        <v>1628</v>
      </c>
      <c r="B428" t="s">
        <v>4761</v>
      </c>
      <c r="C428" t="s">
        <v>4374</v>
      </c>
      <c r="D428" t="s">
        <v>4732</v>
      </c>
      <c r="E428" t="s">
        <v>1468</v>
      </c>
    </row>
    <row r="429" spans="1:5">
      <c r="A429" t="s">
        <v>1738</v>
      </c>
      <c r="B429" t="s">
        <v>4776</v>
      </c>
      <c r="C429" t="s">
        <v>4362</v>
      </c>
      <c r="D429" t="s">
        <v>4764</v>
      </c>
      <c r="E429" t="s">
        <v>1518</v>
      </c>
    </row>
    <row r="430" spans="1:5">
      <c r="A430" t="s">
        <v>1589</v>
      </c>
      <c r="B430" t="s">
        <v>4386</v>
      </c>
      <c r="C430" t="s">
        <v>4387</v>
      </c>
      <c r="D430" t="s">
        <v>4690</v>
      </c>
      <c r="E430" t="s">
        <v>1454</v>
      </c>
    </row>
    <row r="431" spans="1:5">
      <c r="A431" t="s">
        <v>1614</v>
      </c>
      <c r="B431" t="s">
        <v>1370</v>
      </c>
      <c r="C431" t="s">
        <v>4455</v>
      </c>
      <c r="D431" t="s">
        <v>4732</v>
      </c>
      <c r="E431" t="s">
        <v>1459</v>
      </c>
    </row>
    <row r="432" spans="1:5">
      <c r="A432" t="s">
        <v>1697</v>
      </c>
      <c r="B432" t="s">
        <v>4730</v>
      </c>
      <c r="D432" t="s">
        <v>4732</v>
      </c>
      <c r="E432" t="s">
        <v>1498</v>
      </c>
    </row>
    <row r="433" spans="1:5">
      <c r="A433" t="s">
        <v>2065</v>
      </c>
      <c r="B433" t="s">
        <v>1363</v>
      </c>
      <c r="C433" t="s">
        <v>4362</v>
      </c>
      <c r="D433" t="s">
        <v>4690</v>
      </c>
      <c r="E433" t="s">
        <v>4692</v>
      </c>
    </row>
    <row r="434" spans="1:5">
      <c r="A434" t="s">
        <v>2066</v>
      </c>
      <c r="B434" t="s">
        <v>1365</v>
      </c>
      <c r="C434" t="s">
        <v>4374</v>
      </c>
      <c r="D434" t="s">
        <v>4732</v>
      </c>
      <c r="E434" t="s">
        <v>1456</v>
      </c>
    </row>
    <row r="435" spans="1:5">
      <c r="A435" t="s">
        <v>1623</v>
      </c>
      <c r="B435" t="s">
        <v>1376</v>
      </c>
      <c r="C435" t="s">
        <v>4374</v>
      </c>
      <c r="D435" t="s">
        <v>4732</v>
      </c>
      <c r="E435" t="s">
        <v>1465</v>
      </c>
    </row>
    <row r="436" spans="1:5">
      <c r="A436" t="s">
        <v>4880</v>
      </c>
      <c r="B436">
        <v>1304</v>
      </c>
      <c r="C436" t="s">
        <v>4374</v>
      </c>
      <c r="D436" t="s">
        <v>4690</v>
      </c>
      <c r="E436" t="s">
        <v>4878</v>
      </c>
    </row>
    <row r="437" spans="1:5">
      <c r="A437" t="s">
        <v>1629</v>
      </c>
      <c r="B437" t="s">
        <v>1380</v>
      </c>
      <c r="D437" t="s">
        <v>4732</v>
      </c>
      <c r="E437" t="s">
        <v>1468</v>
      </c>
    </row>
    <row r="438" spans="1:5">
      <c r="A438" t="s">
        <v>1655</v>
      </c>
      <c r="B438" t="s">
        <v>4751</v>
      </c>
      <c r="D438" t="s">
        <v>4732</v>
      </c>
      <c r="E438" t="s">
        <v>1480</v>
      </c>
    </row>
    <row r="439" spans="1:5">
      <c r="A439" t="s">
        <v>2043</v>
      </c>
      <c r="B439" t="s">
        <v>1254</v>
      </c>
      <c r="C439" t="s">
        <v>4441</v>
      </c>
      <c r="D439" t="s">
        <v>4719</v>
      </c>
      <c r="E439" t="s">
        <v>1289</v>
      </c>
    </row>
    <row r="440" spans="1:5">
      <c r="A440" t="s">
        <v>1665</v>
      </c>
      <c r="B440" t="s">
        <v>4566</v>
      </c>
      <c r="D440" t="s">
        <v>4732</v>
      </c>
      <c r="E440" t="s">
        <v>1482</v>
      </c>
    </row>
    <row r="441" spans="1:5">
      <c r="A441" t="s">
        <v>1402</v>
      </c>
      <c r="B441" t="s">
        <v>1266</v>
      </c>
      <c r="C441" t="s">
        <v>4357</v>
      </c>
      <c r="D441" t="s">
        <v>4719</v>
      </c>
      <c r="E441" t="s">
        <v>1296</v>
      </c>
    </row>
    <row r="442" spans="1:5">
      <c r="A442" t="s">
        <v>1418</v>
      </c>
      <c r="B442" t="s">
        <v>4700</v>
      </c>
      <c r="C442" t="s">
        <v>4453</v>
      </c>
      <c r="D442" t="s">
        <v>4688</v>
      </c>
      <c r="E442" t="s">
        <v>4701</v>
      </c>
    </row>
    <row r="443" spans="1:5">
      <c r="A443" t="s">
        <v>2042</v>
      </c>
      <c r="B443" t="s">
        <v>1250</v>
      </c>
      <c r="C443" t="s">
        <v>4445</v>
      </c>
      <c r="D443" t="s">
        <v>4719</v>
      </c>
      <c r="E443" t="s">
        <v>1286</v>
      </c>
    </row>
    <row r="444" spans="1:5">
      <c r="A444" t="s">
        <v>2059</v>
      </c>
      <c r="B444" t="s">
        <v>1241</v>
      </c>
      <c r="C444" t="s">
        <v>4357</v>
      </c>
      <c r="D444" t="s">
        <v>4688</v>
      </c>
      <c r="E444" t="s">
        <v>4699</v>
      </c>
    </row>
    <row r="445" spans="1:5">
      <c r="A445" t="s">
        <v>5000</v>
      </c>
      <c r="B445">
        <v>1136</v>
      </c>
      <c r="C445" t="s">
        <v>4462</v>
      </c>
      <c r="D445" t="s">
        <v>4688</v>
      </c>
    </row>
    <row r="446" spans="1:5">
      <c r="A446" t="s">
        <v>1415</v>
      </c>
      <c r="B446" t="s">
        <v>1243</v>
      </c>
      <c r="D446" t="s">
        <v>4688</v>
      </c>
    </row>
    <row r="447" spans="1:5">
      <c r="A447" t="s">
        <v>1399</v>
      </c>
      <c r="B447" t="s">
        <v>666</v>
      </c>
      <c r="C447" t="s">
        <v>4357</v>
      </c>
      <c r="D447" t="s">
        <v>4719</v>
      </c>
      <c r="E447" t="s">
        <v>1295</v>
      </c>
    </row>
    <row r="448" spans="1:5">
      <c r="A448" t="s">
        <v>1400</v>
      </c>
      <c r="B448" t="s">
        <v>1266</v>
      </c>
      <c r="C448" t="s">
        <v>4357</v>
      </c>
      <c r="D448" t="s">
        <v>4719</v>
      </c>
      <c r="E448" t="s">
        <v>1295</v>
      </c>
    </row>
    <row r="449" spans="1:5">
      <c r="A449" t="s">
        <v>1396</v>
      </c>
      <c r="B449" t="s">
        <v>4721</v>
      </c>
      <c r="D449" t="s">
        <v>4719</v>
      </c>
      <c r="E449" t="s">
        <v>1293</v>
      </c>
    </row>
    <row r="450" spans="1:5">
      <c r="A450" t="s">
        <v>1385</v>
      </c>
      <c r="B450" t="s">
        <v>1247</v>
      </c>
      <c r="C450" t="s">
        <v>4357</v>
      </c>
      <c r="D450" t="s">
        <v>4719</v>
      </c>
      <c r="E450" t="s">
        <v>1284</v>
      </c>
    </row>
    <row r="451" spans="1:5">
      <c r="A451" t="s">
        <v>2048</v>
      </c>
      <c r="B451" t="s">
        <v>4723</v>
      </c>
      <c r="C451" t="s">
        <v>4549</v>
      </c>
      <c r="D451" t="s">
        <v>4719</v>
      </c>
      <c r="E451" t="s">
        <v>1297</v>
      </c>
    </row>
    <row r="452" spans="1:5">
      <c r="A452" t="s">
        <v>1387</v>
      </c>
      <c r="B452" t="s">
        <v>1251</v>
      </c>
      <c r="C452" t="s">
        <v>4451</v>
      </c>
      <c r="D452" t="s">
        <v>4719</v>
      </c>
      <c r="E452" t="s">
        <v>1285</v>
      </c>
    </row>
    <row r="453" spans="1:5">
      <c r="A453" t="s">
        <v>1388</v>
      </c>
      <c r="B453" t="s">
        <v>1252</v>
      </c>
      <c r="C453" t="s">
        <v>4451</v>
      </c>
      <c r="D453" t="s">
        <v>4719</v>
      </c>
      <c r="E453" t="s">
        <v>1287</v>
      </c>
    </row>
    <row r="454" spans="1:5">
      <c r="A454" t="s">
        <v>1405</v>
      </c>
      <c r="B454" t="s">
        <v>1269</v>
      </c>
      <c r="D454" t="s">
        <v>4719</v>
      </c>
      <c r="E454" t="s">
        <v>1300</v>
      </c>
    </row>
    <row r="455" spans="1:5">
      <c r="A455" t="s">
        <v>2112</v>
      </c>
      <c r="B455" t="s">
        <v>4758</v>
      </c>
      <c r="D455" t="s">
        <v>4764</v>
      </c>
      <c r="E455" t="s">
        <v>1531</v>
      </c>
    </row>
    <row r="456" spans="1:5">
      <c r="A456" t="s">
        <v>2046</v>
      </c>
      <c r="B456" t="s">
        <v>1263</v>
      </c>
      <c r="C456" t="s">
        <v>4357</v>
      </c>
      <c r="D456" t="s">
        <v>4719</v>
      </c>
      <c r="E456" t="s">
        <v>1294</v>
      </c>
    </row>
    <row r="457" spans="1:5">
      <c r="A457" t="s">
        <v>4888</v>
      </c>
      <c r="B457" t="s">
        <v>4889</v>
      </c>
      <c r="C457" t="s">
        <v>4363</v>
      </c>
      <c r="D457" t="s">
        <v>4688</v>
      </c>
      <c r="E457" t="s">
        <v>1282</v>
      </c>
    </row>
    <row r="458" spans="1:5">
      <c r="A458" t="s">
        <v>2039</v>
      </c>
      <c r="B458" t="s">
        <v>1239</v>
      </c>
      <c r="D458" t="s">
        <v>4719</v>
      </c>
      <c r="E458" t="s">
        <v>1282</v>
      </c>
    </row>
    <row r="459" spans="1:5">
      <c r="A459" t="s">
        <v>1389</v>
      </c>
      <c r="B459" t="s">
        <v>1252</v>
      </c>
      <c r="C459" t="s">
        <v>4451</v>
      </c>
      <c r="D459" t="s">
        <v>4719</v>
      </c>
      <c r="E459" t="s">
        <v>1287</v>
      </c>
    </row>
    <row r="460" spans="1:5">
      <c r="A460" t="s">
        <v>1755</v>
      </c>
      <c r="B460" t="s">
        <v>4547</v>
      </c>
      <c r="D460" t="s">
        <v>4764</v>
      </c>
      <c r="E460" t="s">
        <v>1538</v>
      </c>
    </row>
    <row r="461" spans="1:5">
      <c r="A461" t="s">
        <v>2050</v>
      </c>
      <c r="B461" t="s">
        <v>1267</v>
      </c>
      <c r="C461" t="s">
        <v>4357</v>
      </c>
      <c r="D461" t="s">
        <v>4719</v>
      </c>
      <c r="E461" t="s">
        <v>1298</v>
      </c>
    </row>
    <row r="462" spans="1:5">
      <c r="A462" t="s">
        <v>1423</v>
      </c>
      <c r="B462" t="s">
        <v>1273</v>
      </c>
      <c r="C462" t="s">
        <v>4418</v>
      </c>
      <c r="D462" t="s">
        <v>4688</v>
      </c>
      <c r="E462" t="s">
        <v>4702</v>
      </c>
    </row>
    <row r="463" spans="1:5">
      <c r="A463" t="s">
        <v>1421</v>
      </c>
      <c r="B463" t="s">
        <v>1271</v>
      </c>
      <c r="D463" t="s">
        <v>4688</v>
      </c>
    </row>
    <row r="464" spans="1:5">
      <c r="A464" t="s">
        <v>4933</v>
      </c>
      <c r="B464" t="s">
        <v>4934</v>
      </c>
      <c r="D464" t="s">
        <v>4688</v>
      </c>
      <c r="E464" t="s">
        <v>4935</v>
      </c>
    </row>
    <row r="465" spans="1:5">
      <c r="A465" t="s">
        <v>1413</v>
      </c>
      <c r="B465" t="s">
        <v>414</v>
      </c>
      <c r="D465" t="s">
        <v>4719</v>
      </c>
      <c r="E465" t="s">
        <v>1308</v>
      </c>
    </row>
    <row r="466" spans="1:5">
      <c r="A466" t="s">
        <v>2055</v>
      </c>
      <c r="B466" t="s">
        <v>4728</v>
      </c>
      <c r="D466" t="s">
        <v>4719</v>
      </c>
      <c r="E466" t="s">
        <v>1304</v>
      </c>
    </row>
    <row r="467" spans="1:5">
      <c r="A467" t="s">
        <v>1412</v>
      </c>
      <c r="B467" t="s">
        <v>4730</v>
      </c>
      <c r="D467" t="s">
        <v>4719</v>
      </c>
      <c r="E467" t="s">
        <v>1307</v>
      </c>
    </row>
    <row r="468" spans="1:5">
      <c r="A468" t="s">
        <v>2047</v>
      </c>
      <c r="B468" t="s">
        <v>1264</v>
      </c>
      <c r="C468" t="s">
        <v>4357</v>
      </c>
      <c r="D468" t="s">
        <v>4719</v>
      </c>
      <c r="E468" t="s">
        <v>1310</v>
      </c>
    </row>
    <row r="469" spans="1:5">
      <c r="A469" t="s">
        <v>1404</v>
      </c>
      <c r="B469" t="s">
        <v>1269</v>
      </c>
      <c r="D469" t="s">
        <v>4719</v>
      </c>
      <c r="E469" t="s">
        <v>1300</v>
      </c>
    </row>
    <row r="470" spans="1:5">
      <c r="A470" t="s">
        <v>2040</v>
      </c>
      <c r="B470" t="s">
        <v>4720</v>
      </c>
      <c r="C470" t="s">
        <v>4418</v>
      </c>
      <c r="D470" t="s">
        <v>4719</v>
      </c>
      <c r="E470" t="s">
        <v>1283</v>
      </c>
    </row>
    <row r="471" spans="1:5">
      <c r="A471" t="s">
        <v>1393</v>
      </c>
      <c r="B471" t="s">
        <v>592</v>
      </c>
      <c r="D471" t="s">
        <v>4719</v>
      </c>
      <c r="E471" t="s">
        <v>1290</v>
      </c>
    </row>
    <row r="472" spans="1:5">
      <c r="A472" t="s">
        <v>1390</v>
      </c>
      <c r="B472" t="s">
        <v>1259</v>
      </c>
      <c r="C472" t="s">
        <v>4445</v>
      </c>
      <c r="D472" t="s">
        <v>4719</v>
      </c>
      <c r="E472" t="s">
        <v>1288</v>
      </c>
    </row>
    <row r="473" spans="1:5">
      <c r="A473" t="s">
        <v>5001</v>
      </c>
      <c r="B473" t="s">
        <v>4647</v>
      </c>
      <c r="D473" t="s">
        <v>4688</v>
      </c>
    </row>
    <row r="474" spans="1:5">
      <c r="A474" t="s">
        <v>1408</v>
      </c>
      <c r="B474" t="s">
        <v>1275</v>
      </c>
      <c r="D474" t="s">
        <v>4719</v>
      </c>
      <c r="E474" t="s">
        <v>1303</v>
      </c>
    </row>
    <row r="475" spans="1:5">
      <c r="A475" t="s">
        <v>1424</v>
      </c>
      <c r="B475" t="s">
        <v>1278</v>
      </c>
      <c r="D475" t="s">
        <v>4688</v>
      </c>
    </row>
    <row r="476" spans="1:5">
      <c r="A476" t="s">
        <v>2052</v>
      </c>
      <c r="B476" t="s">
        <v>751</v>
      </c>
      <c r="D476" t="s">
        <v>4719</v>
      </c>
      <c r="E476" t="s">
        <v>1302</v>
      </c>
    </row>
    <row r="477" spans="1:5">
      <c r="A477" t="s">
        <v>4943</v>
      </c>
      <c r="B477">
        <v>1301</v>
      </c>
      <c r="C477" t="s">
        <v>4649</v>
      </c>
      <c r="D477" t="s">
        <v>4688</v>
      </c>
      <c r="E477" t="s">
        <v>1309</v>
      </c>
    </row>
    <row r="478" spans="1:5">
      <c r="A478" t="s">
        <v>1406</v>
      </c>
      <c r="B478" t="s">
        <v>1268</v>
      </c>
      <c r="D478" t="s">
        <v>4719</v>
      </c>
      <c r="E478" t="s">
        <v>1301</v>
      </c>
    </row>
    <row r="479" spans="1:5">
      <c r="A479" t="s">
        <v>2057</v>
      </c>
      <c r="B479" t="s">
        <v>778</v>
      </c>
      <c r="D479" t="s">
        <v>4719</v>
      </c>
      <c r="E479" t="s">
        <v>1307</v>
      </c>
    </row>
    <row r="480" spans="1:5">
      <c r="A480" t="s">
        <v>1419</v>
      </c>
      <c r="B480" t="s">
        <v>1262</v>
      </c>
      <c r="D480" t="s">
        <v>4688</v>
      </c>
    </row>
    <row r="481" spans="1:5">
      <c r="A481" t="s">
        <v>1409</v>
      </c>
      <c r="B481" t="s">
        <v>1276</v>
      </c>
      <c r="D481" t="s">
        <v>4719</v>
      </c>
      <c r="E481" t="s">
        <v>1305</v>
      </c>
    </row>
    <row r="482" spans="1:5">
      <c r="A482" t="s">
        <v>1394</v>
      </c>
      <c r="B482" t="s">
        <v>1256</v>
      </c>
      <c r="C482" t="s">
        <v>4357</v>
      </c>
      <c r="D482" t="s">
        <v>4719</v>
      </c>
      <c r="E482" t="s">
        <v>1291</v>
      </c>
    </row>
    <row r="483" spans="1:5">
      <c r="A483" t="s">
        <v>1395</v>
      </c>
      <c r="B483" t="s">
        <v>1257</v>
      </c>
      <c r="D483" t="s">
        <v>4719</v>
      </c>
      <c r="E483" t="s">
        <v>1291</v>
      </c>
    </row>
    <row r="484" spans="1:5">
      <c r="A484" t="s">
        <v>1416</v>
      </c>
      <c r="B484" t="s">
        <v>1244</v>
      </c>
      <c r="C484" t="s">
        <v>4357</v>
      </c>
      <c r="D484" t="s">
        <v>4688</v>
      </c>
    </row>
    <row r="485" spans="1:5">
      <c r="A485" t="s">
        <v>1411</v>
      </c>
      <c r="B485" t="s">
        <v>1020</v>
      </c>
      <c r="D485" t="s">
        <v>4719</v>
      </c>
      <c r="E485" t="s">
        <v>1306</v>
      </c>
    </row>
    <row r="486" spans="1:5">
      <c r="A486" t="s">
        <v>2041</v>
      </c>
      <c r="B486" t="s">
        <v>1248</v>
      </c>
      <c r="C486" t="s">
        <v>4416</v>
      </c>
      <c r="D486" t="s">
        <v>4719</v>
      </c>
      <c r="E486" t="s">
        <v>1284</v>
      </c>
    </row>
    <row r="487" spans="1:5">
      <c r="A487" t="s">
        <v>1398</v>
      </c>
      <c r="B487" t="s">
        <v>110</v>
      </c>
      <c r="C487" t="s">
        <v>4510</v>
      </c>
      <c r="D487" t="s">
        <v>4719</v>
      </c>
      <c r="E487" t="s">
        <v>1294</v>
      </c>
    </row>
    <row r="488" spans="1:5">
      <c r="A488" t="s">
        <v>1391</v>
      </c>
      <c r="B488" t="s">
        <v>1253</v>
      </c>
      <c r="C488" t="s">
        <v>4447</v>
      </c>
      <c r="D488" t="s">
        <v>4719</v>
      </c>
      <c r="E488" t="s">
        <v>1289</v>
      </c>
    </row>
    <row r="489" spans="1:5">
      <c r="A489" t="s">
        <v>2054</v>
      </c>
      <c r="B489" t="s">
        <v>760</v>
      </c>
      <c r="C489" t="s">
        <v>4502</v>
      </c>
      <c r="D489" t="s">
        <v>4719</v>
      </c>
      <c r="E489" t="s">
        <v>1304</v>
      </c>
    </row>
    <row r="490" spans="1:5">
      <c r="A490" t="s">
        <v>2056</v>
      </c>
      <c r="B490" t="s">
        <v>4729</v>
      </c>
      <c r="C490" t="s">
        <v>4614</v>
      </c>
      <c r="D490" t="s">
        <v>4719</v>
      </c>
      <c r="E490" t="s">
        <v>1306</v>
      </c>
    </row>
    <row r="491" spans="1:5">
      <c r="A491" t="s">
        <v>1384</v>
      </c>
      <c r="B491" t="s">
        <v>1245</v>
      </c>
      <c r="C491" t="s">
        <v>4357</v>
      </c>
      <c r="D491" t="s">
        <v>4719</v>
      </c>
      <c r="E491" t="s">
        <v>1283</v>
      </c>
    </row>
    <row r="492" spans="1:5">
      <c r="A492" t="s">
        <v>1401</v>
      </c>
      <c r="B492" t="s">
        <v>1265</v>
      </c>
      <c r="D492" t="s">
        <v>4719</v>
      </c>
      <c r="E492" t="s">
        <v>1296</v>
      </c>
    </row>
    <row r="493" spans="1:5">
      <c r="A493" t="s">
        <v>4908</v>
      </c>
      <c r="B493">
        <v>1143</v>
      </c>
      <c r="C493" t="s">
        <v>4447</v>
      </c>
      <c r="D493" t="s">
        <v>4688</v>
      </c>
      <c r="E493" t="s">
        <v>1291</v>
      </c>
    </row>
    <row r="494" spans="1:5">
      <c r="A494" t="s">
        <v>2053</v>
      </c>
      <c r="B494" t="s">
        <v>4727</v>
      </c>
      <c r="C494" t="s">
        <v>4573</v>
      </c>
      <c r="D494" t="s">
        <v>4719</v>
      </c>
      <c r="E494" t="s">
        <v>1303</v>
      </c>
    </row>
    <row r="495" spans="1:5">
      <c r="A495" t="s">
        <v>4895</v>
      </c>
      <c r="B495">
        <v>1305</v>
      </c>
      <c r="D495" t="s">
        <v>4688</v>
      </c>
      <c r="E495" t="s">
        <v>4896</v>
      </c>
    </row>
    <row r="496" spans="1:5">
      <c r="A496" t="s">
        <v>1403</v>
      </c>
      <c r="B496" t="s">
        <v>4725</v>
      </c>
      <c r="D496" t="s">
        <v>4719</v>
      </c>
      <c r="E496" t="s">
        <v>1299</v>
      </c>
    </row>
    <row r="497" spans="1:5">
      <c r="A497" t="s">
        <v>1410</v>
      </c>
      <c r="B497" t="s">
        <v>1277</v>
      </c>
      <c r="C497" t="s">
        <v>4601</v>
      </c>
      <c r="D497" t="s">
        <v>4719</v>
      </c>
      <c r="E497" t="s">
        <v>1305</v>
      </c>
    </row>
    <row r="498" spans="1:5">
      <c r="A498" t="s">
        <v>2049</v>
      </c>
      <c r="B498" t="s">
        <v>4724</v>
      </c>
      <c r="C498" t="s">
        <v>4560</v>
      </c>
      <c r="D498" t="s">
        <v>4719</v>
      </c>
      <c r="E498" t="s">
        <v>1297</v>
      </c>
    </row>
    <row r="499" spans="1:5">
      <c r="A499" t="s">
        <v>4944</v>
      </c>
      <c r="B499" t="s">
        <v>4651</v>
      </c>
      <c r="C499" t="s">
        <v>4549</v>
      </c>
      <c r="D499" t="s">
        <v>4688</v>
      </c>
      <c r="E499" t="s">
        <v>1309</v>
      </c>
    </row>
    <row r="500" spans="1:5">
      <c r="A500" t="s">
        <v>2051</v>
      </c>
      <c r="B500" t="s">
        <v>4726</v>
      </c>
      <c r="D500" t="s">
        <v>4719</v>
      </c>
      <c r="E500" t="s">
        <v>1301</v>
      </c>
    </row>
    <row r="501" spans="1:5">
      <c r="A501" t="s">
        <v>4788</v>
      </c>
      <c r="B501" t="s">
        <v>4483</v>
      </c>
      <c r="C501" t="s">
        <v>4481</v>
      </c>
      <c r="D501" t="s">
        <v>4764</v>
      </c>
      <c r="E501" t="s">
        <v>1529</v>
      </c>
    </row>
    <row r="502" spans="1:5">
      <c r="A502" t="s">
        <v>1425</v>
      </c>
      <c r="B502" t="s">
        <v>1280</v>
      </c>
      <c r="C502" t="s">
        <v>4636</v>
      </c>
      <c r="D502" t="s">
        <v>4688</v>
      </c>
    </row>
    <row r="503" spans="1:5">
      <c r="A503" t="s">
        <v>5002</v>
      </c>
      <c r="B503" t="s">
        <v>4658</v>
      </c>
      <c r="D503" t="s">
        <v>4688</v>
      </c>
    </row>
    <row r="504" spans="1:5">
      <c r="A504" t="s">
        <v>4922</v>
      </c>
      <c r="B504">
        <v>1305</v>
      </c>
      <c r="D504" t="s">
        <v>4688</v>
      </c>
      <c r="E504" t="s">
        <v>4923</v>
      </c>
    </row>
    <row r="505" spans="1:5">
      <c r="A505" t="s">
        <v>1634</v>
      </c>
      <c r="B505" t="s">
        <v>4748</v>
      </c>
      <c r="C505" t="s">
        <v>4367</v>
      </c>
      <c r="D505" t="s">
        <v>4732</v>
      </c>
      <c r="E505" t="s">
        <v>1472</v>
      </c>
    </row>
    <row r="506" spans="1:5">
      <c r="A506" t="s">
        <v>1690</v>
      </c>
      <c r="B506" t="s">
        <v>1026</v>
      </c>
      <c r="C506" t="s">
        <v>4599</v>
      </c>
      <c r="D506" t="s">
        <v>4732</v>
      </c>
      <c r="E506" t="s">
        <v>1494</v>
      </c>
    </row>
    <row r="507" spans="1:5">
      <c r="A507" t="s">
        <v>4739</v>
      </c>
      <c r="B507" t="s">
        <v>778</v>
      </c>
      <c r="D507" t="s">
        <v>4732</v>
      </c>
      <c r="E507" t="s">
        <v>1499</v>
      </c>
    </row>
    <row r="508" spans="1:5">
      <c r="A508" t="s">
        <v>2070</v>
      </c>
      <c r="B508" t="s">
        <v>628</v>
      </c>
      <c r="C508" t="s">
        <v>4502</v>
      </c>
      <c r="D508" t="s">
        <v>4732</v>
      </c>
      <c r="E508" t="s">
        <v>1464</v>
      </c>
    </row>
    <row r="509" spans="1:5">
      <c r="A509" t="s">
        <v>1682</v>
      </c>
      <c r="B509" t="s">
        <v>756</v>
      </c>
      <c r="D509" t="s">
        <v>4690</v>
      </c>
    </row>
    <row r="510" spans="1:5">
      <c r="A510" t="s">
        <v>1699</v>
      </c>
      <c r="B510" t="s">
        <v>4609</v>
      </c>
      <c r="D510" t="s">
        <v>4690</v>
      </c>
    </row>
    <row r="511" spans="1:5">
      <c r="A511" t="s">
        <v>1689</v>
      </c>
      <c r="B511" t="s">
        <v>1020</v>
      </c>
      <c r="D511" t="s">
        <v>4732</v>
      </c>
      <c r="E511" t="s">
        <v>1493</v>
      </c>
    </row>
    <row r="512" spans="1:5">
      <c r="A512" t="s">
        <v>2082</v>
      </c>
      <c r="B512" t="s">
        <v>4709</v>
      </c>
      <c r="D512" t="s">
        <v>4732</v>
      </c>
      <c r="E512" t="s">
        <v>1484</v>
      </c>
    </row>
    <row r="513" spans="1:5">
      <c r="A513" t="s">
        <v>1720</v>
      </c>
      <c r="B513" t="s">
        <v>1360</v>
      </c>
      <c r="D513" t="s">
        <v>4732</v>
      </c>
      <c r="E513" t="s">
        <v>1506</v>
      </c>
    </row>
    <row r="514" spans="1:5">
      <c r="A514" t="s">
        <v>1587</v>
      </c>
      <c r="B514" t="s">
        <v>4381</v>
      </c>
      <c r="C514" t="s">
        <v>4382</v>
      </c>
      <c r="D514" t="s">
        <v>4690</v>
      </c>
    </row>
    <row r="515" spans="1:5">
      <c r="A515" t="s">
        <v>1590</v>
      </c>
      <c r="B515" t="s">
        <v>4390</v>
      </c>
      <c r="C515" t="s">
        <v>4391</v>
      </c>
      <c r="D515" t="s">
        <v>4690</v>
      </c>
    </row>
    <row r="516" spans="1:5">
      <c r="A516" t="s">
        <v>1636</v>
      </c>
      <c r="B516" t="s">
        <v>1429</v>
      </c>
      <c r="D516" t="s">
        <v>4732</v>
      </c>
      <c r="E516" t="s">
        <v>1473</v>
      </c>
    </row>
    <row r="517" spans="1:5">
      <c r="A517" t="s">
        <v>1626</v>
      </c>
      <c r="B517" t="s">
        <v>1379</v>
      </c>
      <c r="C517" t="s">
        <v>4507</v>
      </c>
      <c r="D517" t="s">
        <v>4732</v>
      </c>
      <c r="E517" t="s">
        <v>1466</v>
      </c>
    </row>
    <row r="518" spans="1:5">
      <c r="A518" t="s">
        <v>1595</v>
      </c>
      <c r="B518" t="s">
        <v>4413</v>
      </c>
      <c r="C518" t="s">
        <v>4408</v>
      </c>
      <c r="D518" t="s">
        <v>4732</v>
      </c>
      <c r="E518" t="s">
        <v>1451</v>
      </c>
    </row>
    <row r="519" spans="1:5">
      <c r="A519" t="s">
        <v>1596</v>
      </c>
      <c r="B519" t="s">
        <v>4413</v>
      </c>
      <c r="C519" t="s">
        <v>4408</v>
      </c>
      <c r="D519" t="s">
        <v>4732</v>
      </c>
      <c r="E519" t="s">
        <v>1450</v>
      </c>
    </row>
    <row r="520" spans="1:5">
      <c r="A520" t="s">
        <v>1712</v>
      </c>
      <c r="B520" t="s">
        <v>4744</v>
      </c>
      <c r="D520" t="s">
        <v>4732</v>
      </c>
      <c r="E520" t="s">
        <v>1503</v>
      </c>
    </row>
    <row r="521" spans="1:5">
      <c r="A521" t="s">
        <v>1597</v>
      </c>
      <c r="B521" t="s">
        <v>4413</v>
      </c>
      <c r="C521" t="s">
        <v>4408</v>
      </c>
      <c r="D521" t="s">
        <v>4732</v>
      </c>
      <c r="E521" t="s">
        <v>1452</v>
      </c>
    </row>
    <row r="522" spans="1:5">
      <c r="A522" t="s">
        <v>1417</v>
      </c>
      <c r="B522" t="s">
        <v>1246</v>
      </c>
      <c r="C522" t="s">
        <v>4357</v>
      </c>
      <c r="D522" t="s">
        <v>4688</v>
      </c>
    </row>
    <row r="523" spans="1:5">
      <c r="A523" t="s">
        <v>1719</v>
      </c>
      <c r="B523" t="s">
        <v>4718</v>
      </c>
      <c r="C523" t="s">
        <v>4550</v>
      </c>
      <c r="D523" t="s">
        <v>4732</v>
      </c>
      <c r="E523" t="s">
        <v>1505</v>
      </c>
    </row>
    <row r="524" spans="1:5">
      <c r="A524" t="s">
        <v>2069</v>
      </c>
      <c r="B524" t="s">
        <v>1373</v>
      </c>
      <c r="C524" t="s">
        <v>4476</v>
      </c>
      <c r="D524" t="s">
        <v>4690</v>
      </c>
    </row>
    <row r="525" spans="1:5">
      <c r="A525" t="s">
        <v>2061</v>
      </c>
      <c r="B525" t="s">
        <v>5003</v>
      </c>
      <c r="C525" t="s">
        <v>4369</v>
      </c>
      <c r="D525" t="s">
        <v>4690</v>
      </c>
    </row>
    <row r="526" spans="1:5">
      <c r="A526" t="s">
        <v>1383</v>
      </c>
      <c r="B526" t="s">
        <v>1240</v>
      </c>
      <c r="C526" t="s">
        <v>4364</v>
      </c>
      <c r="D526" t="s">
        <v>4719</v>
      </c>
      <c r="E526" t="s">
        <v>1282</v>
      </c>
    </row>
    <row r="527" spans="1:5">
      <c r="A527" t="s">
        <v>4891</v>
      </c>
      <c r="B527" t="s">
        <v>4675</v>
      </c>
      <c r="C527" t="s">
        <v>4408</v>
      </c>
      <c r="D527" t="s">
        <v>4690</v>
      </c>
      <c r="E527" t="s">
        <v>4892</v>
      </c>
    </row>
    <row r="528" spans="1:5">
      <c r="A528" t="s">
        <v>1608</v>
      </c>
      <c r="B528" t="s">
        <v>1364</v>
      </c>
      <c r="C528" t="s">
        <v>4436</v>
      </c>
      <c r="D528" t="s">
        <v>4690</v>
      </c>
    </row>
    <row r="529" spans="1:5">
      <c r="A529" t="s">
        <v>1723</v>
      </c>
      <c r="B529" t="s">
        <v>1047</v>
      </c>
      <c r="C529" t="s">
        <v>4645</v>
      </c>
      <c r="D529" t="s">
        <v>4732</v>
      </c>
      <c r="E529" t="s">
        <v>1507</v>
      </c>
    </row>
    <row r="530" spans="1:5">
      <c r="A530" t="s">
        <v>1584</v>
      </c>
      <c r="B530" t="s">
        <v>5004</v>
      </c>
      <c r="C530" t="s">
        <v>4370</v>
      </c>
      <c r="D530" t="s">
        <v>4690</v>
      </c>
    </row>
    <row r="531" spans="1:5">
      <c r="A531" t="s">
        <v>1602</v>
      </c>
      <c r="B531" t="s">
        <v>4419</v>
      </c>
      <c r="C531" t="s">
        <v>4387</v>
      </c>
      <c r="D531" t="s">
        <v>4732</v>
      </c>
      <c r="E531" t="s">
        <v>1454</v>
      </c>
    </row>
    <row r="532" spans="1:5">
      <c r="A532" t="s">
        <v>1397</v>
      </c>
      <c r="B532" t="s">
        <v>1261</v>
      </c>
      <c r="D532" t="s">
        <v>4719</v>
      </c>
      <c r="E532" t="s">
        <v>1293</v>
      </c>
    </row>
    <row r="533" spans="1:5">
      <c r="A533" t="s">
        <v>1592</v>
      </c>
      <c r="B533" t="s">
        <v>4394</v>
      </c>
      <c r="C533" t="s">
        <v>4395</v>
      </c>
      <c r="D533" t="s">
        <v>4732</v>
      </c>
      <c r="E533" t="s">
        <v>1449</v>
      </c>
    </row>
    <row r="534" spans="1:5">
      <c r="A534" t="s">
        <v>1598</v>
      </c>
      <c r="B534" t="s">
        <v>4414</v>
      </c>
      <c r="C534" t="s">
        <v>4408</v>
      </c>
      <c r="D534" t="s">
        <v>4690</v>
      </c>
    </row>
    <row r="535" spans="1:5">
      <c r="A535" t="s">
        <v>5005</v>
      </c>
      <c r="B535" t="s">
        <v>4414</v>
      </c>
      <c r="C535" t="s">
        <v>4408</v>
      </c>
      <c r="D535" t="s">
        <v>4690</v>
      </c>
    </row>
    <row r="536" spans="1:5">
      <c r="A536" t="s">
        <v>1609</v>
      </c>
      <c r="B536" t="s">
        <v>1367</v>
      </c>
      <c r="C536" t="s">
        <v>4408</v>
      </c>
      <c r="D536" t="s">
        <v>4732</v>
      </c>
      <c r="E536" t="s">
        <v>1457</v>
      </c>
    </row>
    <row r="537" spans="1:5">
      <c r="A537" t="s">
        <v>1599</v>
      </c>
      <c r="B537" t="s">
        <v>4413</v>
      </c>
      <c r="C537" t="s">
        <v>4408</v>
      </c>
      <c r="D537" t="s">
        <v>4690</v>
      </c>
      <c r="E537" t="s">
        <v>1453</v>
      </c>
    </row>
    <row r="538" spans="1:5">
      <c r="A538" t="s">
        <v>1600</v>
      </c>
      <c r="B538" t="s">
        <v>4413</v>
      </c>
      <c r="C538" t="s">
        <v>4408</v>
      </c>
      <c r="D538" t="s">
        <v>4732</v>
      </c>
      <c r="E538" t="s">
        <v>1453</v>
      </c>
    </row>
    <row r="539" spans="1:5">
      <c r="A539" t="s">
        <v>1621</v>
      </c>
      <c r="B539" t="s">
        <v>4758</v>
      </c>
      <c r="C539" t="s">
        <v>4499</v>
      </c>
      <c r="D539" t="s">
        <v>4732</v>
      </c>
      <c r="E539" t="s">
        <v>1463</v>
      </c>
    </row>
    <row r="540" spans="1:5">
      <c r="A540" t="s">
        <v>2086</v>
      </c>
      <c r="B540" t="s">
        <v>4590</v>
      </c>
      <c r="C540" t="s">
        <v>4591</v>
      </c>
      <c r="D540" t="s">
        <v>4690</v>
      </c>
    </row>
    <row r="541" spans="1:5">
      <c r="A541" t="s">
        <v>1709</v>
      </c>
      <c r="B541" t="s">
        <v>4743</v>
      </c>
      <c r="C541" t="s">
        <v>4624</v>
      </c>
      <c r="D541" t="s">
        <v>4732</v>
      </c>
      <c r="E541" t="s">
        <v>1502</v>
      </c>
    </row>
    <row r="542" spans="1:5">
      <c r="A542" t="s">
        <v>1633</v>
      </c>
      <c r="B542" t="s">
        <v>1428</v>
      </c>
      <c r="C542" t="s">
        <v>4535</v>
      </c>
      <c r="D542" t="s">
        <v>4690</v>
      </c>
    </row>
    <row r="543" spans="1:5">
      <c r="A543" t="s">
        <v>2045</v>
      </c>
      <c r="B543" t="s">
        <v>4722</v>
      </c>
      <c r="D543" t="s">
        <v>4719</v>
      </c>
      <c r="E543" t="s">
        <v>1294</v>
      </c>
    </row>
    <row r="544" spans="1:5">
      <c r="A544" t="s">
        <v>1638</v>
      </c>
      <c r="B544" t="s">
        <v>1430</v>
      </c>
      <c r="C544" t="s">
        <v>4502</v>
      </c>
      <c r="D544" t="s">
        <v>4732</v>
      </c>
      <c r="E544" t="s">
        <v>1474</v>
      </c>
    </row>
    <row r="545" spans="1:5">
      <c r="A545" t="s">
        <v>1657</v>
      </c>
      <c r="B545" t="s">
        <v>4564</v>
      </c>
      <c r="D545" t="s">
        <v>4690</v>
      </c>
    </row>
    <row r="546" spans="1:5">
      <c r="A546" t="s">
        <v>1645</v>
      </c>
      <c r="B546" t="s">
        <v>1435</v>
      </c>
      <c r="C546" t="s">
        <v>4550</v>
      </c>
      <c r="D546" t="s">
        <v>4732</v>
      </c>
      <c r="E546" t="s">
        <v>1476</v>
      </c>
    </row>
    <row r="547" spans="1:5">
      <c r="A547" t="s">
        <v>1744</v>
      </c>
      <c r="B547" t="s">
        <v>4454</v>
      </c>
      <c r="C547" t="s">
        <v>4455</v>
      </c>
      <c r="D547" t="s">
        <v>4764</v>
      </c>
      <c r="E547" t="s">
        <v>1524</v>
      </c>
    </row>
    <row r="548" spans="1:5">
      <c r="A548" t="s">
        <v>1753</v>
      </c>
      <c r="B548" t="s">
        <v>4794</v>
      </c>
      <c r="C548" t="s">
        <v>4538</v>
      </c>
      <c r="D548" t="s">
        <v>4764</v>
      </c>
      <c r="E548" t="s">
        <v>1536</v>
      </c>
    </row>
    <row r="549" spans="1:5">
      <c r="A549" t="s">
        <v>2114</v>
      </c>
      <c r="B549" t="s">
        <v>4791</v>
      </c>
      <c r="C549" t="s">
        <v>4516</v>
      </c>
      <c r="D549" t="s">
        <v>4764</v>
      </c>
      <c r="E549" t="s">
        <v>1533</v>
      </c>
    </row>
    <row r="550" spans="1:5">
      <c r="A550" t="s">
        <v>4869</v>
      </c>
      <c r="B550">
        <v>1149</v>
      </c>
      <c r="C550" t="s">
        <v>4475</v>
      </c>
      <c r="D550" t="s">
        <v>4870</v>
      </c>
      <c r="E550" t="s">
        <v>4871</v>
      </c>
    </row>
    <row r="551" spans="1:5">
      <c r="A551" t="s">
        <v>1762</v>
      </c>
      <c r="B551" t="s">
        <v>4600</v>
      </c>
      <c r="D551" t="s">
        <v>4764</v>
      </c>
      <c r="E551" t="s">
        <v>1541</v>
      </c>
    </row>
    <row r="552" spans="1:5">
      <c r="A552" t="s">
        <v>2118</v>
      </c>
      <c r="B552" t="s">
        <v>4619</v>
      </c>
      <c r="D552" t="s">
        <v>4870</v>
      </c>
    </row>
    <row r="553" spans="1:5">
      <c r="A553" t="s">
        <v>1731</v>
      </c>
      <c r="B553" t="s">
        <v>4770</v>
      </c>
      <c r="C553" t="s">
        <v>4362</v>
      </c>
      <c r="D553" t="s">
        <v>4764</v>
      </c>
      <c r="E553" t="s">
        <v>1512</v>
      </c>
    </row>
    <row r="554" spans="1:5">
      <c r="A554" t="s">
        <v>1734</v>
      </c>
      <c r="B554" t="s">
        <v>4772</v>
      </c>
      <c r="C554" t="s">
        <v>4362</v>
      </c>
      <c r="D554" t="s">
        <v>4764</v>
      </c>
      <c r="E554" t="s">
        <v>1514</v>
      </c>
    </row>
    <row r="555" spans="1:5">
      <c r="A555" t="s">
        <v>2102</v>
      </c>
      <c r="B555" t="s">
        <v>5006</v>
      </c>
      <c r="C555" t="s">
        <v>4358</v>
      </c>
      <c r="D555" t="s">
        <v>4870</v>
      </c>
    </row>
    <row r="556" spans="1:5">
      <c r="A556" t="s">
        <v>1725</v>
      </c>
      <c r="B556" t="s">
        <v>5007</v>
      </c>
      <c r="C556" t="s">
        <v>4358</v>
      </c>
      <c r="D556" t="s">
        <v>4870</v>
      </c>
    </row>
    <row r="557" spans="1:5">
      <c r="A557" t="s">
        <v>2104</v>
      </c>
      <c r="B557" t="s">
        <v>4774</v>
      </c>
      <c r="C557" t="s">
        <v>4362</v>
      </c>
      <c r="D557" t="s">
        <v>4764</v>
      </c>
      <c r="E557" t="s">
        <v>1517</v>
      </c>
    </row>
    <row r="558" spans="1:5">
      <c r="A558" t="s">
        <v>1726</v>
      </c>
      <c r="B558" t="s">
        <v>4765</v>
      </c>
      <c r="C558" t="s">
        <v>4362</v>
      </c>
      <c r="D558" t="s">
        <v>4764</v>
      </c>
      <c r="E558" t="s">
        <v>1509</v>
      </c>
    </row>
    <row r="559" spans="1:5">
      <c r="A559" t="s">
        <v>1730</v>
      </c>
      <c r="B559" t="s">
        <v>4771</v>
      </c>
      <c r="C559" t="s">
        <v>4362</v>
      </c>
      <c r="D559" t="s">
        <v>4764</v>
      </c>
      <c r="E559" t="s">
        <v>1512</v>
      </c>
    </row>
    <row r="560" spans="1:5">
      <c r="A560" t="s">
        <v>1729</v>
      </c>
      <c r="B560" t="s">
        <v>4769</v>
      </c>
      <c r="C560" t="s">
        <v>4362</v>
      </c>
      <c r="D560" t="s">
        <v>4764</v>
      </c>
      <c r="E560" t="s">
        <v>1511</v>
      </c>
    </row>
    <row r="561" spans="1:5">
      <c r="A561" t="s">
        <v>2103</v>
      </c>
      <c r="B561" t="s">
        <v>4775</v>
      </c>
      <c r="C561" t="s">
        <v>4362</v>
      </c>
      <c r="D561" t="s">
        <v>4764</v>
      </c>
      <c r="E561" t="s">
        <v>1517</v>
      </c>
    </row>
    <row r="562" spans="1:5">
      <c r="A562" t="s">
        <v>1727</v>
      </c>
      <c r="B562" t="s">
        <v>4766</v>
      </c>
      <c r="C562" t="s">
        <v>4362</v>
      </c>
      <c r="D562" t="s">
        <v>4764</v>
      </c>
      <c r="E562" t="s">
        <v>1509</v>
      </c>
    </row>
    <row r="563" spans="1:5">
      <c r="A563" t="s">
        <v>1732</v>
      </c>
      <c r="B563" t="s">
        <v>4770</v>
      </c>
      <c r="C563" t="s">
        <v>4362</v>
      </c>
      <c r="D563" t="s">
        <v>4764</v>
      </c>
      <c r="E563" t="s">
        <v>1513</v>
      </c>
    </row>
    <row r="564" spans="1:5">
      <c r="A564" t="s">
        <v>1759</v>
      </c>
      <c r="B564" t="s">
        <v>4584</v>
      </c>
      <c r="D564" t="s">
        <v>4764</v>
      </c>
      <c r="E564" t="s">
        <v>1540</v>
      </c>
    </row>
    <row r="565" spans="1:5">
      <c r="A565" t="s">
        <v>1757</v>
      </c>
      <c r="B565" t="s">
        <v>4564</v>
      </c>
      <c r="D565" t="s">
        <v>4764</v>
      </c>
      <c r="E565" t="s">
        <v>1539</v>
      </c>
    </row>
    <row r="566" spans="1:5">
      <c r="A566" t="s">
        <v>1733</v>
      </c>
      <c r="B566" t="s">
        <v>5008</v>
      </c>
      <c r="C566" t="s">
        <v>4358</v>
      </c>
      <c r="D566" t="s">
        <v>4870</v>
      </c>
    </row>
    <row r="567" spans="1:5">
      <c r="A567" t="s">
        <v>2106</v>
      </c>
      <c r="B567" t="s">
        <v>4450</v>
      </c>
      <c r="C567" t="s">
        <v>4362</v>
      </c>
      <c r="D567" t="s">
        <v>4764</v>
      </c>
      <c r="E567" t="s">
        <v>1523</v>
      </c>
    </row>
    <row r="568" spans="1:5">
      <c r="A568" t="s">
        <v>1747</v>
      </c>
      <c r="B568" t="s">
        <v>4790</v>
      </c>
      <c r="C568" t="s">
        <v>4509</v>
      </c>
      <c r="D568" t="s">
        <v>4764</v>
      </c>
      <c r="E568" t="s">
        <v>1532</v>
      </c>
    </row>
    <row r="569" spans="1:5">
      <c r="A569" t="s">
        <v>1740</v>
      </c>
      <c r="B569" t="s">
        <v>4777</v>
      </c>
      <c r="C569" t="s">
        <v>4362</v>
      </c>
      <c r="D569" t="s">
        <v>4764</v>
      </c>
      <c r="E569" t="s">
        <v>1519</v>
      </c>
    </row>
    <row r="570" spans="1:5">
      <c r="A570" t="s">
        <v>1766</v>
      </c>
      <c r="B570" t="s">
        <v>783</v>
      </c>
      <c r="C570" t="s">
        <v>4626</v>
      </c>
      <c r="D570" t="s">
        <v>4764</v>
      </c>
      <c r="E570" t="s">
        <v>1543</v>
      </c>
    </row>
    <row r="571" spans="1:5">
      <c r="A571" t="s">
        <v>1728</v>
      </c>
      <c r="B571" t="s">
        <v>4767</v>
      </c>
      <c r="C571" t="s">
        <v>4365</v>
      </c>
      <c r="D571" t="s">
        <v>4764</v>
      </c>
      <c r="E571" t="s">
        <v>1510</v>
      </c>
    </row>
    <row r="572" spans="1:5">
      <c r="A572" t="s">
        <v>2115</v>
      </c>
      <c r="B572" t="s">
        <v>4789</v>
      </c>
      <c r="C572" t="s">
        <v>4522</v>
      </c>
      <c r="D572" t="s">
        <v>4764</v>
      </c>
      <c r="E572" t="s">
        <v>1535</v>
      </c>
    </row>
    <row r="573" spans="1:5">
      <c r="A573" t="s">
        <v>1746</v>
      </c>
      <c r="B573" t="s">
        <v>4490</v>
      </c>
      <c r="C573" t="s">
        <v>4491</v>
      </c>
      <c r="D573" t="s">
        <v>4764</v>
      </c>
      <c r="E573" t="s">
        <v>1530</v>
      </c>
    </row>
    <row r="574" spans="1:5">
      <c r="A574" t="s">
        <v>1763</v>
      </c>
      <c r="B574" t="s">
        <v>4729</v>
      </c>
      <c r="D574" t="s">
        <v>4764</v>
      </c>
      <c r="E574" t="s">
        <v>1542</v>
      </c>
    </row>
    <row r="575" spans="1:5">
      <c r="A575" t="s">
        <v>2109</v>
      </c>
      <c r="B575" t="s">
        <v>5009</v>
      </c>
      <c r="C575" t="s">
        <v>4358</v>
      </c>
      <c r="D575" t="s">
        <v>4870</v>
      </c>
    </row>
    <row r="576" spans="1:5">
      <c r="A576" t="s">
        <v>1761</v>
      </c>
      <c r="B576" t="s">
        <v>4728</v>
      </c>
      <c r="D576" t="s">
        <v>4764</v>
      </c>
      <c r="E576" t="s">
        <v>1541</v>
      </c>
    </row>
    <row r="577" spans="1:5">
      <c r="A577" t="s">
        <v>2110</v>
      </c>
      <c r="B577" t="s">
        <v>4786</v>
      </c>
      <c r="C577" t="s">
        <v>4478</v>
      </c>
      <c r="D577" t="s">
        <v>4764</v>
      </c>
      <c r="E577" t="s">
        <v>1527</v>
      </c>
    </row>
    <row r="578" spans="1:5">
      <c r="A578" t="s">
        <v>1741</v>
      </c>
      <c r="B578" t="s">
        <v>4781</v>
      </c>
      <c r="C578" t="s">
        <v>4423</v>
      </c>
      <c r="D578" t="s">
        <v>4764</v>
      </c>
      <c r="E578" t="s">
        <v>1520</v>
      </c>
    </row>
    <row r="579" spans="1:5">
      <c r="A579" t="s">
        <v>4796</v>
      </c>
      <c r="B579" t="s">
        <v>4797</v>
      </c>
      <c r="C579" t="s">
        <v>4546</v>
      </c>
      <c r="D579" t="s">
        <v>4764</v>
      </c>
      <c r="E579" t="s">
        <v>1538</v>
      </c>
    </row>
    <row r="580" spans="1:5">
      <c r="A580" t="s">
        <v>2101</v>
      </c>
      <c r="B580" t="s">
        <v>4763</v>
      </c>
      <c r="D580" t="s">
        <v>4764</v>
      </c>
      <c r="E580" t="s">
        <v>1508</v>
      </c>
    </row>
    <row r="581" spans="1:5">
      <c r="A581" t="s">
        <v>5010</v>
      </c>
      <c r="B581" t="s">
        <v>5011</v>
      </c>
      <c r="C581" t="s">
        <v>4423</v>
      </c>
      <c r="D581" t="s">
        <v>4870</v>
      </c>
    </row>
    <row r="582" spans="1:5">
      <c r="A582" t="s">
        <v>1735</v>
      </c>
      <c r="B582" t="s">
        <v>4768</v>
      </c>
      <c r="C582" t="s">
        <v>4378</v>
      </c>
      <c r="D582" t="s">
        <v>4764</v>
      </c>
      <c r="E582" t="s">
        <v>1515</v>
      </c>
    </row>
    <row r="583" spans="1:5">
      <c r="A583" t="s">
        <v>1743</v>
      </c>
      <c r="B583" t="s">
        <v>4783</v>
      </c>
      <c r="C583" t="s">
        <v>4441</v>
      </c>
      <c r="D583" t="s">
        <v>4764</v>
      </c>
      <c r="E583" t="s">
        <v>1522</v>
      </c>
    </row>
    <row r="584" spans="1:5">
      <c r="A584" t="s">
        <v>1739</v>
      </c>
      <c r="B584" t="s">
        <v>5012</v>
      </c>
      <c r="C584" t="s">
        <v>4408</v>
      </c>
      <c r="D584" t="s">
        <v>4870</v>
      </c>
    </row>
    <row r="585" spans="1:5">
      <c r="A585" t="s">
        <v>1742</v>
      </c>
      <c r="B585" t="s">
        <v>4782</v>
      </c>
      <c r="C585" t="s">
        <v>4362</v>
      </c>
      <c r="D585" t="s">
        <v>4764</v>
      </c>
      <c r="E585" t="s">
        <v>1521</v>
      </c>
    </row>
    <row r="586" spans="1:5">
      <c r="A586" t="s">
        <v>1736</v>
      </c>
      <c r="B586" t="s">
        <v>4773</v>
      </c>
      <c r="C586" t="s">
        <v>4362</v>
      </c>
      <c r="D586" t="s">
        <v>4870</v>
      </c>
    </row>
    <row r="587" spans="1:5">
      <c r="A587" t="s">
        <v>1737</v>
      </c>
      <c r="B587" t="s">
        <v>4773</v>
      </c>
      <c r="C587" t="s">
        <v>4362</v>
      </c>
      <c r="D587" t="s">
        <v>4764</v>
      </c>
      <c r="E587" t="s">
        <v>1516</v>
      </c>
    </row>
    <row r="588" spans="1:5">
      <c r="A588" t="s">
        <v>1760</v>
      </c>
      <c r="B588" t="s">
        <v>5013</v>
      </c>
      <c r="C588" t="s">
        <v>4592</v>
      </c>
      <c r="D588" t="s">
        <v>4870</v>
      </c>
    </row>
    <row r="589" spans="1:5">
      <c r="A589" t="s">
        <v>1748</v>
      </c>
      <c r="B589" t="s">
        <v>4793</v>
      </c>
      <c r="C589" t="s">
        <v>4509</v>
      </c>
      <c r="D589" t="s">
        <v>4764</v>
      </c>
      <c r="E589" t="s">
        <v>1534</v>
      </c>
    </row>
    <row r="590" spans="1:5">
      <c r="A590" t="s">
        <v>1756</v>
      </c>
      <c r="B590" t="s">
        <v>4798</v>
      </c>
      <c r="C590" t="s">
        <v>4554</v>
      </c>
      <c r="D590" t="s">
        <v>4764</v>
      </c>
      <c r="E590" t="s">
        <v>1539</v>
      </c>
    </row>
    <row r="591" spans="1:5">
      <c r="A591" t="s">
        <v>1749</v>
      </c>
      <c r="B591" t="s">
        <v>4520</v>
      </c>
      <c r="C591" t="s">
        <v>4498</v>
      </c>
      <c r="D591" t="s">
        <v>4870</v>
      </c>
    </row>
    <row r="592" spans="1:5">
      <c r="A592" t="s">
        <v>1767</v>
      </c>
      <c r="B592" t="s">
        <v>4744</v>
      </c>
      <c r="C592" t="s">
        <v>4449</v>
      </c>
      <c r="D592" t="s">
        <v>4764</v>
      </c>
      <c r="E592" t="s">
        <v>1544</v>
      </c>
    </row>
    <row r="593" spans="1:5">
      <c r="A593" t="s">
        <v>1752</v>
      </c>
      <c r="B593" t="s">
        <v>4795</v>
      </c>
      <c r="C593" t="s">
        <v>4502</v>
      </c>
      <c r="D593" t="s">
        <v>4764</v>
      </c>
      <c r="E593" t="s">
        <v>1536</v>
      </c>
    </row>
    <row r="594" spans="1:5">
      <c r="A594" t="s">
        <v>2105</v>
      </c>
      <c r="B594" t="s">
        <v>4784</v>
      </c>
      <c r="C594" t="s">
        <v>4435</v>
      </c>
      <c r="D594" t="s">
        <v>4764</v>
      </c>
      <c r="E594" t="s">
        <v>1522</v>
      </c>
    </row>
    <row r="595" spans="1:5" ht="17" customHeight="1">
      <c r="A595" t="s">
        <v>4792</v>
      </c>
      <c r="B595" t="s">
        <v>4517</v>
      </c>
      <c r="C595" t="s">
        <v>4518</v>
      </c>
      <c r="D595" t="s">
        <v>4764</v>
      </c>
      <c r="E595" t="s">
        <v>1533</v>
      </c>
    </row>
    <row r="596" spans="1:5">
      <c r="A596" t="s">
        <v>1769</v>
      </c>
      <c r="B596" t="s">
        <v>4745</v>
      </c>
      <c r="D596" t="s">
        <v>4764</v>
      </c>
      <c r="E596" t="s">
        <v>1545</v>
      </c>
    </row>
    <row r="597" spans="1:5">
      <c r="A597" t="s">
        <v>1764</v>
      </c>
      <c r="B597" t="s">
        <v>4714</v>
      </c>
      <c r="C597" t="s">
        <v>4603</v>
      </c>
      <c r="D597" t="s">
        <v>4870</v>
      </c>
    </row>
    <row r="598" spans="1:5">
      <c r="A598" t="s">
        <v>4787</v>
      </c>
      <c r="B598" t="s">
        <v>4479</v>
      </c>
      <c r="C598" t="s">
        <v>4480</v>
      </c>
      <c r="D598" t="s">
        <v>4764</v>
      </c>
      <c r="E598" t="s">
        <v>1528</v>
      </c>
    </row>
    <row r="599" spans="1:5">
      <c r="A599" t="s">
        <v>1751</v>
      </c>
      <c r="B599" t="s">
        <v>4525</v>
      </c>
      <c r="C599" t="s">
        <v>4425</v>
      </c>
      <c r="D599" t="s">
        <v>4870</v>
      </c>
    </row>
    <row r="600" spans="1:5">
      <c r="A600" t="s">
        <v>2113</v>
      </c>
      <c r="B600" t="s">
        <v>463</v>
      </c>
      <c r="C600" t="s">
        <v>4473</v>
      </c>
      <c r="D600" t="s">
        <v>4764</v>
      </c>
      <c r="E600" t="s">
        <v>1532</v>
      </c>
    </row>
    <row r="601" spans="1:5">
      <c r="A601" t="s">
        <v>1768</v>
      </c>
      <c r="B601" t="s">
        <v>4744</v>
      </c>
      <c r="C601" t="s">
        <v>4628</v>
      </c>
      <c r="D601" t="s">
        <v>4764</v>
      </c>
      <c r="E601" t="s">
        <v>1544</v>
      </c>
    </row>
    <row r="602" spans="1:5">
      <c r="A602" t="s">
        <v>1750</v>
      </c>
      <c r="B602" t="s">
        <v>4524</v>
      </c>
      <c r="D602" t="s">
        <v>4764</v>
      </c>
      <c r="E602" t="s">
        <v>1535</v>
      </c>
    </row>
    <row r="603" spans="1:5">
      <c r="A603" t="s">
        <v>1745</v>
      </c>
      <c r="B603" t="s">
        <v>4785</v>
      </c>
      <c r="C603" t="s">
        <v>4468</v>
      </c>
      <c r="D603" t="s">
        <v>4764</v>
      </c>
      <c r="E603" t="s">
        <v>1526</v>
      </c>
    </row>
    <row r="604" spans="1:5">
      <c r="A604" t="s">
        <v>2116</v>
      </c>
      <c r="B604" t="s">
        <v>4737</v>
      </c>
      <c r="D604" t="s">
        <v>4764</v>
      </c>
      <c r="E604" t="s">
        <v>1542</v>
      </c>
    </row>
    <row r="605" spans="1:5">
      <c r="A605" t="s">
        <v>1754</v>
      </c>
      <c r="B605" t="s">
        <v>707</v>
      </c>
      <c r="D605" t="s">
        <v>4764</v>
      </c>
      <c r="E605" t="s">
        <v>1537</v>
      </c>
    </row>
    <row r="606" spans="1:5">
      <c r="A606" t="s">
        <v>2117</v>
      </c>
      <c r="B606" t="s">
        <v>5014</v>
      </c>
      <c r="C606" t="s">
        <v>4502</v>
      </c>
      <c r="D606" t="s">
        <v>4870</v>
      </c>
    </row>
    <row r="607" spans="1:5">
      <c r="A607" t="s">
        <v>1758</v>
      </c>
      <c r="B607" t="s">
        <v>4571</v>
      </c>
      <c r="D607" t="s">
        <v>4764</v>
      </c>
      <c r="E607" t="s">
        <v>1540</v>
      </c>
    </row>
    <row r="608" spans="1:5">
      <c r="A608" t="s">
        <v>1765</v>
      </c>
      <c r="B608" t="s">
        <v>4742</v>
      </c>
      <c r="C608" t="s">
        <v>4611</v>
      </c>
      <c r="D608" t="s">
        <v>4764</v>
      </c>
      <c r="E608" t="s">
        <v>1543</v>
      </c>
    </row>
    <row r="609" spans="1:5">
      <c r="A609" t="s">
        <v>4662</v>
      </c>
      <c r="B609" t="s">
        <v>4456</v>
      </c>
      <c r="D609" t="s">
        <v>4705</v>
      </c>
      <c r="E609" t="s">
        <v>1330</v>
      </c>
    </row>
    <row r="610" spans="1:5">
      <c r="A610" t="s">
        <v>1318</v>
      </c>
      <c r="B610" t="s">
        <v>4606</v>
      </c>
      <c r="D610" t="s">
        <v>4693</v>
      </c>
    </row>
    <row r="611" spans="1:5">
      <c r="A611" t="s">
        <v>1351</v>
      </c>
      <c r="B611" t="s">
        <v>5015</v>
      </c>
      <c r="D611" t="s">
        <v>4693</v>
      </c>
    </row>
    <row r="612" spans="1:5">
      <c r="A612" t="s">
        <v>4660</v>
      </c>
      <c r="B612" t="s">
        <v>4437</v>
      </c>
      <c r="C612" t="s">
        <v>4438</v>
      </c>
      <c r="D612" t="s">
        <v>4705</v>
      </c>
      <c r="E612" t="s">
        <v>1329</v>
      </c>
    </row>
    <row r="613" spans="1:5">
      <c r="A613" t="s">
        <v>1353</v>
      </c>
      <c r="B613" t="s">
        <v>5016</v>
      </c>
      <c r="D613" t="s">
        <v>4693</v>
      </c>
    </row>
    <row r="614" spans="1:5">
      <c r="A614" t="s">
        <v>4665</v>
      </c>
      <c r="B614" t="s">
        <v>4539</v>
      </c>
      <c r="C614" t="s">
        <v>4540</v>
      </c>
      <c r="D614" t="s">
        <v>4705</v>
      </c>
      <c r="E614" t="s">
        <v>1333</v>
      </c>
    </row>
    <row r="615" spans="1:5">
      <c r="A615" t="s">
        <v>1352</v>
      </c>
      <c r="B615" t="s">
        <v>5017</v>
      </c>
      <c r="D615" t="s">
        <v>4693</v>
      </c>
    </row>
    <row r="616" spans="1:5">
      <c r="A616" t="s">
        <v>1317</v>
      </c>
      <c r="B616" t="s">
        <v>4715</v>
      </c>
      <c r="D616" t="s">
        <v>4705</v>
      </c>
      <c r="E616" t="s">
        <v>1339</v>
      </c>
    </row>
    <row r="617" spans="1:5">
      <c r="A617" t="s">
        <v>1356</v>
      </c>
      <c r="B617" t="s">
        <v>4716</v>
      </c>
      <c r="D617" t="s">
        <v>4705</v>
      </c>
      <c r="E617" t="s">
        <v>1343</v>
      </c>
    </row>
    <row r="618" spans="1:5">
      <c r="A618" t="s">
        <v>1325</v>
      </c>
      <c r="B618" t="s">
        <v>790</v>
      </c>
      <c r="D618" t="s">
        <v>4705</v>
      </c>
      <c r="E618" t="s">
        <v>1346</v>
      </c>
    </row>
    <row r="619" spans="1:5">
      <c r="A619" t="s">
        <v>4914</v>
      </c>
      <c r="B619">
        <v>1304</v>
      </c>
      <c r="D619" t="s">
        <v>4693</v>
      </c>
      <c r="E619" t="s">
        <v>1349</v>
      </c>
    </row>
    <row r="620" spans="1:5">
      <c r="A620" t="s">
        <v>1350</v>
      </c>
      <c r="B620" t="s">
        <v>5018</v>
      </c>
      <c r="D620" t="s">
        <v>4693</v>
      </c>
    </row>
    <row r="621" spans="1:5">
      <c r="A621" t="s">
        <v>1322</v>
      </c>
      <c r="B621" t="s">
        <v>4712</v>
      </c>
      <c r="D621" t="s">
        <v>4705</v>
      </c>
      <c r="E621" t="s">
        <v>1342</v>
      </c>
    </row>
    <row r="622" spans="1:5">
      <c r="A622" t="s">
        <v>1315</v>
      </c>
      <c r="B622" t="s">
        <v>1327</v>
      </c>
      <c r="D622" t="s">
        <v>4705</v>
      </c>
      <c r="E622" t="s">
        <v>1338</v>
      </c>
    </row>
    <row r="623" spans="1:5">
      <c r="A623" t="s">
        <v>4668</v>
      </c>
      <c r="B623" t="s">
        <v>4710</v>
      </c>
      <c r="C623" t="s">
        <v>4548</v>
      </c>
      <c r="D623" t="s">
        <v>4705</v>
      </c>
      <c r="E623" t="s">
        <v>1335</v>
      </c>
    </row>
    <row r="624" spans="1:5">
      <c r="A624" t="s">
        <v>1357</v>
      </c>
      <c r="B624" t="s">
        <v>1280</v>
      </c>
      <c r="D624" t="s">
        <v>4705</v>
      </c>
      <c r="E624" t="s">
        <v>1348</v>
      </c>
    </row>
    <row r="625" spans="1:5">
      <c r="A625" t="s">
        <v>1314</v>
      </c>
      <c r="B625" t="s">
        <v>4595</v>
      </c>
      <c r="C625" t="s">
        <v>4596</v>
      </c>
      <c r="D625" t="s">
        <v>4693</v>
      </c>
    </row>
    <row r="626" spans="1:5">
      <c r="A626" t="s">
        <v>1319</v>
      </c>
      <c r="B626" t="s">
        <v>778</v>
      </c>
      <c r="D626" t="s">
        <v>4693</v>
      </c>
      <c r="E626" t="s">
        <v>4694</v>
      </c>
    </row>
    <row r="627" spans="1:5">
      <c r="A627" t="s">
        <v>1815</v>
      </c>
      <c r="B627" t="s">
        <v>4494</v>
      </c>
      <c r="C627" t="s">
        <v>4495</v>
      </c>
      <c r="D627" t="s">
        <v>4812</v>
      </c>
      <c r="E627" t="s">
        <v>1854</v>
      </c>
    </row>
    <row r="628" spans="1:5">
      <c r="A628" t="s">
        <v>1885</v>
      </c>
      <c r="B628" t="s">
        <v>4406</v>
      </c>
      <c r="C628" t="s">
        <v>4407</v>
      </c>
      <c r="D628" t="s">
        <v>4827</v>
      </c>
      <c r="E628" t="s">
        <v>1973</v>
      </c>
    </row>
    <row r="629" spans="1:5">
      <c r="A629" t="s">
        <v>1556</v>
      </c>
      <c r="B629" t="s">
        <v>4500</v>
      </c>
      <c r="D629" t="s">
        <v>4697</v>
      </c>
    </row>
    <row r="630" spans="1:5">
      <c r="A630" t="s">
        <v>4801</v>
      </c>
      <c r="B630" t="s">
        <v>4802</v>
      </c>
      <c r="D630" t="s">
        <v>4800</v>
      </c>
      <c r="E630" t="s">
        <v>1779</v>
      </c>
    </row>
    <row r="631" spans="1:5">
      <c r="A631" t="s">
        <v>1562</v>
      </c>
      <c r="B631" t="s">
        <v>4808</v>
      </c>
      <c r="C631" t="s">
        <v>4555</v>
      </c>
      <c r="D631" t="s">
        <v>4800</v>
      </c>
      <c r="E631" t="s">
        <v>1793</v>
      </c>
    </row>
    <row r="632" spans="1:5">
      <c r="A632" t="s">
        <v>1566</v>
      </c>
      <c r="B632" t="s">
        <v>4806</v>
      </c>
      <c r="D632" t="s">
        <v>4800</v>
      </c>
      <c r="E632" t="s">
        <v>1788</v>
      </c>
    </row>
    <row r="633" spans="1:5">
      <c r="A633" t="s">
        <v>1547</v>
      </c>
      <c r="B633" t="s">
        <v>4368</v>
      </c>
      <c r="C633" t="s">
        <v>4369</v>
      </c>
      <c r="D633" t="s">
        <v>4800</v>
      </c>
      <c r="E633" t="s">
        <v>1777</v>
      </c>
    </row>
    <row r="634" spans="1:5">
      <c r="A634" t="s">
        <v>2120</v>
      </c>
      <c r="B634" t="s">
        <v>4470</v>
      </c>
      <c r="C634" t="s">
        <v>4369</v>
      </c>
      <c r="D634" t="s">
        <v>4800</v>
      </c>
      <c r="E634" t="s">
        <v>1780</v>
      </c>
    </row>
    <row r="635" spans="1:5">
      <c r="A635" t="s">
        <v>1549</v>
      </c>
      <c r="B635" t="s">
        <v>5019</v>
      </c>
      <c r="C635" t="s">
        <v>4369</v>
      </c>
      <c r="D635" t="s">
        <v>4697</v>
      </c>
    </row>
    <row r="636" spans="1:5">
      <c r="A636" t="s">
        <v>1583</v>
      </c>
      <c r="B636" t="s">
        <v>5020</v>
      </c>
      <c r="D636" t="s">
        <v>4697</v>
      </c>
    </row>
    <row r="637" spans="1:5">
      <c r="A637" t="s">
        <v>1567</v>
      </c>
      <c r="B637" t="s">
        <v>4558</v>
      </c>
      <c r="D637" t="s">
        <v>4697</v>
      </c>
    </row>
    <row r="638" spans="1:5">
      <c r="A638" t="s">
        <v>1581</v>
      </c>
      <c r="B638" t="s">
        <v>4604</v>
      </c>
      <c r="D638" t="s">
        <v>4697</v>
      </c>
    </row>
    <row r="639" spans="1:5">
      <c r="A639" t="s">
        <v>4937</v>
      </c>
      <c r="B639">
        <v>1300</v>
      </c>
      <c r="D639" t="s">
        <v>4697</v>
      </c>
      <c r="E639" t="s">
        <v>4938</v>
      </c>
    </row>
    <row r="640" spans="1:5">
      <c r="A640" t="s">
        <v>1923</v>
      </c>
      <c r="B640" t="s">
        <v>4529</v>
      </c>
      <c r="C640" t="s">
        <v>4530</v>
      </c>
      <c r="D640" t="s">
        <v>4868</v>
      </c>
    </row>
    <row r="641" spans="1:5">
      <c r="A641" t="s">
        <v>4875</v>
      </c>
      <c r="B641">
        <v>1303</v>
      </c>
      <c r="D641" t="s">
        <v>4868</v>
      </c>
      <c r="E641" t="s">
        <v>4874</v>
      </c>
    </row>
    <row r="642" spans="1:5">
      <c r="A642" t="s">
        <v>2152</v>
      </c>
      <c r="B642" t="s">
        <v>4342</v>
      </c>
      <c r="C642" t="s">
        <v>4447</v>
      </c>
      <c r="D642" t="s">
        <v>4827</v>
      </c>
      <c r="E642" t="s">
        <v>1984</v>
      </c>
    </row>
    <row r="643" spans="1:5">
      <c r="A643" t="s">
        <v>2149</v>
      </c>
      <c r="B643" t="s">
        <v>4854</v>
      </c>
      <c r="C643" t="s">
        <v>4447</v>
      </c>
      <c r="D643" t="s">
        <v>4827</v>
      </c>
      <c r="E643" t="s">
        <v>1984</v>
      </c>
    </row>
    <row r="644" spans="1:5">
      <c r="A644" t="s">
        <v>1904</v>
      </c>
      <c r="B644" t="s">
        <v>4452</v>
      </c>
      <c r="C644" t="s">
        <v>4447</v>
      </c>
      <c r="D644" t="s">
        <v>4827</v>
      </c>
      <c r="E644" t="s">
        <v>1986</v>
      </c>
    </row>
    <row r="645" spans="1:5">
      <c r="A645" t="s">
        <v>1874</v>
      </c>
      <c r="B645" t="s">
        <v>4360</v>
      </c>
      <c r="C645" t="s">
        <v>4361</v>
      </c>
      <c r="D645" t="s">
        <v>4827</v>
      </c>
      <c r="E645" t="s">
        <v>1964</v>
      </c>
    </row>
    <row r="646" spans="1:5">
      <c r="A646" t="s">
        <v>1901</v>
      </c>
      <c r="B646" t="s">
        <v>4424</v>
      </c>
      <c r="C646" t="s">
        <v>4425</v>
      </c>
      <c r="D646" t="s">
        <v>4868</v>
      </c>
      <c r="E646" t="s">
        <v>4912</v>
      </c>
    </row>
    <row r="647" spans="1:5">
      <c r="A647" t="s">
        <v>1913</v>
      </c>
      <c r="B647" t="s">
        <v>4427</v>
      </c>
      <c r="C647" t="s">
        <v>4428</v>
      </c>
      <c r="D647" t="s">
        <v>4827</v>
      </c>
      <c r="E647" t="s">
        <v>1993</v>
      </c>
    </row>
    <row r="648" spans="1:5">
      <c r="A648" t="s">
        <v>1912</v>
      </c>
      <c r="B648" t="s">
        <v>4852</v>
      </c>
      <c r="C648" t="s">
        <v>4361</v>
      </c>
      <c r="D648" t="s">
        <v>4827</v>
      </c>
      <c r="E648" t="s">
        <v>1993</v>
      </c>
    </row>
    <row r="649" spans="1:5">
      <c r="A649" t="s">
        <v>1924</v>
      </c>
      <c r="B649" t="s">
        <v>4834</v>
      </c>
      <c r="C649" t="s">
        <v>4361</v>
      </c>
      <c r="D649" t="s">
        <v>4827</v>
      </c>
      <c r="E649" t="s">
        <v>2002</v>
      </c>
    </row>
    <row r="650" spans="1:5">
      <c r="A650" t="s">
        <v>1962</v>
      </c>
      <c r="B650" t="s">
        <v>4849</v>
      </c>
      <c r="C650" t="s">
        <v>4361</v>
      </c>
      <c r="D650" t="s">
        <v>4868</v>
      </c>
    </row>
    <row r="651" spans="1:5">
      <c r="A651" t="s">
        <v>1963</v>
      </c>
      <c r="B651" t="s">
        <v>4849</v>
      </c>
      <c r="C651" t="s">
        <v>4361</v>
      </c>
      <c r="D651" t="s">
        <v>4827</v>
      </c>
      <c r="E651" t="s">
        <v>1979</v>
      </c>
    </row>
    <row r="652" spans="1:5">
      <c r="A652" t="s">
        <v>1882</v>
      </c>
      <c r="B652" t="s">
        <v>4337</v>
      </c>
      <c r="C652" t="s">
        <v>4398</v>
      </c>
      <c r="D652" t="s">
        <v>4827</v>
      </c>
      <c r="E652" t="s">
        <v>1970</v>
      </c>
    </row>
    <row r="653" spans="1:5">
      <c r="A653" t="s">
        <v>1940</v>
      </c>
      <c r="B653" t="s">
        <v>5021</v>
      </c>
      <c r="C653" t="s">
        <v>4553</v>
      </c>
      <c r="D653" t="s">
        <v>4868</v>
      </c>
    </row>
    <row r="654" spans="1:5">
      <c r="A654" t="s">
        <v>1925</v>
      </c>
      <c r="B654" t="s">
        <v>4835</v>
      </c>
      <c r="C654" t="s">
        <v>4425</v>
      </c>
      <c r="D654" t="s">
        <v>4827</v>
      </c>
      <c r="E654" t="s">
        <v>2002</v>
      </c>
    </row>
    <row r="655" spans="1:5">
      <c r="A655" t="s">
        <v>2151</v>
      </c>
      <c r="B655" t="s">
        <v>4342</v>
      </c>
      <c r="C655" t="s">
        <v>4447</v>
      </c>
      <c r="D655" t="s">
        <v>4827</v>
      </c>
      <c r="E655" t="s">
        <v>1987</v>
      </c>
    </row>
    <row r="656" spans="1:5">
      <c r="A656" t="s">
        <v>1959</v>
      </c>
      <c r="B656" t="s">
        <v>4336</v>
      </c>
      <c r="C656" t="s">
        <v>4389</v>
      </c>
      <c r="D656" t="s">
        <v>4868</v>
      </c>
    </row>
    <row r="657" spans="1:5">
      <c r="A657" t="s">
        <v>1918</v>
      </c>
      <c r="B657" t="s">
        <v>4341</v>
      </c>
      <c r="C657" t="s">
        <v>4434</v>
      </c>
      <c r="D657" t="s">
        <v>4827</v>
      </c>
      <c r="E657" t="s">
        <v>1997</v>
      </c>
    </row>
    <row r="658" spans="1:5">
      <c r="A658" t="s">
        <v>1881</v>
      </c>
      <c r="B658" t="s">
        <v>4388</v>
      </c>
      <c r="C658" t="s">
        <v>4361</v>
      </c>
      <c r="D658" t="s">
        <v>4827</v>
      </c>
      <c r="E658" t="s">
        <v>1969</v>
      </c>
    </row>
    <row r="659" spans="1:5">
      <c r="A659" t="s">
        <v>1911</v>
      </c>
      <c r="B659" t="s">
        <v>46</v>
      </c>
      <c r="C659" t="s">
        <v>4399</v>
      </c>
      <c r="D659" t="s">
        <v>4827</v>
      </c>
      <c r="E659" t="s">
        <v>1992</v>
      </c>
    </row>
    <row r="660" spans="1:5">
      <c r="A660" t="s">
        <v>1883</v>
      </c>
      <c r="B660" t="s">
        <v>4338</v>
      </c>
      <c r="C660" t="s">
        <v>4399</v>
      </c>
      <c r="D660" t="s">
        <v>4827</v>
      </c>
      <c r="E660" t="s">
        <v>1971</v>
      </c>
    </row>
    <row r="661" spans="1:5">
      <c r="A661" t="s">
        <v>1931</v>
      </c>
      <c r="B661" t="s">
        <v>4749</v>
      </c>
      <c r="C661" t="s">
        <v>4361</v>
      </c>
      <c r="D661" t="s">
        <v>4827</v>
      </c>
      <c r="E661" t="s">
        <v>2003</v>
      </c>
    </row>
    <row r="662" spans="1:5">
      <c r="A662" t="s">
        <v>1896</v>
      </c>
      <c r="B662" t="s">
        <v>4519</v>
      </c>
      <c r="D662" t="s">
        <v>4868</v>
      </c>
    </row>
    <row r="663" spans="1:5">
      <c r="A663" t="s">
        <v>1947</v>
      </c>
      <c r="B663" t="s">
        <v>773</v>
      </c>
      <c r="C663" t="s">
        <v>4502</v>
      </c>
      <c r="D663" t="s">
        <v>4827</v>
      </c>
      <c r="E663" t="s">
        <v>2013</v>
      </c>
    </row>
    <row r="664" spans="1:5">
      <c r="A664" t="s">
        <v>1957</v>
      </c>
      <c r="B664" t="s">
        <v>4519</v>
      </c>
      <c r="D664" t="s">
        <v>4827</v>
      </c>
      <c r="E664" t="s">
        <v>1982</v>
      </c>
    </row>
    <row r="665" spans="1:5">
      <c r="A665" t="s">
        <v>2158</v>
      </c>
      <c r="B665" t="s">
        <v>4809</v>
      </c>
      <c r="D665" t="s">
        <v>4827</v>
      </c>
      <c r="E665" t="s">
        <v>2016</v>
      </c>
    </row>
    <row r="666" spans="1:5">
      <c r="A666" t="s">
        <v>1958</v>
      </c>
      <c r="B666" t="s">
        <v>4519</v>
      </c>
      <c r="D666" t="s">
        <v>4827</v>
      </c>
    </row>
    <row r="667" spans="1:5">
      <c r="A667" t="s">
        <v>2157</v>
      </c>
      <c r="B667" t="s">
        <v>4354</v>
      </c>
      <c r="D667" t="s">
        <v>4827</v>
      </c>
      <c r="E667" t="s">
        <v>2015</v>
      </c>
    </row>
    <row r="668" spans="1:5">
      <c r="A668" t="s">
        <v>1897</v>
      </c>
      <c r="B668" t="s">
        <v>4519</v>
      </c>
      <c r="D668" t="s">
        <v>4868</v>
      </c>
    </row>
    <row r="669" spans="1:5">
      <c r="A669" t="s">
        <v>1898</v>
      </c>
      <c r="B669" t="s">
        <v>4519</v>
      </c>
      <c r="D669" t="s">
        <v>4868</v>
      </c>
    </row>
    <row r="670" spans="1:5">
      <c r="A670" t="s">
        <v>4905</v>
      </c>
      <c r="B670">
        <v>1144</v>
      </c>
      <c r="C670" t="s">
        <v>4469</v>
      </c>
      <c r="D670" t="s">
        <v>4868</v>
      </c>
      <c r="E670" t="s">
        <v>4906</v>
      </c>
    </row>
    <row r="671" spans="1:5">
      <c r="A671" t="s">
        <v>1891</v>
      </c>
      <c r="B671" t="s">
        <v>4484</v>
      </c>
      <c r="D671" t="s">
        <v>4827</v>
      </c>
      <c r="E671" t="s">
        <v>1976</v>
      </c>
    </row>
    <row r="672" spans="1:5">
      <c r="A672" t="s">
        <v>1563</v>
      </c>
      <c r="B672" t="s">
        <v>751</v>
      </c>
      <c r="C672" t="s">
        <v>4577</v>
      </c>
      <c r="D672" t="s">
        <v>4800</v>
      </c>
      <c r="E672" t="s">
        <v>1793</v>
      </c>
    </row>
    <row r="673" spans="1:5">
      <c r="A673" t="s">
        <v>2641</v>
      </c>
      <c r="B673" t="s">
        <v>4859</v>
      </c>
      <c r="C673" t="s">
        <v>2624</v>
      </c>
      <c r="D673" t="s">
        <v>4855</v>
      </c>
      <c r="E673" t="s">
        <v>2711</v>
      </c>
    </row>
    <row r="674" spans="1:5">
      <c r="A674" t="s">
        <v>1843</v>
      </c>
      <c r="B674" t="s">
        <v>1044</v>
      </c>
      <c r="C674" t="s">
        <v>4449</v>
      </c>
      <c r="D674" t="s">
        <v>4812</v>
      </c>
      <c r="E674" t="s">
        <v>1870</v>
      </c>
    </row>
    <row r="675" spans="1:5">
      <c r="A675" t="s">
        <v>1844</v>
      </c>
      <c r="B675" t="s">
        <v>1044</v>
      </c>
      <c r="C675" t="s">
        <v>4449</v>
      </c>
      <c r="D675" t="s">
        <v>4812</v>
      </c>
      <c r="E675" t="s">
        <v>1871</v>
      </c>
    </row>
    <row r="676" spans="1:5">
      <c r="A676" t="s">
        <v>1847</v>
      </c>
      <c r="B676" t="s">
        <v>4810</v>
      </c>
      <c r="D676" t="s">
        <v>4911</v>
      </c>
    </row>
    <row r="677" spans="1:5">
      <c r="A677" t="s">
        <v>2669</v>
      </c>
      <c r="B677" t="s">
        <v>2694</v>
      </c>
      <c r="C677" t="s">
        <v>2705</v>
      </c>
      <c r="D677" t="s">
        <v>4855</v>
      </c>
      <c r="E677" t="s">
        <v>2751</v>
      </c>
    </row>
    <row r="678" spans="1:5">
      <c r="A678" t="s">
        <v>4864</v>
      </c>
      <c r="B678">
        <v>1261</v>
      </c>
      <c r="C678" t="s">
        <v>2624</v>
      </c>
      <c r="D678" t="s">
        <v>4855</v>
      </c>
      <c r="E678" t="s">
        <v>2747</v>
      </c>
    </row>
    <row r="679" spans="1:5">
      <c r="A679" t="s">
        <v>2632</v>
      </c>
      <c r="B679" t="s">
        <v>2674</v>
      </c>
      <c r="D679" t="s">
        <v>4855</v>
      </c>
      <c r="E679" t="s">
        <v>2722</v>
      </c>
    </row>
    <row r="680" spans="1:5">
      <c r="A680" t="s">
        <v>2629</v>
      </c>
      <c r="B680" t="s">
        <v>806</v>
      </c>
      <c r="C680" t="s">
        <v>2678</v>
      </c>
      <c r="D680" t="s">
        <v>4855</v>
      </c>
      <c r="E680" t="s">
        <v>2717</v>
      </c>
    </row>
    <row r="681" spans="1:5">
      <c r="A681" t="s">
        <v>2670</v>
      </c>
      <c r="B681" t="s">
        <v>2695</v>
      </c>
      <c r="C681" t="s">
        <v>2678</v>
      </c>
      <c r="D681" t="s">
        <v>4855</v>
      </c>
      <c r="E681" t="s">
        <v>2752</v>
      </c>
    </row>
    <row r="682" spans="1:5">
      <c r="A682" t="s">
        <v>2658</v>
      </c>
      <c r="B682" t="s">
        <v>2685</v>
      </c>
      <c r="D682" t="s">
        <v>4855</v>
      </c>
      <c r="E682" t="s">
        <v>2739</v>
      </c>
    </row>
    <row r="683" spans="1:5">
      <c r="A683" t="s">
        <v>2654</v>
      </c>
      <c r="B683" t="s">
        <v>2682</v>
      </c>
      <c r="C683" t="s">
        <v>2696</v>
      </c>
      <c r="D683" t="s">
        <v>4855</v>
      </c>
      <c r="E683" t="s">
        <v>2735</v>
      </c>
    </row>
    <row r="684" spans="1:5">
      <c r="A684" t="s">
        <v>2650</v>
      </c>
      <c r="B684" t="s">
        <v>2680</v>
      </c>
      <c r="C684" t="s">
        <v>2701</v>
      </c>
      <c r="D684" t="s">
        <v>4855</v>
      </c>
      <c r="E684" t="s">
        <v>2729</v>
      </c>
    </row>
    <row r="685" spans="1:5">
      <c r="A685" t="s">
        <v>2644</v>
      </c>
      <c r="B685" t="s">
        <v>2675</v>
      </c>
      <c r="D685" t="s">
        <v>4855</v>
      </c>
      <c r="E685" t="s">
        <v>2726</v>
      </c>
    </row>
    <row r="686" spans="1:5">
      <c r="A686" t="s">
        <v>1553</v>
      </c>
      <c r="B686" t="s">
        <v>4706</v>
      </c>
      <c r="C686" t="s">
        <v>4487</v>
      </c>
      <c r="D686" t="s">
        <v>4800</v>
      </c>
      <c r="E686" t="s">
        <v>1784</v>
      </c>
    </row>
    <row r="687" spans="1:5">
      <c r="A687" t="s">
        <v>1832</v>
      </c>
      <c r="B687" t="s">
        <v>4744</v>
      </c>
      <c r="D687" t="s">
        <v>4812</v>
      </c>
      <c r="E687" t="s">
        <v>1866</v>
      </c>
    </row>
    <row r="688" spans="1:5">
      <c r="A688" t="s">
        <v>2141</v>
      </c>
      <c r="B688" t="s">
        <v>4745</v>
      </c>
      <c r="D688" t="s">
        <v>4812</v>
      </c>
      <c r="E688" t="s">
        <v>1867</v>
      </c>
    </row>
    <row r="689" spans="1:5">
      <c r="A689" t="s">
        <v>1829</v>
      </c>
      <c r="B689" t="s">
        <v>4825</v>
      </c>
      <c r="D689" t="s">
        <v>4911</v>
      </c>
    </row>
    <row r="690" spans="1:5">
      <c r="A690" t="s">
        <v>1830</v>
      </c>
      <c r="B690" t="s">
        <v>4825</v>
      </c>
      <c r="D690" t="s">
        <v>4812</v>
      </c>
      <c r="E690" t="s">
        <v>1865</v>
      </c>
    </row>
    <row r="691" spans="1:5">
      <c r="A691" t="s">
        <v>1839</v>
      </c>
      <c r="B691" t="s">
        <v>790</v>
      </c>
      <c r="D691" t="s">
        <v>4812</v>
      </c>
      <c r="E691" t="s">
        <v>1868</v>
      </c>
    </row>
    <row r="692" spans="1:5">
      <c r="A692" t="s">
        <v>1831</v>
      </c>
      <c r="B692" t="s">
        <v>1822</v>
      </c>
      <c r="D692" t="s">
        <v>4812</v>
      </c>
      <c r="E692" t="s">
        <v>1864</v>
      </c>
    </row>
    <row r="693" spans="1:5">
      <c r="A693" t="s">
        <v>1845</v>
      </c>
      <c r="B693" t="s">
        <v>1044</v>
      </c>
      <c r="D693" t="s">
        <v>4812</v>
      </c>
      <c r="E693" t="s">
        <v>1872</v>
      </c>
    </row>
    <row r="694" spans="1:5">
      <c r="A694" t="s">
        <v>1833</v>
      </c>
      <c r="B694" t="s">
        <v>4745</v>
      </c>
      <c r="D694" t="s">
        <v>4812</v>
      </c>
      <c r="E694" t="s">
        <v>1867</v>
      </c>
    </row>
    <row r="695" spans="1:5">
      <c r="A695" t="s">
        <v>1835</v>
      </c>
      <c r="B695" t="s">
        <v>5022</v>
      </c>
      <c r="D695" t="s">
        <v>4911</v>
      </c>
    </row>
    <row r="696" spans="1:5">
      <c r="A696" t="s">
        <v>1846</v>
      </c>
      <c r="B696" t="s">
        <v>1047</v>
      </c>
      <c r="D696" t="s">
        <v>4812</v>
      </c>
      <c r="E696" t="s">
        <v>1871</v>
      </c>
    </row>
    <row r="697" spans="1:5">
      <c r="A697" t="s">
        <v>1824</v>
      </c>
      <c r="B697" t="s">
        <v>4346</v>
      </c>
      <c r="C697" t="s">
        <v>4561</v>
      </c>
      <c r="D697" t="s">
        <v>4911</v>
      </c>
    </row>
    <row r="698" spans="1:5">
      <c r="A698" t="s">
        <v>4919</v>
      </c>
      <c r="B698">
        <v>1300</v>
      </c>
      <c r="D698" t="s">
        <v>4911</v>
      </c>
      <c r="E698" t="s">
        <v>4918</v>
      </c>
    </row>
    <row r="699" spans="1:5">
      <c r="A699" t="s">
        <v>1921</v>
      </c>
      <c r="B699" t="s">
        <v>4350</v>
      </c>
      <c r="C699" t="s">
        <v>4526</v>
      </c>
      <c r="D699" t="s">
        <v>4827</v>
      </c>
      <c r="E699" t="s">
        <v>2001</v>
      </c>
    </row>
    <row r="700" spans="1:5">
      <c r="A700" t="s">
        <v>1875</v>
      </c>
      <c r="B700" t="s">
        <v>5023</v>
      </c>
      <c r="C700" t="s">
        <v>4367</v>
      </c>
      <c r="D700" t="s">
        <v>4868</v>
      </c>
    </row>
    <row r="701" spans="1:5">
      <c r="A701" t="s">
        <v>1941</v>
      </c>
      <c r="B701" t="s">
        <v>4837</v>
      </c>
      <c r="D701" t="s">
        <v>4827</v>
      </c>
      <c r="E701" t="s">
        <v>2009</v>
      </c>
    </row>
    <row r="702" spans="1:5">
      <c r="A702" t="s">
        <v>4674</v>
      </c>
      <c r="B702" t="s">
        <v>5024</v>
      </c>
      <c r="C702" t="s">
        <v>4506</v>
      </c>
      <c r="D702" t="s">
        <v>4868</v>
      </c>
    </row>
    <row r="703" spans="1:5">
      <c r="A703" t="s">
        <v>1895</v>
      </c>
      <c r="B703" t="s">
        <v>4828</v>
      </c>
      <c r="C703" t="s">
        <v>4433</v>
      </c>
      <c r="D703" t="s">
        <v>4827</v>
      </c>
      <c r="E703" t="s">
        <v>1980</v>
      </c>
    </row>
    <row r="704" spans="1:5">
      <c r="A704" t="s">
        <v>1894</v>
      </c>
      <c r="B704" t="s">
        <v>4829</v>
      </c>
      <c r="C704" t="s">
        <v>4433</v>
      </c>
      <c r="D704" t="s">
        <v>4827</v>
      </c>
      <c r="E704" t="s">
        <v>1980</v>
      </c>
    </row>
    <row r="705" spans="1:5">
      <c r="A705" t="s">
        <v>1950</v>
      </c>
      <c r="B705" t="s">
        <v>4840</v>
      </c>
      <c r="C705" t="s">
        <v>4502</v>
      </c>
      <c r="D705" t="s">
        <v>4827</v>
      </c>
      <c r="E705" t="s">
        <v>2015</v>
      </c>
    </row>
    <row r="706" spans="1:5">
      <c r="A706" t="s">
        <v>1942</v>
      </c>
      <c r="B706" t="s">
        <v>4838</v>
      </c>
      <c r="D706" t="s">
        <v>4827</v>
      </c>
      <c r="E706" t="s">
        <v>2009</v>
      </c>
    </row>
    <row r="707" spans="1:5">
      <c r="A707" t="s">
        <v>1939</v>
      </c>
      <c r="B707" t="s">
        <v>5025</v>
      </c>
      <c r="D707" t="s">
        <v>4868</v>
      </c>
    </row>
    <row r="708" spans="1:5">
      <c r="A708" t="s">
        <v>1917</v>
      </c>
      <c r="B708" t="s">
        <v>4432</v>
      </c>
      <c r="C708" t="s">
        <v>4433</v>
      </c>
      <c r="D708" t="s">
        <v>4827</v>
      </c>
      <c r="E708" t="s">
        <v>1995</v>
      </c>
    </row>
    <row r="709" spans="1:5">
      <c r="A709" t="s">
        <v>1956</v>
      </c>
      <c r="B709" t="s">
        <v>4439</v>
      </c>
      <c r="C709" t="s">
        <v>4440</v>
      </c>
      <c r="D709" t="s">
        <v>4868</v>
      </c>
    </row>
    <row r="710" spans="1:5">
      <c r="A710" t="s">
        <v>2125</v>
      </c>
      <c r="B710" t="s">
        <v>5026</v>
      </c>
      <c r="C710" t="s">
        <v>4485</v>
      </c>
      <c r="D710" t="s">
        <v>4697</v>
      </c>
    </row>
    <row r="711" spans="1:5">
      <c r="A711" t="s">
        <v>1558</v>
      </c>
      <c r="B711" t="s">
        <v>4527</v>
      </c>
      <c r="C711" t="s">
        <v>4481</v>
      </c>
      <c r="D711" t="s">
        <v>4800</v>
      </c>
      <c r="E711" t="s">
        <v>1790</v>
      </c>
    </row>
    <row r="712" spans="1:5">
      <c r="A712" t="s">
        <v>2126</v>
      </c>
      <c r="B712" t="s">
        <v>5027</v>
      </c>
      <c r="C712" t="s">
        <v>4481</v>
      </c>
      <c r="D712" t="s">
        <v>4697</v>
      </c>
    </row>
    <row r="713" spans="1:5">
      <c r="A713" t="s">
        <v>2122</v>
      </c>
      <c r="B713" t="s">
        <v>4482</v>
      </c>
      <c r="D713" t="s">
        <v>4800</v>
      </c>
      <c r="E713" t="s">
        <v>1785</v>
      </c>
    </row>
    <row r="714" spans="1:5">
      <c r="A714" t="s">
        <v>1578</v>
      </c>
      <c r="B714" t="s">
        <v>4348</v>
      </c>
      <c r="C714" t="s">
        <v>4481</v>
      </c>
      <c r="D714" t="s">
        <v>4800</v>
      </c>
      <c r="E714" t="s">
        <v>1803</v>
      </c>
    </row>
    <row r="715" spans="1:5">
      <c r="A715" t="s">
        <v>1552</v>
      </c>
      <c r="B715" t="s">
        <v>4482</v>
      </c>
      <c r="D715" t="s">
        <v>4697</v>
      </c>
      <c r="E715" t="s">
        <v>1783</v>
      </c>
    </row>
    <row r="716" spans="1:5">
      <c r="A716" t="s">
        <v>1572</v>
      </c>
      <c r="B716" t="s">
        <v>4729</v>
      </c>
      <c r="D716" t="s">
        <v>4800</v>
      </c>
      <c r="E716" t="s">
        <v>1797</v>
      </c>
    </row>
    <row r="717" spans="1:5">
      <c r="A717" t="s">
        <v>1568</v>
      </c>
      <c r="B717" t="s">
        <v>4562</v>
      </c>
      <c r="D717" t="s">
        <v>4697</v>
      </c>
    </row>
    <row r="718" spans="1:5">
      <c r="A718" t="s">
        <v>1580</v>
      </c>
      <c r="B718" t="s">
        <v>1044</v>
      </c>
      <c r="C718" t="s">
        <v>4481</v>
      </c>
      <c r="D718" t="s">
        <v>4800</v>
      </c>
      <c r="E718" t="s">
        <v>1805</v>
      </c>
    </row>
    <row r="719" spans="1:5">
      <c r="A719" t="s">
        <v>1579</v>
      </c>
      <c r="B719" t="s">
        <v>4811</v>
      </c>
      <c r="C719" t="s">
        <v>4635</v>
      </c>
      <c r="D719" t="s">
        <v>4800</v>
      </c>
      <c r="E719" t="s">
        <v>1805</v>
      </c>
    </row>
    <row r="720" spans="1:5">
      <c r="A720" t="s">
        <v>1571</v>
      </c>
      <c r="B720" t="s">
        <v>4729</v>
      </c>
      <c r="D720" t="s">
        <v>4800</v>
      </c>
      <c r="E720" t="s">
        <v>1797</v>
      </c>
    </row>
    <row r="721" spans="1:5">
      <c r="A721" t="s">
        <v>1570</v>
      </c>
      <c r="B721" t="s">
        <v>4687</v>
      </c>
      <c r="D721" t="s">
        <v>4800</v>
      </c>
      <c r="E721" t="s">
        <v>1796</v>
      </c>
    </row>
    <row r="722" spans="1:5">
      <c r="A722" t="s">
        <v>2131</v>
      </c>
      <c r="B722" t="s">
        <v>4631</v>
      </c>
      <c r="D722" t="s">
        <v>4800</v>
      </c>
      <c r="E722" t="s">
        <v>1802</v>
      </c>
    </row>
    <row r="723" spans="1:5">
      <c r="A723" t="s">
        <v>1565</v>
      </c>
      <c r="B723" t="s">
        <v>4352</v>
      </c>
      <c r="C723" t="s">
        <v>4485</v>
      </c>
      <c r="D723" t="s">
        <v>4697</v>
      </c>
    </row>
    <row r="724" spans="1:5">
      <c r="A724" t="s">
        <v>1582</v>
      </c>
      <c r="B724" t="s">
        <v>5028</v>
      </c>
      <c r="C724" t="s">
        <v>4607</v>
      </c>
      <c r="D724" t="s">
        <v>4697</v>
      </c>
    </row>
    <row r="725" spans="1:5">
      <c r="A725" t="s">
        <v>1550</v>
      </c>
      <c r="B725" t="s">
        <v>4482</v>
      </c>
      <c r="C725" t="s">
        <v>4481</v>
      </c>
      <c r="D725" t="s">
        <v>4800</v>
      </c>
      <c r="E725" t="s">
        <v>1784</v>
      </c>
    </row>
    <row r="726" spans="1:5">
      <c r="A726" t="s">
        <v>1557</v>
      </c>
      <c r="B726" t="s">
        <v>4521</v>
      </c>
      <c r="D726" t="s">
        <v>4800</v>
      </c>
      <c r="E726" t="s">
        <v>1789</v>
      </c>
    </row>
    <row r="727" spans="1:5">
      <c r="A727" t="s">
        <v>1575</v>
      </c>
      <c r="B727" t="s">
        <v>778</v>
      </c>
      <c r="D727" t="s">
        <v>4800</v>
      </c>
      <c r="E727" t="s">
        <v>1799</v>
      </c>
    </row>
    <row r="728" spans="1:5">
      <c r="A728" t="s">
        <v>1576</v>
      </c>
      <c r="B728" t="s">
        <v>4711</v>
      </c>
      <c r="D728" t="s">
        <v>4800</v>
      </c>
      <c r="E728" t="s">
        <v>1800</v>
      </c>
    </row>
    <row r="729" spans="1:5">
      <c r="A729" t="s">
        <v>1551</v>
      </c>
      <c r="B729" t="s">
        <v>4482</v>
      </c>
      <c r="D729" t="s">
        <v>4800</v>
      </c>
      <c r="E729" t="s">
        <v>1785</v>
      </c>
    </row>
    <row r="730" spans="1:5">
      <c r="A730" t="s">
        <v>1546</v>
      </c>
      <c r="B730" t="s">
        <v>4799</v>
      </c>
      <c r="D730" t="s">
        <v>4800</v>
      </c>
      <c r="E730" t="s">
        <v>1776</v>
      </c>
    </row>
    <row r="731" spans="1:5">
      <c r="A731" t="s">
        <v>4913</v>
      </c>
      <c r="B731" t="s">
        <v>4523</v>
      </c>
      <c r="C731" t="s">
        <v>4481</v>
      </c>
      <c r="D731" t="s">
        <v>4697</v>
      </c>
      <c r="E731" t="s">
        <v>1789</v>
      </c>
    </row>
    <row r="732" spans="1:5">
      <c r="A732" t="s">
        <v>4897</v>
      </c>
      <c r="B732">
        <v>1303</v>
      </c>
      <c r="D732" t="s">
        <v>4697</v>
      </c>
      <c r="E732" t="s">
        <v>4898</v>
      </c>
    </row>
    <row r="733" spans="1:5">
      <c r="A733" t="s">
        <v>4945</v>
      </c>
      <c r="B733">
        <v>1301</v>
      </c>
      <c r="D733" t="s">
        <v>4697</v>
      </c>
      <c r="E733" t="s">
        <v>4942</v>
      </c>
    </row>
    <row r="734" spans="1:5">
      <c r="A734" t="s">
        <v>4939</v>
      </c>
      <c r="B734" t="s">
        <v>4940</v>
      </c>
      <c r="C734" t="s">
        <v>4395</v>
      </c>
      <c r="D734" t="s">
        <v>4697</v>
      </c>
      <c r="E734" t="s">
        <v>4938</v>
      </c>
    </row>
    <row r="735" spans="1:5">
      <c r="A735" t="s">
        <v>5029</v>
      </c>
      <c r="B735" t="s">
        <v>4654</v>
      </c>
      <c r="D735" t="s">
        <v>4697</v>
      </c>
    </row>
    <row r="736" spans="1:5">
      <c r="A736" t="s">
        <v>4899</v>
      </c>
      <c r="B736">
        <v>1303</v>
      </c>
      <c r="C736" t="s">
        <v>4502</v>
      </c>
      <c r="D736" t="s">
        <v>4697</v>
      </c>
      <c r="E736" t="s">
        <v>4898</v>
      </c>
    </row>
    <row r="737" spans="1:5">
      <c r="A737" t="s">
        <v>4936</v>
      </c>
      <c r="B737">
        <v>1301</v>
      </c>
      <c r="C737" t="s">
        <v>4650</v>
      </c>
      <c r="D737" t="s">
        <v>4697</v>
      </c>
      <c r="E737" t="s">
        <v>1803</v>
      </c>
    </row>
    <row r="738" spans="1:5">
      <c r="A738" t="s">
        <v>1938</v>
      </c>
      <c r="B738" t="s">
        <v>4836</v>
      </c>
      <c r="C738" t="s">
        <v>4402</v>
      </c>
      <c r="D738" t="s">
        <v>4827</v>
      </c>
      <c r="E738" t="s">
        <v>2008</v>
      </c>
    </row>
    <row r="739" spans="1:5">
      <c r="A739" t="s">
        <v>1884</v>
      </c>
      <c r="B739" t="s">
        <v>4405</v>
      </c>
      <c r="C739" t="s">
        <v>4402</v>
      </c>
      <c r="D739" t="s">
        <v>4827</v>
      </c>
      <c r="E739" t="s">
        <v>1972</v>
      </c>
    </row>
    <row r="740" spans="1:5">
      <c r="A740" t="s">
        <v>4946</v>
      </c>
      <c r="B740" t="s">
        <v>4459</v>
      </c>
      <c r="C740" t="s">
        <v>4402</v>
      </c>
      <c r="D740" t="s">
        <v>4868</v>
      </c>
      <c r="E740" t="s">
        <v>4947</v>
      </c>
    </row>
    <row r="741" spans="1:5">
      <c r="A741" t="s">
        <v>4924</v>
      </c>
      <c r="B741" t="s">
        <v>4925</v>
      </c>
      <c r="C741" t="s">
        <v>4402</v>
      </c>
      <c r="D741" t="s">
        <v>4868</v>
      </c>
      <c r="E741" t="s">
        <v>4926</v>
      </c>
    </row>
    <row r="742" spans="1:5">
      <c r="A742" t="s">
        <v>2119</v>
      </c>
      <c r="B742" t="s">
        <v>4383</v>
      </c>
      <c r="C742" t="s">
        <v>4384</v>
      </c>
      <c r="D742" t="s">
        <v>4800</v>
      </c>
      <c r="E742" t="s">
        <v>1778</v>
      </c>
    </row>
    <row r="743" spans="1:5">
      <c r="A743" t="s">
        <v>2124</v>
      </c>
      <c r="B743" t="s">
        <v>4496</v>
      </c>
      <c r="D743" t="s">
        <v>4697</v>
      </c>
    </row>
    <row r="744" spans="1:5">
      <c r="A744" t="s">
        <v>1561</v>
      </c>
      <c r="B744" t="s">
        <v>5030</v>
      </c>
      <c r="D744" t="s">
        <v>4697</v>
      </c>
    </row>
    <row r="745" spans="1:5">
      <c r="A745" t="s">
        <v>4927</v>
      </c>
      <c r="B745" t="s">
        <v>4928</v>
      </c>
      <c r="D745" t="s">
        <v>4697</v>
      </c>
      <c r="E745" t="s">
        <v>4921</v>
      </c>
    </row>
    <row r="746" spans="1:5">
      <c r="A746" t="s">
        <v>4902</v>
      </c>
      <c r="B746" t="s">
        <v>4903</v>
      </c>
      <c r="D746" t="s">
        <v>4697</v>
      </c>
      <c r="E746" t="s">
        <v>4904</v>
      </c>
    </row>
  </sheetData>
  <sortState xmlns:xlrd2="http://schemas.microsoft.com/office/spreadsheetml/2017/richdata2" ref="A2:E746">
    <sortCondition ref="A1:A74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7382C-A604-F64A-9341-E8F585A92C60}">
  <dimension ref="A1:G20"/>
  <sheetViews>
    <sheetView workbookViewId="0">
      <selection activeCell="G24" sqref="G24"/>
    </sheetView>
  </sheetViews>
  <sheetFormatPr baseColWidth="10" defaultRowHeight="16"/>
  <cols>
    <col min="1" max="1" width="23.1640625" bestFit="1" customWidth="1"/>
  </cols>
  <sheetData>
    <row r="1" spans="1:7" s="2" customFormat="1">
      <c r="A1" s="3" t="s">
        <v>7</v>
      </c>
      <c r="B1" s="3" t="s">
        <v>484</v>
      </c>
      <c r="C1" s="3" t="s">
        <v>9</v>
      </c>
      <c r="D1" s="3" t="s">
        <v>2475</v>
      </c>
      <c r="E1" s="3" t="s">
        <v>485</v>
      </c>
      <c r="F1" s="3" t="s">
        <v>2298</v>
      </c>
      <c r="G1" s="3" t="s">
        <v>1214</v>
      </c>
    </row>
    <row r="2" spans="1:7">
      <c r="A2" t="s">
        <v>2609</v>
      </c>
      <c r="B2" s="4">
        <v>1292</v>
      </c>
      <c r="D2" t="s">
        <v>2595</v>
      </c>
      <c r="E2" t="s">
        <v>2590</v>
      </c>
    </row>
    <row r="3" spans="1:7">
      <c r="A3" t="s">
        <v>2610</v>
      </c>
      <c r="B3" s="4">
        <v>1270</v>
      </c>
      <c r="C3" t="s">
        <v>2586</v>
      </c>
      <c r="D3" t="s">
        <v>2596</v>
      </c>
      <c r="E3" t="s">
        <v>2591</v>
      </c>
    </row>
    <row r="4" spans="1:7">
      <c r="A4" t="s">
        <v>2611</v>
      </c>
      <c r="B4" s="4">
        <v>1097</v>
      </c>
      <c r="C4" t="s">
        <v>2588</v>
      </c>
      <c r="D4" t="s">
        <v>2597</v>
      </c>
      <c r="E4" t="s">
        <v>2592</v>
      </c>
    </row>
    <row r="5" spans="1:7">
      <c r="A5" t="s">
        <v>2612</v>
      </c>
      <c r="B5" s="4">
        <v>1296</v>
      </c>
      <c r="D5" t="s">
        <v>2598</v>
      </c>
      <c r="E5" t="s">
        <v>2593</v>
      </c>
    </row>
    <row r="6" spans="1:7">
      <c r="A6" t="s">
        <v>2613</v>
      </c>
      <c r="B6" s="4">
        <v>1278</v>
      </c>
      <c r="D6" t="s">
        <v>2599</v>
      </c>
      <c r="E6" t="s">
        <v>2590</v>
      </c>
    </row>
    <row r="7" spans="1:7">
      <c r="A7" t="s">
        <v>2614</v>
      </c>
      <c r="B7" s="4">
        <v>1242</v>
      </c>
      <c r="D7" t="s">
        <v>2600</v>
      </c>
      <c r="E7" t="s">
        <v>2591</v>
      </c>
    </row>
    <row r="8" spans="1:7">
      <c r="A8" t="s">
        <v>2616</v>
      </c>
      <c r="B8" s="4">
        <v>1296</v>
      </c>
      <c r="D8" t="s">
        <v>2601</v>
      </c>
      <c r="E8" t="s">
        <v>2593</v>
      </c>
    </row>
    <row r="9" spans="1:7">
      <c r="A9" t="s">
        <v>2615</v>
      </c>
      <c r="B9" s="4">
        <v>1250</v>
      </c>
      <c r="C9" t="s">
        <v>2589</v>
      </c>
      <c r="D9" t="s">
        <v>2602</v>
      </c>
      <c r="E9" t="s">
        <v>2591</v>
      </c>
    </row>
    <row r="10" spans="1:7">
      <c r="A10" t="s">
        <v>2617</v>
      </c>
      <c r="B10" s="4">
        <v>1306</v>
      </c>
      <c r="C10" t="s">
        <v>2587</v>
      </c>
      <c r="D10" t="s">
        <v>2603</v>
      </c>
      <c r="E10" t="s">
        <v>2594</v>
      </c>
    </row>
    <row r="11" spans="1:7">
      <c r="A11" t="s">
        <v>2618</v>
      </c>
      <c r="B11" s="4">
        <v>1305</v>
      </c>
      <c r="D11" t="s">
        <v>2604</v>
      </c>
      <c r="E11" t="s">
        <v>2593</v>
      </c>
    </row>
    <row r="12" spans="1:7">
      <c r="A12" t="s">
        <v>2619</v>
      </c>
      <c r="B12" s="4">
        <v>1290</v>
      </c>
      <c r="D12" t="s">
        <v>2605</v>
      </c>
      <c r="E12" t="s">
        <v>2590</v>
      </c>
    </row>
    <row r="13" spans="1:7">
      <c r="A13" t="s">
        <v>2620</v>
      </c>
      <c r="B13" s="4">
        <v>1300</v>
      </c>
      <c r="D13" t="s">
        <v>2606</v>
      </c>
      <c r="E13" t="s">
        <v>2593</v>
      </c>
    </row>
    <row r="14" spans="1:7">
      <c r="A14" t="s">
        <v>2621</v>
      </c>
      <c r="B14" s="4">
        <v>1269</v>
      </c>
      <c r="D14" t="s">
        <v>2607</v>
      </c>
      <c r="E14" t="s">
        <v>2591</v>
      </c>
    </row>
    <row r="15" spans="1:7">
      <c r="A15" t="s">
        <v>2622</v>
      </c>
      <c r="B15" s="4">
        <v>1285</v>
      </c>
      <c r="D15" t="s">
        <v>2608</v>
      </c>
      <c r="E15" t="s">
        <v>2590</v>
      </c>
    </row>
    <row r="16" spans="1:7">
      <c r="A16" t="s">
        <v>2570</v>
      </c>
      <c r="B16">
        <v>1284</v>
      </c>
      <c r="D16" t="s">
        <v>2581</v>
      </c>
      <c r="E16" t="s">
        <v>2571</v>
      </c>
    </row>
    <row r="17" spans="1:5">
      <c r="A17" t="s">
        <v>2582</v>
      </c>
      <c r="B17">
        <v>1295</v>
      </c>
      <c r="D17" t="s">
        <v>2580</v>
      </c>
      <c r="E17" t="s">
        <v>2572</v>
      </c>
    </row>
    <row r="18" spans="1:5">
      <c r="A18" t="s">
        <v>2583</v>
      </c>
      <c r="B18">
        <v>1296</v>
      </c>
      <c r="D18" t="s">
        <v>2579</v>
      </c>
      <c r="E18" t="s">
        <v>2573</v>
      </c>
    </row>
    <row r="19" spans="1:5">
      <c r="A19" t="s">
        <v>2584</v>
      </c>
      <c r="B19">
        <v>1301</v>
      </c>
      <c r="D19" t="s">
        <v>2578</v>
      </c>
      <c r="E19" t="s">
        <v>2574</v>
      </c>
    </row>
    <row r="20" spans="1:5">
      <c r="A20" t="s">
        <v>2585</v>
      </c>
      <c r="B20">
        <v>1303</v>
      </c>
      <c r="C20" t="s">
        <v>2576</v>
      </c>
      <c r="D20" t="s">
        <v>2577</v>
      </c>
      <c r="E20" t="s">
        <v>2575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FFA3E-253D-8E47-998A-3AD96826E581}">
  <dimension ref="A1:N391"/>
  <sheetViews>
    <sheetView topLeftCell="A255" zoomScale="119" zoomScaleNormal="177" workbookViewId="0">
      <selection activeCell="E371" sqref="E371"/>
    </sheetView>
  </sheetViews>
  <sheetFormatPr baseColWidth="10" defaultRowHeight="16"/>
  <cols>
    <col min="3" max="3" width="32.6640625" bestFit="1" customWidth="1"/>
    <col min="4" max="4" width="17" bestFit="1" customWidth="1"/>
    <col min="5" max="5" width="18.6640625" bestFit="1" customWidth="1"/>
    <col min="9" max="9" width="26.33203125" bestFit="1" customWidth="1"/>
  </cols>
  <sheetData>
    <row r="1" spans="1:14" s="2" customFormat="1">
      <c r="A1" s="2" t="s">
        <v>5580</v>
      </c>
      <c r="B1" s="2" t="s">
        <v>5579</v>
      </c>
      <c r="C1" s="3" t="s">
        <v>7</v>
      </c>
      <c r="D1" s="3" t="s">
        <v>484</v>
      </c>
      <c r="E1" s="3" t="s">
        <v>9</v>
      </c>
      <c r="F1" s="3" t="s">
        <v>2475</v>
      </c>
      <c r="G1" s="3" t="s">
        <v>485</v>
      </c>
      <c r="H1" s="3" t="s">
        <v>2298</v>
      </c>
      <c r="I1" s="3" t="s">
        <v>1214</v>
      </c>
      <c r="J1"/>
      <c r="K1"/>
      <c r="L1"/>
    </row>
    <row r="2" spans="1:14" ht="15" customHeight="1">
      <c r="A2" t="s">
        <v>5189</v>
      </c>
      <c r="B2" t="s">
        <v>1</v>
      </c>
      <c r="C2" t="s">
        <v>4067</v>
      </c>
      <c r="D2" t="s">
        <v>407</v>
      </c>
      <c r="E2" t="s">
        <v>4066</v>
      </c>
      <c r="F2" t="s">
        <v>253</v>
      </c>
      <c r="G2" t="s">
        <v>765</v>
      </c>
      <c r="N2" s="5"/>
    </row>
    <row r="3" spans="1:14">
      <c r="A3" t="s">
        <v>5190</v>
      </c>
      <c r="B3" t="s">
        <v>1</v>
      </c>
      <c r="C3" t="s">
        <v>4146</v>
      </c>
      <c r="D3" t="s">
        <v>438</v>
      </c>
      <c r="E3" t="s">
        <v>4147</v>
      </c>
      <c r="F3" t="s">
        <v>546</v>
      </c>
      <c r="G3" t="s">
        <v>547</v>
      </c>
    </row>
    <row r="4" spans="1:14">
      <c r="A4" t="s">
        <v>5191</v>
      </c>
      <c r="B4" t="s">
        <v>1</v>
      </c>
      <c r="C4" t="s">
        <v>4231</v>
      </c>
      <c r="D4" t="s">
        <v>403</v>
      </c>
      <c r="E4" t="s">
        <v>22</v>
      </c>
      <c r="F4" t="s">
        <v>745</v>
      </c>
      <c r="G4" t="s">
        <v>746</v>
      </c>
    </row>
    <row r="5" spans="1:14">
      <c r="A5" t="s">
        <v>5192</v>
      </c>
      <c r="B5" t="s">
        <v>1</v>
      </c>
      <c r="C5" t="s">
        <v>3998</v>
      </c>
      <c r="D5" t="s">
        <v>454</v>
      </c>
      <c r="E5" t="s">
        <v>3999</v>
      </c>
      <c r="F5" t="s">
        <v>595</v>
      </c>
      <c r="G5" t="s">
        <v>596</v>
      </c>
    </row>
    <row r="6" spans="1:14">
      <c r="A6" t="s">
        <v>5193</v>
      </c>
      <c r="B6" t="s">
        <v>1</v>
      </c>
      <c r="C6" t="s">
        <v>4000</v>
      </c>
      <c r="D6" t="s">
        <v>608</v>
      </c>
      <c r="E6" t="s">
        <v>4001</v>
      </c>
      <c r="F6" t="s">
        <v>609</v>
      </c>
      <c r="G6" t="s">
        <v>9383</v>
      </c>
    </row>
    <row r="7" spans="1:14">
      <c r="A7" t="s">
        <v>5194</v>
      </c>
      <c r="B7" t="s">
        <v>1</v>
      </c>
      <c r="C7" t="s">
        <v>4002</v>
      </c>
      <c r="D7" t="s">
        <v>619</v>
      </c>
      <c r="E7" t="s">
        <v>4003</v>
      </c>
      <c r="F7" t="s">
        <v>620</v>
      </c>
      <c r="G7" t="s">
        <v>621</v>
      </c>
    </row>
    <row r="8" spans="1:14">
      <c r="A8" t="s">
        <v>5195</v>
      </c>
      <c r="B8" t="s">
        <v>1</v>
      </c>
      <c r="C8" t="s">
        <v>4004</v>
      </c>
      <c r="D8" t="s">
        <v>599</v>
      </c>
      <c r="E8" t="s">
        <v>4005</v>
      </c>
      <c r="F8" t="s">
        <v>600</v>
      </c>
      <c r="G8" t="s">
        <v>601</v>
      </c>
    </row>
    <row r="9" spans="1:14">
      <c r="A9" t="s">
        <v>5196</v>
      </c>
      <c r="B9" t="s">
        <v>1</v>
      </c>
      <c r="C9" t="s">
        <v>4006</v>
      </c>
      <c r="D9" t="s">
        <v>783</v>
      </c>
      <c r="F9" t="s">
        <v>784</v>
      </c>
      <c r="G9" t="s">
        <v>785</v>
      </c>
    </row>
    <row r="10" spans="1:14">
      <c r="A10" t="s">
        <v>5197</v>
      </c>
      <c r="B10" t="s">
        <v>1</v>
      </c>
      <c r="C10" t="s">
        <v>4007</v>
      </c>
      <c r="D10" t="s">
        <v>451</v>
      </c>
      <c r="E10" t="s">
        <v>4008</v>
      </c>
      <c r="F10" t="s">
        <v>580</v>
      </c>
      <c r="G10" t="s">
        <v>581</v>
      </c>
    </row>
    <row r="11" spans="1:14">
      <c r="A11" t="s">
        <v>5198</v>
      </c>
      <c r="B11" t="s">
        <v>1</v>
      </c>
      <c r="C11" t="s">
        <v>4009</v>
      </c>
      <c r="D11" t="s">
        <v>738</v>
      </c>
      <c r="E11" t="s">
        <v>4010</v>
      </c>
      <c r="F11" t="s">
        <v>739</v>
      </c>
      <c r="G11" t="s">
        <v>740</v>
      </c>
    </row>
    <row r="12" spans="1:14">
      <c r="A12" t="s">
        <v>5199</v>
      </c>
      <c r="B12" t="s">
        <v>1</v>
      </c>
      <c r="C12" t="s">
        <v>4011</v>
      </c>
      <c r="D12" t="s">
        <v>473</v>
      </c>
      <c r="E12" t="s">
        <v>4012</v>
      </c>
      <c r="F12" t="s">
        <v>664</v>
      </c>
      <c r="G12" t="s">
        <v>665</v>
      </c>
    </row>
    <row r="13" spans="1:14">
      <c r="A13" t="s">
        <v>5200</v>
      </c>
      <c r="B13" t="s">
        <v>1</v>
      </c>
      <c r="C13" t="s">
        <v>4013</v>
      </c>
      <c r="D13" t="s">
        <v>577</v>
      </c>
      <c r="E13" t="s">
        <v>4008</v>
      </c>
      <c r="F13" t="s">
        <v>578</v>
      </c>
      <c r="G13" t="s">
        <v>579</v>
      </c>
    </row>
    <row r="14" spans="1:14">
      <c r="A14" t="s">
        <v>5201</v>
      </c>
      <c r="B14" t="s">
        <v>1</v>
      </c>
      <c r="C14" t="s">
        <v>4014</v>
      </c>
      <c r="D14" t="s">
        <v>475</v>
      </c>
      <c r="E14" t="s">
        <v>4015</v>
      </c>
      <c r="F14" t="s">
        <v>671</v>
      </c>
      <c r="G14" t="s">
        <v>672</v>
      </c>
    </row>
    <row r="15" spans="1:14">
      <c r="A15" t="s">
        <v>5202</v>
      </c>
      <c r="B15" t="s">
        <v>1</v>
      </c>
      <c r="C15" t="s">
        <v>4033</v>
      </c>
      <c r="D15" t="s">
        <v>459</v>
      </c>
      <c r="E15" t="s">
        <v>4016</v>
      </c>
      <c r="F15" t="s">
        <v>617</v>
      </c>
      <c r="G15" t="s">
        <v>618</v>
      </c>
    </row>
    <row r="16" spans="1:14">
      <c r="A16" t="s">
        <v>5203</v>
      </c>
      <c r="B16" t="s">
        <v>1</v>
      </c>
      <c r="C16" t="s">
        <v>4034</v>
      </c>
      <c r="D16" t="s">
        <v>459</v>
      </c>
      <c r="E16" t="s">
        <v>4016</v>
      </c>
      <c r="F16" t="s">
        <v>617</v>
      </c>
      <c r="G16" t="s">
        <v>618</v>
      </c>
    </row>
    <row r="17" spans="1:7">
      <c r="A17" t="s">
        <v>5204</v>
      </c>
      <c r="B17" t="s">
        <v>1</v>
      </c>
      <c r="C17" t="s">
        <v>4017</v>
      </c>
      <c r="D17" t="s">
        <v>683</v>
      </c>
      <c r="E17" t="s">
        <v>4018</v>
      </c>
      <c r="F17" t="s">
        <v>684</v>
      </c>
      <c r="G17" t="s">
        <v>685</v>
      </c>
    </row>
    <row r="18" spans="1:7">
      <c r="A18" t="s">
        <v>5205</v>
      </c>
      <c r="B18" t="s">
        <v>1</v>
      </c>
      <c r="C18" t="s">
        <v>4019</v>
      </c>
      <c r="D18" t="s">
        <v>387</v>
      </c>
      <c r="E18" t="s">
        <v>4020</v>
      </c>
      <c r="F18" t="s">
        <v>690</v>
      </c>
      <c r="G18" t="s">
        <v>691</v>
      </c>
    </row>
    <row r="19" spans="1:7">
      <c r="A19" t="s">
        <v>5206</v>
      </c>
      <c r="B19" t="s">
        <v>1</v>
      </c>
      <c r="C19" t="s">
        <v>4021</v>
      </c>
      <c r="D19" t="s">
        <v>418</v>
      </c>
      <c r="E19" t="s">
        <v>4022</v>
      </c>
      <c r="F19" t="s">
        <v>491</v>
      </c>
      <c r="G19" t="s">
        <v>492</v>
      </c>
    </row>
    <row r="20" spans="1:7">
      <c r="A20" t="s">
        <v>5207</v>
      </c>
      <c r="B20" t="s">
        <v>1</v>
      </c>
      <c r="C20" t="s">
        <v>4023</v>
      </c>
      <c r="D20" t="s">
        <v>397</v>
      </c>
      <c r="E20" t="s">
        <v>4024</v>
      </c>
      <c r="F20" t="s">
        <v>724</v>
      </c>
      <c r="G20" t="s">
        <v>725</v>
      </c>
    </row>
    <row r="21" spans="1:7">
      <c r="A21" t="s">
        <v>5208</v>
      </c>
      <c r="B21" t="s">
        <v>1</v>
      </c>
      <c r="C21" t="s">
        <v>4025</v>
      </c>
      <c r="D21" t="s">
        <v>412</v>
      </c>
      <c r="E21" t="s">
        <v>4024</v>
      </c>
      <c r="F21" t="s">
        <v>788</v>
      </c>
      <c r="G21" t="s">
        <v>789</v>
      </c>
    </row>
    <row r="22" spans="1:7">
      <c r="A22" t="s">
        <v>5209</v>
      </c>
      <c r="B22" t="s">
        <v>1</v>
      </c>
      <c r="C22" t="s">
        <v>4026</v>
      </c>
      <c r="D22" t="s">
        <v>738</v>
      </c>
      <c r="E22" t="s">
        <v>104</v>
      </c>
      <c r="F22" t="s">
        <v>741</v>
      </c>
      <c r="G22" t="s">
        <v>742</v>
      </c>
    </row>
    <row r="23" spans="1:7">
      <c r="A23" t="s">
        <v>5210</v>
      </c>
      <c r="B23" t="s">
        <v>1</v>
      </c>
      <c r="C23" t="s">
        <v>4027</v>
      </c>
      <c r="D23" t="s">
        <v>410</v>
      </c>
      <c r="E23" t="s">
        <v>248</v>
      </c>
      <c r="F23" t="s">
        <v>776</v>
      </c>
      <c r="G23" t="s">
        <v>777</v>
      </c>
    </row>
    <row r="24" spans="1:7">
      <c r="A24" t="s">
        <v>5211</v>
      </c>
      <c r="B24" t="s">
        <v>1</v>
      </c>
      <c r="C24" t="s">
        <v>4028</v>
      </c>
      <c r="D24" t="s">
        <v>488</v>
      </c>
      <c r="E24" t="s">
        <v>4029</v>
      </c>
      <c r="F24" t="s">
        <v>489</v>
      </c>
      <c r="G24" t="s">
        <v>490</v>
      </c>
    </row>
    <row r="25" spans="1:7">
      <c r="A25" t="s">
        <v>5212</v>
      </c>
      <c r="B25" t="s">
        <v>1</v>
      </c>
      <c r="C25" t="s">
        <v>4030</v>
      </c>
      <c r="D25" t="s">
        <v>439</v>
      </c>
      <c r="E25" t="s">
        <v>4031</v>
      </c>
      <c r="F25" t="s">
        <v>548</v>
      </c>
      <c r="G25" t="s">
        <v>549</v>
      </c>
    </row>
    <row r="26" spans="1:7">
      <c r="A26" t="s">
        <v>5213</v>
      </c>
      <c r="B26" t="s">
        <v>1</v>
      </c>
      <c r="C26" t="s">
        <v>4032</v>
      </c>
      <c r="D26" t="s">
        <v>439</v>
      </c>
      <c r="E26" t="s">
        <v>4031</v>
      </c>
      <c r="F26" t="s">
        <v>548</v>
      </c>
      <c r="G26" t="s">
        <v>549</v>
      </c>
    </row>
    <row r="27" spans="1:7">
      <c r="A27" t="s">
        <v>5214</v>
      </c>
      <c r="B27" t="s">
        <v>1</v>
      </c>
      <c r="C27" t="s">
        <v>4035</v>
      </c>
      <c r="D27" t="s">
        <v>434</v>
      </c>
      <c r="E27" t="s">
        <v>258</v>
      </c>
      <c r="F27" t="s">
        <v>530</v>
      </c>
      <c r="G27" t="s">
        <v>531</v>
      </c>
    </row>
    <row r="28" spans="1:7">
      <c r="A28" t="s">
        <v>5215</v>
      </c>
      <c r="B28" t="s">
        <v>1</v>
      </c>
      <c r="C28" t="s">
        <v>4036</v>
      </c>
      <c r="D28" t="s">
        <v>432</v>
      </c>
      <c r="E28" t="s">
        <v>4037</v>
      </c>
      <c r="F28" t="s">
        <v>526</v>
      </c>
      <c r="G28" t="s">
        <v>527</v>
      </c>
    </row>
    <row r="29" spans="1:7">
      <c r="A29" t="s">
        <v>5216</v>
      </c>
      <c r="B29" t="s">
        <v>1</v>
      </c>
      <c r="C29" t="s">
        <v>4038</v>
      </c>
      <c r="D29" t="s">
        <v>399</v>
      </c>
      <c r="E29" t="s">
        <v>4039</v>
      </c>
      <c r="F29" t="s">
        <v>728</v>
      </c>
      <c r="G29" t="s">
        <v>729</v>
      </c>
    </row>
    <row r="30" spans="1:7">
      <c r="A30" t="s">
        <v>5217</v>
      </c>
      <c r="B30" t="s">
        <v>1</v>
      </c>
      <c r="C30" t="s">
        <v>4040</v>
      </c>
      <c r="D30" t="s">
        <v>655</v>
      </c>
      <c r="F30" t="s">
        <v>656</v>
      </c>
      <c r="G30" t="s">
        <v>657</v>
      </c>
    </row>
    <row r="31" spans="1:7">
      <c r="A31" t="s">
        <v>5218</v>
      </c>
      <c r="B31" t="s">
        <v>1</v>
      </c>
      <c r="C31" t="s">
        <v>4041</v>
      </c>
      <c r="D31" t="s">
        <v>458</v>
      </c>
      <c r="E31" t="s">
        <v>4042</v>
      </c>
      <c r="F31" t="s">
        <v>615</v>
      </c>
      <c r="G31" t="s">
        <v>616</v>
      </c>
    </row>
    <row r="32" spans="1:7">
      <c r="A32" t="s">
        <v>5219</v>
      </c>
      <c r="B32" t="s">
        <v>1</v>
      </c>
      <c r="C32" t="s">
        <v>4053</v>
      </c>
      <c r="D32" t="s">
        <v>408</v>
      </c>
      <c r="E32" t="s">
        <v>4043</v>
      </c>
      <c r="F32" t="s">
        <v>769</v>
      </c>
      <c r="G32" t="s">
        <v>770</v>
      </c>
    </row>
    <row r="33" spans="1:7">
      <c r="A33" t="s">
        <v>5220</v>
      </c>
      <c r="B33" t="s">
        <v>1</v>
      </c>
      <c r="C33" t="s">
        <v>4054</v>
      </c>
      <c r="D33" t="s">
        <v>479</v>
      </c>
      <c r="E33" t="s">
        <v>13</v>
      </c>
      <c r="F33" t="s">
        <v>501</v>
      </c>
      <c r="G33" t="s">
        <v>502</v>
      </c>
    </row>
    <row r="34" spans="1:7">
      <c r="A34" t="s">
        <v>5221</v>
      </c>
      <c r="B34" t="s">
        <v>1</v>
      </c>
      <c r="C34" t="s">
        <v>4055</v>
      </c>
      <c r="D34" t="s">
        <v>466</v>
      </c>
      <c r="E34" t="s">
        <v>4044</v>
      </c>
      <c r="F34" t="s">
        <v>640</v>
      </c>
      <c r="G34" t="s">
        <v>641</v>
      </c>
    </row>
    <row r="35" spans="1:7">
      <c r="A35" t="s">
        <v>5222</v>
      </c>
      <c r="B35" t="s">
        <v>1</v>
      </c>
      <c r="C35" t="s">
        <v>4056</v>
      </c>
      <c r="D35" t="s">
        <v>401</v>
      </c>
      <c r="E35" t="s">
        <v>4045</v>
      </c>
      <c r="F35" t="s">
        <v>734</v>
      </c>
      <c r="G35" t="s">
        <v>735</v>
      </c>
    </row>
    <row r="36" spans="1:7">
      <c r="A36" t="s">
        <v>5223</v>
      </c>
      <c r="B36" t="s">
        <v>1</v>
      </c>
      <c r="C36" t="s">
        <v>4057</v>
      </c>
      <c r="D36" t="s">
        <v>801</v>
      </c>
      <c r="E36" t="s">
        <v>4046</v>
      </c>
      <c r="F36" t="s">
        <v>802</v>
      </c>
      <c r="G36" t="s">
        <v>803</v>
      </c>
    </row>
    <row r="37" spans="1:7">
      <c r="A37" t="s">
        <v>5224</v>
      </c>
      <c r="B37" t="s">
        <v>1</v>
      </c>
      <c r="C37" t="s">
        <v>4058</v>
      </c>
      <c r="D37" t="s">
        <v>441</v>
      </c>
      <c r="E37" t="s">
        <v>4047</v>
      </c>
      <c r="F37" t="s">
        <v>555</v>
      </c>
      <c r="G37" t="s">
        <v>556</v>
      </c>
    </row>
    <row r="38" spans="1:7">
      <c r="A38" t="s">
        <v>5225</v>
      </c>
      <c r="B38" t="s">
        <v>1</v>
      </c>
      <c r="C38" t="s">
        <v>4059</v>
      </c>
      <c r="D38" t="s">
        <v>471</v>
      </c>
      <c r="E38" t="s">
        <v>248</v>
      </c>
      <c r="F38" t="s">
        <v>660</v>
      </c>
      <c r="G38" t="s">
        <v>661</v>
      </c>
    </row>
    <row r="39" spans="1:7">
      <c r="A39" t="s">
        <v>5226</v>
      </c>
      <c r="B39" t="s">
        <v>4232</v>
      </c>
      <c r="C39" t="s">
        <v>4250</v>
      </c>
      <c r="D39" t="s">
        <v>1017</v>
      </c>
      <c r="E39" t="s">
        <v>4251</v>
      </c>
      <c r="F39" t="s">
        <v>1018</v>
      </c>
      <c r="G39" t="s">
        <v>1019</v>
      </c>
    </row>
    <row r="40" spans="1:7">
      <c r="A40" t="s">
        <v>5227</v>
      </c>
      <c r="B40" t="s">
        <v>1</v>
      </c>
      <c r="C40" t="s">
        <v>4060</v>
      </c>
      <c r="D40" t="s">
        <v>465</v>
      </c>
      <c r="E40" t="s">
        <v>4048</v>
      </c>
      <c r="F40" t="s">
        <v>638</v>
      </c>
      <c r="G40" t="s">
        <v>639</v>
      </c>
    </row>
    <row r="41" spans="1:7">
      <c r="A41" t="s">
        <v>5228</v>
      </c>
      <c r="B41" t="s">
        <v>1</v>
      </c>
      <c r="C41" t="s">
        <v>4061</v>
      </c>
      <c r="D41" t="s">
        <v>455</v>
      </c>
      <c r="E41" t="s">
        <v>4049</v>
      </c>
      <c r="F41" t="s">
        <v>602</v>
      </c>
      <c r="G41" t="s">
        <v>603</v>
      </c>
    </row>
    <row r="42" spans="1:7">
      <c r="A42" t="s">
        <v>5229</v>
      </c>
      <c r="B42" t="s">
        <v>1</v>
      </c>
      <c r="C42" t="s">
        <v>4062</v>
      </c>
      <c r="D42" t="s">
        <v>419</v>
      </c>
      <c r="E42" t="s">
        <v>3993</v>
      </c>
      <c r="F42" t="s">
        <v>493</v>
      </c>
      <c r="G42" t="s">
        <v>494</v>
      </c>
    </row>
    <row r="43" spans="1:7">
      <c r="A43" t="s">
        <v>5230</v>
      </c>
      <c r="B43" t="s">
        <v>1</v>
      </c>
      <c r="C43" t="s">
        <v>4063</v>
      </c>
      <c r="D43" t="s">
        <v>760</v>
      </c>
      <c r="E43" t="s">
        <v>4050</v>
      </c>
      <c r="F43" t="s">
        <v>761</v>
      </c>
      <c r="G43" t="s">
        <v>762</v>
      </c>
    </row>
    <row r="44" spans="1:7">
      <c r="A44" t="s">
        <v>5231</v>
      </c>
      <c r="B44" t="s">
        <v>1</v>
      </c>
      <c r="C44" t="s">
        <v>4064</v>
      </c>
      <c r="D44" t="s">
        <v>1260</v>
      </c>
      <c r="E44" t="s">
        <v>4051</v>
      </c>
      <c r="F44" t="s">
        <v>736</v>
      </c>
      <c r="G44" t="s">
        <v>737</v>
      </c>
    </row>
    <row r="45" spans="1:7">
      <c r="A45" t="s">
        <v>5232</v>
      </c>
      <c r="B45" t="s">
        <v>1</v>
      </c>
      <c r="C45" t="s">
        <v>4065</v>
      </c>
      <c r="D45" t="s">
        <v>389</v>
      </c>
      <c r="E45" t="s">
        <v>4052</v>
      </c>
      <c r="F45" t="s">
        <v>694</v>
      </c>
      <c r="G45" t="s">
        <v>695</v>
      </c>
    </row>
    <row r="46" spans="1:7">
      <c r="A46" t="s">
        <v>5233</v>
      </c>
      <c r="B46" t="s">
        <v>0</v>
      </c>
      <c r="C46" t="s">
        <v>3971</v>
      </c>
      <c r="D46">
        <v>1280</v>
      </c>
      <c r="E46" t="s">
        <v>129</v>
      </c>
      <c r="F46" t="s">
        <v>1129</v>
      </c>
      <c r="G46" t="s">
        <v>365</v>
      </c>
    </row>
    <row r="47" spans="1:7">
      <c r="A47" t="s">
        <v>5234</v>
      </c>
      <c r="B47" t="s">
        <v>0</v>
      </c>
      <c r="C47" t="s">
        <v>188</v>
      </c>
      <c r="D47">
        <v>1129</v>
      </c>
      <c r="E47" t="s">
        <v>35</v>
      </c>
      <c r="F47" t="s">
        <v>1075</v>
      </c>
      <c r="G47" t="s">
        <v>383</v>
      </c>
    </row>
    <row r="48" spans="1:7">
      <c r="A48" t="s">
        <v>5235</v>
      </c>
      <c r="B48" t="s">
        <v>1</v>
      </c>
      <c r="C48" t="s">
        <v>4071</v>
      </c>
      <c r="D48" t="s">
        <v>427</v>
      </c>
      <c r="E48" t="s">
        <v>13</v>
      </c>
      <c r="F48" t="s">
        <v>513</v>
      </c>
      <c r="G48" t="s">
        <v>514</v>
      </c>
    </row>
    <row r="49" spans="1:7">
      <c r="A49" t="s">
        <v>5236</v>
      </c>
      <c r="B49" t="s">
        <v>1</v>
      </c>
      <c r="C49" t="s">
        <v>4072</v>
      </c>
      <c r="D49" t="s">
        <v>388</v>
      </c>
      <c r="E49" t="s">
        <v>12</v>
      </c>
      <c r="F49" t="s">
        <v>692</v>
      </c>
      <c r="G49" t="s">
        <v>693</v>
      </c>
    </row>
    <row r="50" spans="1:7">
      <c r="A50" t="s">
        <v>5237</v>
      </c>
      <c r="B50" t="s">
        <v>1</v>
      </c>
      <c r="C50" t="s">
        <v>4069</v>
      </c>
      <c r="D50" t="s">
        <v>773</v>
      </c>
      <c r="E50" t="s">
        <v>4068</v>
      </c>
      <c r="F50" t="s">
        <v>774</v>
      </c>
      <c r="G50" t="s">
        <v>775</v>
      </c>
    </row>
    <row r="51" spans="1:7">
      <c r="A51" t="s">
        <v>5238</v>
      </c>
      <c r="B51" t="s">
        <v>1</v>
      </c>
      <c r="C51" t="s">
        <v>4070</v>
      </c>
      <c r="D51" t="s">
        <v>552</v>
      </c>
      <c r="E51" t="s">
        <v>40</v>
      </c>
      <c r="F51" t="s">
        <v>553</v>
      </c>
      <c r="G51" t="s">
        <v>554</v>
      </c>
    </row>
    <row r="52" spans="1:7">
      <c r="A52" t="s">
        <v>5239</v>
      </c>
      <c r="B52" t="s">
        <v>0</v>
      </c>
      <c r="C52" t="s">
        <v>3954</v>
      </c>
      <c r="D52" t="s">
        <v>21</v>
      </c>
      <c r="E52" t="s">
        <v>22</v>
      </c>
      <c r="F52" t="s">
        <v>1122</v>
      </c>
      <c r="G52" t="s">
        <v>358</v>
      </c>
    </row>
    <row r="53" spans="1:7">
      <c r="A53" t="s">
        <v>5240</v>
      </c>
      <c r="B53" t="s">
        <v>0</v>
      </c>
      <c r="C53" t="s">
        <v>136</v>
      </c>
      <c r="D53" t="s">
        <v>23</v>
      </c>
      <c r="E53" t="s">
        <v>12</v>
      </c>
      <c r="F53" t="s">
        <v>1136</v>
      </c>
      <c r="G53" t="s">
        <v>375</v>
      </c>
    </row>
    <row r="54" spans="1:7">
      <c r="A54" t="s">
        <v>5241</v>
      </c>
      <c r="B54" t="s">
        <v>0</v>
      </c>
      <c r="C54" t="s">
        <v>3953</v>
      </c>
      <c r="D54" t="s">
        <v>24</v>
      </c>
      <c r="E54" t="s">
        <v>25</v>
      </c>
      <c r="F54" t="s">
        <v>1087</v>
      </c>
      <c r="G54" t="s">
        <v>314</v>
      </c>
    </row>
    <row r="55" spans="1:7">
      <c r="A55" t="s">
        <v>5242</v>
      </c>
      <c r="B55" t="s">
        <v>0</v>
      </c>
      <c r="C55" t="s">
        <v>3957</v>
      </c>
      <c r="D55" t="s">
        <v>26</v>
      </c>
      <c r="E55" t="s">
        <v>27</v>
      </c>
      <c r="F55" t="s">
        <v>1077</v>
      </c>
      <c r="G55" t="s">
        <v>298</v>
      </c>
    </row>
    <row r="56" spans="1:7">
      <c r="A56" t="s">
        <v>5243</v>
      </c>
      <c r="B56" t="s">
        <v>0</v>
      </c>
      <c r="C56" t="s">
        <v>3959</v>
      </c>
      <c r="D56">
        <v>1276</v>
      </c>
      <c r="E56" t="s">
        <v>30</v>
      </c>
      <c r="F56" t="s">
        <v>74</v>
      </c>
      <c r="G56" t="s">
        <v>364</v>
      </c>
    </row>
    <row r="57" spans="1:7">
      <c r="A57" t="s">
        <v>5244</v>
      </c>
      <c r="B57" t="s">
        <v>0</v>
      </c>
      <c r="C57" t="s">
        <v>137</v>
      </c>
      <c r="D57" t="s">
        <v>28</v>
      </c>
      <c r="E57" t="s">
        <v>29</v>
      </c>
      <c r="F57" t="s">
        <v>68</v>
      </c>
      <c r="G57" t="s">
        <v>312</v>
      </c>
    </row>
    <row r="58" spans="1:7">
      <c r="A58" t="s">
        <v>5245</v>
      </c>
      <c r="B58" t="s">
        <v>0</v>
      </c>
      <c r="C58" t="s">
        <v>138</v>
      </c>
      <c r="D58" t="s">
        <v>31</v>
      </c>
      <c r="E58" t="s">
        <v>32</v>
      </c>
      <c r="F58" t="s">
        <v>1092</v>
      </c>
      <c r="G58" t="s">
        <v>319</v>
      </c>
    </row>
    <row r="59" spans="1:7">
      <c r="A59" t="s">
        <v>5246</v>
      </c>
      <c r="B59" t="s">
        <v>0</v>
      </c>
      <c r="C59" t="s">
        <v>139</v>
      </c>
      <c r="D59" t="s">
        <v>33</v>
      </c>
      <c r="E59" t="s">
        <v>22</v>
      </c>
      <c r="F59" t="s">
        <v>1088</v>
      </c>
      <c r="G59" t="s">
        <v>315</v>
      </c>
    </row>
    <row r="60" spans="1:7">
      <c r="A60" t="s">
        <v>5247</v>
      </c>
      <c r="B60" t="s">
        <v>0</v>
      </c>
      <c r="C60" t="s">
        <v>140</v>
      </c>
      <c r="D60" t="s">
        <v>36</v>
      </c>
      <c r="E60" t="s">
        <v>37</v>
      </c>
      <c r="F60" t="s">
        <v>1060</v>
      </c>
      <c r="G60" t="s">
        <v>275</v>
      </c>
    </row>
    <row r="61" spans="1:7">
      <c r="A61" t="s">
        <v>5248</v>
      </c>
      <c r="B61" t="s">
        <v>0</v>
      </c>
      <c r="C61" t="s">
        <v>190</v>
      </c>
      <c r="D61" t="s">
        <v>131</v>
      </c>
      <c r="E61" t="s">
        <v>129</v>
      </c>
      <c r="F61" t="s">
        <v>1131</v>
      </c>
      <c r="G61" t="s">
        <v>368</v>
      </c>
    </row>
    <row r="62" spans="1:7">
      <c r="A62" t="s">
        <v>5249</v>
      </c>
      <c r="B62" t="s">
        <v>0</v>
      </c>
      <c r="C62" t="s">
        <v>141</v>
      </c>
      <c r="D62" t="s">
        <v>5</v>
      </c>
      <c r="E62" t="s">
        <v>35</v>
      </c>
      <c r="F62" t="s">
        <v>1096</v>
      </c>
      <c r="G62" t="s">
        <v>326</v>
      </c>
    </row>
    <row r="63" spans="1:7">
      <c r="A63" t="s">
        <v>5250</v>
      </c>
      <c r="B63" t="s">
        <v>0</v>
      </c>
      <c r="C63" t="s">
        <v>16</v>
      </c>
      <c r="D63" t="s">
        <v>17</v>
      </c>
      <c r="E63" t="s">
        <v>11</v>
      </c>
      <c r="F63" t="s">
        <v>38</v>
      </c>
      <c r="G63" t="s">
        <v>330</v>
      </c>
    </row>
    <row r="64" spans="1:7">
      <c r="A64" t="s">
        <v>5251</v>
      </c>
      <c r="B64" t="s">
        <v>0</v>
      </c>
      <c r="C64" t="s">
        <v>14</v>
      </c>
      <c r="D64" t="s">
        <v>10</v>
      </c>
      <c r="E64" t="s">
        <v>11</v>
      </c>
      <c r="F64" t="s">
        <v>268</v>
      </c>
      <c r="G64" t="s">
        <v>371</v>
      </c>
    </row>
    <row r="65" spans="1:7">
      <c r="A65" t="s">
        <v>5252</v>
      </c>
      <c r="B65" t="s">
        <v>0</v>
      </c>
      <c r="C65" t="s">
        <v>15</v>
      </c>
      <c r="D65">
        <v>1260</v>
      </c>
      <c r="E65" t="s">
        <v>115</v>
      </c>
      <c r="F65" t="s">
        <v>53</v>
      </c>
      <c r="G65" t="s">
        <v>350</v>
      </c>
    </row>
    <row r="66" spans="1:7">
      <c r="A66" t="s">
        <v>5253</v>
      </c>
      <c r="B66" t="s">
        <v>0</v>
      </c>
      <c r="C66" t="s">
        <v>18</v>
      </c>
      <c r="D66">
        <v>1067</v>
      </c>
      <c r="E66" t="s">
        <v>11</v>
      </c>
      <c r="F66" t="s">
        <v>1064</v>
      </c>
      <c r="G66" t="s">
        <v>279</v>
      </c>
    </row>
    <row r="67" spans="1:7">
      <c r="A67" t="s">
        <v>5254</v>
      </c>
      <c r="B67" t="s">
        <v>0</v>
      </c>
      <c r="C67" t="s">
        <v>19</v>
      </c>
      <c r="D67" t="s">
        <v>20</v>
      </c>
      <c r="E67" t="s">
        <v>12</v>
      </c>
      <c r="F67" t="s">
        <v>1126</v>
      </c>
      <c r="G67" t="s">
        <v>361</v>
      </c>
    </row>
    <row r="68" spans="1:7">
      <c r="A68" t="s">
        <v>5255</v>
      </c>
      <c r="B68" t="s">
        <v>0</v>
      </c>
      <c r="C68" t="s">
        <v>3972</v>
      </c>
      <c r="D68" t="s">
        <v>42</v>
      </c>
      <c r="E68" t="s">
        <v>43</v>
      </c>
      <c r="F68" t="s">
        <v>89</v>
      </c>
      <c r="G68" t="s">
        <v>272</v>
      </c>
    </row>
    <row r="69" spans="1:7">
      <c r="A69" t="s">
        <v>5256</v>
      </c>
      <c r="B69" t="s">
        <v>0</v>
      </c>
      <c r="C69" t="s">
        <v>142</v>
      </c>
      <c r="D69" t="s">
        <v>44</v>
      </c>
      <c r="E69" t="s">
        <v>45</v>
      </c>
      <c r="F69" t="s">
        <v>96</v>
      </c>
      <c r="G69" t="s">
        <v>295</v>
      </c>
    </row>
    <row r="70" spans="1:7">
      <c r="A70" t="s">
        <v>5257</v>
      </c>
      <c r="B70" t="s">
        <v>0</v>
      </c>
      <c r="C70" t="s">
        <v>143</v>
      </c>
      <c r="D70" t="s">
        <v>46</v>
      </c>
      <c r="E70" t="s">
        <v>47</v>
      </c>
      <c r="F70" t="s">
        <v>99</v>
      </c>
      <c r="G70" t="s">
        <v>282</v>
      </c>
    </row>
    <row r="71" spans="1:7">
      <c r="A71" t="s">
        <v>5258</v>
      </c>
      <c r="B71" t="s">
        <v>0</v>
      </c>
      <c r="C71" t="s">
        <v>144</v>
      </c>
      <c r="D71" t="s">
        <v>33</v>
      </c>
      <c r="E71" t="s">
        <v>32</v>
      </c>
      <c r="F71" t="s">
        <v>1089</v>
      </c>
      <c r="G71" t="s">
        <v>317</v>
      </c>
    </row>
    <row r="72" spans="1:7">
      <c r="A72" t="s">
        <v>5259</v>
      </c>
      <c r="B72" t="s">
        <v>0</v>
      </c>
      <c r="C72" t="s">
        <v>145</v>
      </c>
      <c r="D72">
        <v>1300</v>
      </c>
      <c r="E72" t="s">
        <v>12</v>
      </c>
      <c r="F72" t="s">
        <v>1140</v>
      </c>
      <c r="G72" t="s">
        <v>379</v>
      </c>
    </row>
    <row r="73" spans="1:7">
      <c r="A73" t="s">
        <v>5260</v>
      </c>
      <c r="B73" t="s">
        <v>0</v>
      </c>
      <c r="C73" t="s">
        <v>146</v>
      </c>
      <c r="D73">
        <v>1291</v>
      </c>
      <c r="E73" t="s">
        <v>12</v>
      </c>
      <c r="F73" t="s">
        <v>100</v>
      </c>
      <c r="G73" t="s">
        <v>374</v>
      </c>
    </row>
    <row r="74" spans="1:7">
      <c r="A74" t="s">
        <v>5261</v>
      </c>
      <c r="B74" t="s">
        <v>0</v>
      </c>
      <c r="C74" t="s">
        <v>3975</v>
      </c>
      <c r="D74" t="s">
        <v>48</v>
      </c>
      <c r="E74" t="s">
        <v>12</v>
      </c>
      <c r="F74" t="s">
        <v>1073</v>
      </c>
      <c r="G74" t="s">
        <v>293</v>
      </c>
    </row>
    <row r="75" spans="1:7">
      <c r="A75" t="s">
        <v>5262</v>
      </c>
      <c r="B75" t="s">
        <v>0</v>
      </c>
      <c r="C75" t="s">
        <v>3951</v>
      </c>
      <c r="D75" t="s">
        <v>49</v>
      </c>
      <c r="E75" t="s">
        <v>50</v>
      </c>
      <c r="F75" t="s">
        <v>117</v>
      </c>
      <c r="G75" t="s">
        <v>270</v>
      </c>
    </row>
    <row r="76" spans="1:7">
      <c r="A76" t="s">
        <v>5263</v>
      </c>
      <c r="B76" t="s">
        <v>0</v>
      </c>
      <c r="C76" t="s">
        <v>147</v>
      </c>
      <c r="D76" t="s">
        <v>51</v>
      </c>
      <c r="E76" t="s">
        <v>52</v>
      </c>
      <c r="F76" t="s">
        <v>1141</v>
      </c>
      <c r="G76" t="s">
        <v>380</v>
      </c>
    </row>
    <row r="77" spans="1:7">
      <c r="A77" t="s">
        <v>5264</v>
      </c>
      <c r="B77" t="s">
        <v>0</v>
      </c>
      <c r="C77" t="s">
        <v>148</v>
      </c>
      <c r="D77" t="s">
        <v>4</v>
      </c>
      <c r="E77" t="s">
        <v>54</v>
      </c>
      <c r="F77" t="s">
        <v>1098</v>
      </c>
      <c r="G77" t="s">
        <v>325</v>
      </c>
    </row>
    <row r="78" spans="1:7">
      <c r="A78" t="s">
        <v>5265</v>
      </c>
      <c r="B78" t="s">
        <v>0</v>
      </c>
      <c r="C78" t="s">
        <v>3952</v>
      </c>
      <c r="D78" t="s">
        <v>288</v>
      </c>
      <c r="E78" t="s">
        <v>289</v>
      </c>
      <c r="F78" t="s">
        <v>382</v>
      </c>
      <c r="G78" t="s">
        <v>276</v>
      </c>
    </row>
    <row r="79" spans="1:7">
      <c r="A79" t="s">
        <v>5266</v>
      </c>
      <c r="B79" t="s">
        <v>0</v>
      </c>
      <c r="C79" t="s">
        <v>3969</v>
      </c>
      <c r="D79" t="s">
        <v>39</v>
      </c>
      <c r="E79" t="s">
        <v>40</v>
      </c>
      <c r="F79" t="s">
        <v>80</v>
      </c>
      <c r="G79" t="s">
        <v>353</v>
      </c>
    </row>
    <row r="80" spans="1:7">
      <c r="A80" t="s">
        <v>5267</v>
      </c>
      <c r="B80" t="s">
        <v>0</v>
      </c>
      <c r="C80" t="s">
        <v>149</v>
      </c>
      <c r="D80" t="s">
        <v>55</v>
      </c>
      <c r="E80" t="s">
        <v>56</v>
      </c>
      <c r="F80" t="s">
        <v>132</v>
      </c>
      <c r="G80" t="s">
        <v>367</v>
      </c>
    </row>
    <row r="81" spans="1:7">
      <c r="A81" t="s">
        <v>5268</v>
      </c>
      <c r="B81" t="s">
        <v>0</v>
      </c>
      <c r="C81" t="s">
        <v>150</v>
      </c>
      <c r="D81">
        <v>1265</v>
      </c>
      <c r="E81" t="s">
        <v>57</v>
      </c>
      <c r="F81" t="s">
        <v>225</v>
      </c>
      <c r="G81" t="s">
        <v>355</v>
      </c>
    </row>
    <row r="82" spans="1:7">
      <c r="A82" t="s">
        <v>5269</v>
      </c>
      <c r="B82" t="s">
        <v>0</v>
      </c>
      <c r="C82" t="s">
        <v>151</v>
      </c>
      <c r="D82" t="s">
        <v>58</v>
      </c>
      <c r="E82" t="s">
        <v>59</v>
      </c>
      <c r="F82" t="s">
        <v>1067</v>
      </c>
      <c r="G82" t="s">
        <v>283</v>
      </c>
    </row>
    <row r="83" spans="1:7">
      <c r="A83" t="s">
        <v>5270</v>
      </c>
      <c r="B83" t="s">
        <v>0</v>
      </c>
      <c r="C83" t="s">
        <v>153</v>
      </c>
      <c r="D83" t="s">
        <v>62</v>
      </c>
      <c r="E83" t="s">
        <v>59</v>
      </c>
      <c r="F83" t="s">
        <v>1066</v>
      </c>
      <c r="G83" t="s">
        <v>281</v>
      </c>
    </row>
    <row r="84" spans="1:7">
      <c r="A84" t="s">
        <v>5271</v>
      </c>
      <c r="B84" t="s">
        <v>0</v>
      </c>
      <c r="C84" t="s">
        <v>152</v>
      </c>
      <c r="D84" t="s">
        <v>60</v>
      </c>
      <c r="E84" t="s">
        <v>61</v>
      </c>
      <c r="F84" t="s">
        <v>1085</v>
      </c>
      <c r="G84" t="s">
        <v>308</v>
      </c>
    </row>
    <row r="85" spans="1:7">
      <c r="A85" t="s">
        <v>5272</v>
      </c>
      <c r="B85" t="s">
        <v>0</v>
      </c>
      <c r="C85" t="s">
        <v>154</v>
      </c>
      <c r="D85" t="s">
        <v>63</v>
      </c>
      <c r="E85" t="s">
        <v>64</v>
      </c>
      <c r="F85" t="s">
        <v>1058</v>
      </c>
      <c r="G85" t="s">
        <v>273</v>
      </c>
    </row>
    <row r="86" spans="1:7">
      <c r="A86" t="s">
        <v>5273</v>
      </c>
      <c r="B86" t="s">
        <v>0</v>
      </c>
      <c r="C86" t="s">
        <v>155</v>
      </c>
      <c r="D86" t="s">
        <v>2</v>
      </c>
      <c r="E86" t="s">
        <v>65</v>
      </c>
      <c r="F86" t="s">
        <v>1093</v>
      </c>
      <c r="G86" t="s">
        <v>320</v>
      </c>
    </row>
    <row r="87" spans="1:7">
      <c r="A87" t="s">
        <v>5274</v>
      </c>
      <c r="B87" t="s">
        <v>0</v>
      </c>
      <c r="C87" t="s">
        <v>156</v>
      </c>
      <c r="D87" t="s">
        <v>66</v>
      </c>
      <c r="E87" t="s">
        <v>67</v>
      </c>
      <c r="F87" t="s">
        <v>1101</v>
      </c>
      <c r="G87" t="s">
        <v>329</v>
      </c>
    </row>
    <row r="88" spans="1:7">
      <c r="A88" t="s">
        <v>5275</v>
      </c>
      <c r="B88" t="s">
        <v>0</v>
      </c>
      <c r="C88" t="s">
        <v>157</v>
      </c>
      <c r="D88" t="s">
        <v>69</v>
      </c>
      <c r="E88" t="s">
        <v>70</v>
      </c>
      <c r="F88" t="s">
        <v>1107</v>
      </c>
      <c r="G88" t="s">
        <v>337</v>
      </c>
    </row>
    <row r="89" spans="1:7">
      <c r="A89" t="s">
        <v>5276</v>
      </c>
      <c r="B89" t="s">
        <v>0</v>
      </c>
      <c r="C89" t="s">
        <v>158</v>
      </c>
      <c r="D89" t="s">
        <v>71</v>
      </c>
      <c r="E89" t="s">
        <v>72</v>
      </c>
      <c r="F89" t="s">
        <v>9162</v>
      </c>
      <c r="G89" t="s">
        <v>296</v>
      </c>
    </row>
    <row r="90" spans="1:7">
      <c r="A90" t="s">
        <v>5277</v>
      </c>
      <c r="B90" t="s">
        <v>0</v>
      </c>
      <c r="C90" t="s">
        <v>159</v>
      </c>
      <c r="D90">
        <v>1266</v>
      </c>
      <c r="E90" t="s">
        <v>73</v>
      </c>
      <c r="F90" t="s">
        <v>1123</v>
      </c>
      <c r="G90" t="s">
        <v>357</v>
      </c>
    </row>
    <row r="91" spans="1:7">
      <c r="A91" t="s">
        <v>5278</v>
      </c>
      <c r="B91" t="s">
        <v>0</v>
      </c>
      <c r="C91" t="s">
        <v>160</v>
      </c>
      <c r="D91">
        <v>1204</v>
      </c>
      <c r="E91" t="s">
        <v>75</v>
      </c>
      <c r="F91" t="s">
        <v>1102</v>
      </c>
      <c r="G91" t="s">
        <v>331</v>
      </c>
    </row>
    <row r="92" spans="1:7">
      <c r="A92" t="s">
        <v>5279</v>
      </c>
      <c r="B92" t="s">
        <v>0</v>
      </c>
      <c r="C92" t="s">
        <v>161</v>
      </c>
      <c r="D92" t="s">
        <v>76</v>
      </c>
      <c r="E92" t="s">
        <v>77</v>
      </c>
      <c r="F92" t="s">
        <v>1061</v>
      </c>
      <c r="G92" t="s">
        <v>277</v>
      </c>
    </row>
    <row r="93" spans="1:7">
      <c r="A93" t="s">
        <v>5280</v>
      </c>
      <c r="B93" t="s">
        <v>0</v>
      </c>
      <c r="C93" t="s">
        <v>162</v>
      </c>
      <c r="D93">
        <v>1145</v>
      </c>
      <c r="E93" t="s">
        <v>78</v>
      </c>
      <c r="F93" t="s">
        <v>1078</v>
      </c>
      <c r="G93" t="s">
        <v>301</v>
      </c>
    </row>
    <row r="94" spans="1:7">
      <c r="A94" t="s">
        <v>5281</v>
      </c>
      <c r="B94" t="s">
        <v>0</v>
      </c>
      <c r="C94" t="s">
        <v>3976</v>
      </c>
      <c r="D94" t="s">
        <v>134</v>
      </c>
      <c r="E94" t="s">
        <v>135</v>
      </c>
      <c r="F94" t="s">
        <v>1099</v>
      </c>
      <c r="G94" t="s">
        <v>327</v>
      </c>
    </row>
    <row r="95" spans="1:7">
      <c r="A95" t="s">
        <v>5282</v>
      </c>
      <c r="B95" t="s">
        <v>1</v>
      </c>
      <c r="C95" t="s">
        <v>232</v>
      </c>
      <c r="D95" t="s">
        <v>233</v>
      </c>
      <c r="E95" t="s">
        <v>121</v>
      </c>
      <c r="F95" t="s">
        <v>1182</v>
      </c>
      <c r="G95" t="s">
        <v>1183</v>
      </c>
    </row>
    <row r="96" spans="1:7">
      <c r="A96" t="s">
        <v>5283</v>
      </c>
      <c r="B96" t="s">
        <v>1</v>
      </c>
      <c r="C96" t="s">
        <v>3978</v>
      </c>
      <c r="D96" t="s">
        <v>227</v>
      </c>
      <c r="E96" t="s">
        <v>228</v>
      </c>
      <c r="F96" t="s">
        <v>1178</v>
      </c>
      <c r="G96" t="s">
        <v>1179</v>
      </c>
    </row>
    <row r="97" spans="1:7">
      <c r="A97" t="s">
        <v>5284</v>
      </c>
      <c r="B97" t="s">
        <v>1</v>
      </c>
      <c r="C97" t="s">
        <v>3979</v>
      </c>
      <c r="D97" t="s">
        <v>229</v>
      </c>
      <c r="E97" t="s">
        <v>45</v>
      </c>
      <c r="F97" t="s">
        <v>1191</v>
      </c>
      <c r="G97" t="s">
        <v>1192</v>
      </c>
    </row>
    <row r="98" spans="1:7">
      <c r="A98" t="s">
        <v>5285</v>
      </c>
      <c r="B98" t="s">
        <v>1</v>
      </c>
      <c r="C98" t="s">
        <v>3950</v>
      </c>
      <c r="D98" t="s">
        <v>1147</v>
      </c>
      <c r="E98" t="s">
        <v>12</v>
      </c>
      <c r="F98" t="s">
        <v>1148</v>
      </c>
    </row>
    <row r="99" spans="1:7">
      <c r="A99" t="s">
        <v>5286</v>
      </c>
      <c r="B99" t="s">
        <v>1</v>
      </c>
      <c r="C99" t="s">
        <v>230</v>
      </c>
      <c r="D99">
        <v>1286</v>
      </c>
      <c r="E99" t="s">
        <v>231</v>
      </c>
      <c r="F99" t="s">
        <v>1202</v>
      </c>
    </row>
    <row r="100" spans="1:7">
      <c r="A100" t="s">
        <v>5287</v>
      </c>
      <c r="B100" t="s">
        <v>1</v>
      </c>
      <c r="C100" t="s">
        <v>3980</v>
      </c>
      <c r="D100">
        <v>1294</v>
      </c>
      <c r="E100" t="s">
        <v>104</v>
      </c>
      <c r="F100" t="s">
        <v>1208</v>
      </c>
      <c r="G100" t="s">
        <v>1209</v>
      </c>
    </row>
    <row r="101" spans="1:7">
      <c r="A101" t="s">
        <v>5288</v>
      </c>
      <c r="B101" t="s">
        <v>4232</v>
      </c>
      <c r="C101" t="s">
        <v>4256</v>
      </c>
      <c r="D101" t="s">
        <v>929</v>
      </c>
      <c r="E101" t="s">
        <v>12</v>
      </c>
      <c r="F101" t="s">
        <v>930</v>
      </c>
      <c r="G101" t="s">
        <v>931</v>
      </c>
    </row>
    <row r="102" spans="1:7">
      <c r="A102" t="s">
        <v>5289</v>
      </c>
      <c r="B102" t="s">
        <v>4232</v>
      </c>
      <c r="C102" t="s">
        <v>4257</v>
      </c>
      <c r="D102" t="s">
        <v>867</v>
      </c>
      <c r="E102" t="s">
        <v>34</v>
      </c>
      <c r="F102" t="s">
        <v>868</v>
      </c>
      <c r="G102" t="s">
        <v>869</v>
      </c>
    </row>
    <row r="103" spans="1:7">
      <c r="A103" t="s">
        <v>5290</v>
      </c>
      <c r="B103" t="s">
        <v>0</v>
      </c>
      <c r="C103" t="s">
        <v>300</v>
      </c>
      <c r="D103" t="s">
        <v>299</v>
      </c>
      <c r="E103" t="s">
        <v>34</v>
      </c>
      <c r="F103" t="s">
        <v>1076</v>
      </c>
      <c r="G103" t="s">
        <v>297</v>
      </c>
    </row>
    <row r="104" spans="1:7">
      <c r="A104" t="s">
        <v>5291</v>
      </c>
      <c r="B104" t="s">
        <v>4232</v>
      </c>
      <c r="C104" t="s">
        <v>4254</v>
      </c>
      <c r="D104" t="s">
        <v>984</v>
      </c>
      <c r="E104" t="s">
        <v>27</v>
      </c>
      <c r="F104" t="s">
        <v>985</v>
      </c>
      <c r="G104" t="s">
        <v>986</v>
      </c>
    </row>
    <row r="105" spans="1:7">
      <c r="A105" t="s">
        <v>5292</v>
      </c>
      <c r="B105" t="s">
        <v>4232</v>
      </c>
      <c r="C105" t="s">
        <v>4258</v>
      </c>
      <c r="D105" t="s">
        <v>811</v>
      </c>
      <c r="E105" t="s">
        <v>3993</v>
      </c>
      <c r="F105" t="s">
        <v>812</v>
      </c>
      <c r="G105" t="s">
        <v>813</v>
      </c>
    </row>
    <row r="106" spans="1:7">
      <c r="A106" t="s">
        <v>5293</v>
      </c>
      <c r="B106" t="s">
        <v>4232</v>
      </c>
      <c r="C106" t="s">
        <v>4259</v>
      </c>
      <c r="D106" t="s">
        <v>814</v>
      </c>
      <c r="E106" t="s">
        <v>3993</v>
      </c>
      <c r="F106" t="s">
        <v>812</v>
      </c>
      <c r="G106" t="s">
        <v>815</v>
      </c>
    </row>
    <row r="107" spans="1:7">
      <c r="A107" t="s">
        <v>5294</v>
      </c>
      <c r="B107" t="s">
        <v>4232</v>
      </c>
      <c r="C107" t="s">
        <v>4260</v>
      </c>
      <c r="D107" t="s">
        <v>816</v>
      </c>
      <c r="E107" t="s">
        <v>12</v>
      </c>
      <c r="F107" t="s">
        <v>817</v>
      </c>
    </row>
    <row r="108" spans="1:7">
      <c r="A108" t="s">
        <v>5295</v>
      </c>
      <c r="B108" t="s">
        <v>4232</v>
      </c>
      <c r="C108" t="s">
        <v>4261</v>
      </c>
      <c r="D108" t="s">
        <v>827</v>
      </c>
      <c r="E108" t="s">
        <v>258</v>
      </c>
      <c r="F108" t="s">
        <v>834</v>
      </c>
      <c r="G108" t="s">
        <v>835</v>
      </c>
    </row>
    <row r="109" spans="1:7">
      <c r="A109" t="s">
        <v>5296</v>
      </c>
      <c r="B109" t="s">
        <v>4232</v>
      </c>
      <c r="C109" t="s">
        <v>4262</v>
      </c>
      <c r="D109" t="s">
        <v>827</v>
      </c>
      <c r="E109" t="s">
        <v>258</v>
      </c>
      <c r="F109" t="s">
        <v>836</v>
      </c>
      <c r="G109" t="s">
        <v>837</v>
      </c>
    </row>
    <row r="110" spans="1:7">
      <c r="A110" t="s">
        <v>5297</v>
      </c>
      <c r="B110" t="s">
        <v>4232</v>
      </c>
      <c r="C110" t="s">
        <v>4268</v>
      </c>
      <c r="D110" t="s">
        <v>818</v>
      </c>
      <c r="E110" t="s">
        <v>4263</v>
      </c>
      <c r="F110" t="s">
        <v>819</v>
      </c>
      <c r="G110" t="s">
        <v>820</v>
      </c>
    </row>
    <row r="111" spans="1:7">
      <c r="A111" t="s">
        <v>5298</v>
      </c>
      <c r="B111" t="s">
        <v>4232</v>
      </c>
      <c r="C111" t="s">
        <v>4269</v>
      </c>
      <c r="D111" t="s">
        <v>827</v>
      </c>
      <c r="E111" t="s">
        <v>258</v>
      </c>
      <c r="F111" t="s">
        <v>838</v>
      </c>
      <c r="G111" t="s">
        <v>839</v>
      </c>
    </row>
    <row r="112" spans="1:7">
      <c r="A112" t="s">
        <v>5299</v>
      </c>
      <c r="B112" t="s">
        <v>4232</v>
      </c>
      <c r="C112" t="s">
        <v>4270</v>
      </c>
      <c r="D112" t="s">
        <v>856</v>
      </c>
      <c r="E112" t="s">
        <v>4264</v>
      </c>
      <c r="F112" t="s">
        <v>857</v>
      </c>
      <c r="G112" t="s">
        <v>858</v>
      </c>
    </row>
    <row r="113" spans="1:7">
      <c r="A113" t="s">
        <v>5300</v>
      </c>
      <c r="B113" t="s">
        <v>4232</v>
      </c>
      <c r="C113" t="s">
        <v>4252</v>
      </c>
      <c r="D113" t="s">
        <v>912</v>
      </c>
      <c r="E113" t="s">
        <v>45</v>
      </c>
      <c r="F113" t="s">
        <v>913</v>
      </c>
      <c r="G113" t="s">
        <v>914</v>
      </c>
    </row>
    <row r="114" spans="1:7">
      <c r="A114" t="s">
        <v>5301</v>
      </c>
      <c r="B114" t="s">
        <v>4232</v>
      </c>
      <c r="C114" t="s">
        <v>4271</v>
      </c>
      <c r="D114" t="s">
        <v>827</v>
      </c>
      <c r="E114" t="s">
        <v>258</v>
      </c>
      <c r="F114" t="s">
        <v>840</v>
      </c>
      <c r="G114" t="s">
        <v>841</v>
      </c>
    </row>
    <row r="115" spans="1:7">
      <c r="A115" t="s">
        <v>5302</v>
      </c>
      <c r="B115" t="s">
        <v>4232</v>
      </c>
      <c r="C115" t="s">
        <v>4253</v>
      </c>
      <c r="D115" t="s">
        <v>984</v>
      </c>
      <c r="E115" t="s">
        <v>27</v>
      </c>
      <c r="F115" t="s">
        <v>985</v>
      </c>
      <c r="G115" t="s">
        <v>986</v>
      </c>
    </row>
    <row r="116" spans="1:7">
      <c r="A116" t="s">
        <v>5303</v>
      </c>
      <c r="B116" t="s">
        <v>4232</v>
      </c>
      <c r="C116" t="s">
        <v>4272</v>
      </c>
      <c r="D116" t="s">
        <v>859</v>
      </c>
      <c r="E116" t="s">
        <v>13</v>
      </c>
      <c r="F116" t="s">
        <v>860</v>
      </c>
      <c r="G116" t="s">
        <v>861</v>
      </c>
    </row>
    <row r="117" spans="1:7">
      <c r="A117" t="s">
        <v>5304</v>
      </c>
      <c r="B117" t="s">
        <v>0</v>
      </c>
      <c r="C117" t="s">
        <v>3977</v>
      </c>
      <c r="D117" t="s">
        <v>191</v>
      </c>
      <c r="E117" t="s">
        <v>192</v>
      </c>
      <c r="F117" t="s">
        <v>1124</v>
      </c>
      <c r="G117" t="s">
        <v>359</v>
      </c>
    </row>
    <row r="118" spans="1:7">
      <c r="A118" t="s">
        <v>5305</v>
      </c>
      <c r="B118" t="s">
        <v>4232</v>
      </c>
      <c r="C118" t="s">
        <v>4273</v>
      </c>
      <c r="D118" t="s">
        <v>1038</v>
      </c>
      <c r="E118" t="s">
        <v>4047</v>
      </c>
      <c r="F118" t="s">
        <v>1039</v>
      </c>
      <c r="G118" t="s">
        <v>1040</v>
      </c>
    </row>
    <row r="119" spans="1:7">
      <c r="A119" t="s">
        <v>5306</v>
      </c>
      <c r="B119" t="s">
        <v>4232</v>
      </c>
      <c r="C119" t="s">
        <v>4274</v>
      </c>
      <c r="D119" t="s">
        <v>975</v>
      </c>
      <c r="E119" t="s">
        <v>12</v>
      </c>
      <c r="F119" t="s">
        <v>976</v>
      </c>
      <c r="G119" t="s">
        <v>977</v>
      </c>
    </row>
    <row r="120" spans="1:7">
      <c r="A120" t="s">
        <v>5307</v>
      </c>
      <c r="B120" t="s">
        <v>4232</v>
      </c>
      <c r="C120" t="s">
        <v>4275</v>
      </c>
      <c r="D120" t="s">
        <v>966</v>
      </c>
      <c r="E120" t="s">
        <v>3993</v>
      </c>
      <c r="F120" t="s">
        <v>967</v>
      </c>
      <c r="G120" t="s">
        <v>968</v>
      </c>
    </row>
    <row r="121" spans="1:7">
      <c r="A121" t="s">
        <v>5308</v>
      </c>
      <c r="B121" t="s">
        <v>4232</v>
      </c>
      <c r="C121" t="s">
        <v>4276</v>
      </c>
      <c r="D121" t="s">
        <v>873</v>
      </c>
      <c r="E121" t="s">
        <v>13</v>
      </c>
      <c r="F121" t="s">
        <v>874</v>
      </c>
      <c r="G121" t="s">
        <v>875</v>
      </c>
    </row>
    <row r="122" spans="1:7">
      <c r="A122" t="s">
        <v>5309</v>
      </c>
      <c r="B122" t="s">
        <v>4232</v>
      </c>
      <c r="C122" t="s">
        <v>4277</v>
      </c>
      <c r="D122" t="s">
        <v>876</v>
      </c>
      <c r="E122" t="s">
        <v>3995</v>
      </c>
      <c r="F122" t="s">
        <v>877</v>
      </c>
      <c r="G122" t="s">
        <v>878</v>
      </c>
    </row>
    <row r="123" spans="1:7">
      <c r="A123" t="s">
        <v>5310</v>
      </c>
      <c r="B123" t="s">
        <v>4232</v>
      </c>
      <c r="C123" t="s">
        <v>4278</v>
      </c>
      <c r="D123" t="s">
        <v>850</v>
      </c>
      <c r="E123" t="s">
        <v>34</v>
      </c>
      <c r="F123" t="s">
        <v>851</v>
      </c>
      <c r="G123" t="s">
        <v>852</v>
      </c>
    </row>
    <row r="124" spans="1:7">
      <c r="A124" t="s">
        <v>5311</v>
      </c>
      <c r="B124" t="s">
        <v>4232</v>
      </c>
      <c r="C124" t="s">
        <v>4279</v>
      </c>
      <c r="D124" t="s">
        <v>879</v>
      </c>
      <c r="E124" t="s">
        <v>4124</v>
      </c>
      <c r="F124" t="s">
        <v>880</v>
      </c>
      <c r="G124" t="s">
        <v>881</v>
      </c>
    </row>
    <row r="125" spans="1:7">
      <c r="A125" t="s">
        <v>5312</v>
      </c>
      <c r="B125" t="s">
        <v>4232</v>
      </c>
      <c r="C125" t="s">
        <v>4280</v>
      </c>
      <c r="D125" t="s">
        <v>864</v>
      </c>
      <c r="E125" t="s">
        <v>4265</v>
      </c>
      <c r="F125" t="s">
        <v>865</v>
      </c>
      <c r="G125" t="s">
        <v>866</v>
      </c>
    </row>
    <row r="126" spans="1:7">
      <c r="A126" t="s">
        <v>5313</v>
      </c>
      <c r="B126" t="s">
        <v>4232</v>
      </c>
      <c r="C126" t="s">
        <v>4281</v>
      </c>
      <c r="D126" t="s">
        <v>827</v>
      </c>
      <c r="E126" t="s">
        <v>258</v>
      </c>
      <c r="F126" t="s">
        <v>842</v>
      </c>
      <c r="G126" t="s">
        <v>843</v>
      </c>
    </row>
    <row r="127" spans="1:7">
      <c r="A127" t="s">
        <v>5314</v>
      </c>
      <c r="B127" t="s">
        <v>4232</v>
      </c>
      <c r="C127" t="s">
        <v>4282</v>
      </c>
      <c r="D127" t="s">
        <v>847</v>
      </c>
      <c r="E127" t="s">
        <v>4266</v>
      </c>
      <c r="F127" t="s">
        <v>848</v>
      </c>
      <c r="G127" t="s">
        <v>849</v>
      </c>
    </row>
    <row r="128" spans="1:7">
      <c r="A128" t="s">
        <v>5315</v>
      </c>
      <c r="B128" t="s">
        <v>4232</v>
      </c>
      <c r="C128" t="s">
        <v>4283</v>
      </c>
      <c r="D128" t="s">
        <v>978</v>
      </c>
      <c r="E128" t="s">
        <v>252</v>
      </c>
      <c r="F128" t="s">
        <v>979</v>
      </c>
      <c r="G128" t="s">
        <v>980</v>
      </c>
    </row>
    <row r="129" spans="1:7">
      <c r="A129" t="s">
        <v>5316</v>
      </c>
      <c r="B129" t="s">
        <v>4232</v>
      </c>
      <c r="C129" t="s">
        <v>4284</v>
      </c>
      <c r="D129" t="s">
        <v>886</v>
      </c>
      <c r="E129" t="s">
        <v>13</v>
      </c>
      <c r="F129" t="s">
        <v>887</v>
      </c>
      <c r="G129" t="s">
        <v>888</v>
      </c>
    </row>
    <row r="130" spans="1:7">
      <c r="A130" t="s">
        <v>5317</v>
      </c>
      <c r="B130" t="s">
        <v>4232</v>
      </c>
      <c r="C130" t="s">
        <v>4255</v>
      </c>
      <c r="D130" t="s">
        <v>915</v>
      </c>
      <c r="E130" t="s">
        <v>13</v>
      </c>
      <c r="F130" t="s">
        <v>916</v>
      </c>
      <c r="G130" t="s">
        <v>917</v>
      </c>
    </row>
    <row r="131" spans="1:7">
      <c r="A131" t="s">
        <v>5318</v>
      </c>
      <c r="B131" t="s">
        <v>4232</v>
      </c>
      <c r="C131" t="s">
        <v>4285</v>
      </c>
      <c r="D131" t="s">
        <v>1032</v>
      </c>
      <c r="E131" t="s">
        <v>4267</v>
      </c>
      <c r="F131" t="s">
        <v>1033</v>
      </c>
      <c r="G131" t="s">
        <v>1034</v>
      </c>
    </row>
    <row r="132" spans="1:7">
      <c r="A132" t="s">
        <v>5319</v>
      </c>
      <c r="B132" t="s">
        <v>4232</v>
      </c>
      <c r="C132" t="s">
        <v>4286</v>
      </c>
      <c r="D132" t="s">
        <v>1008</v>
      </c>
      <c r="E132" t="s">
        <v>4267</v>
      </c>
      <c r="F132" t="s">
        <v>1009</v>
      </c>
      <c r="G132" t="s">
        <v>1010</v>
      </c>
    </row>
    <row r="133" spans="1:7">
      <c r="A133" t="s">
        <v>5320</v>
      </c>
      <c r="B133" t="s">
        <v>1</v>
      </c>
      <c r="C133" t="s">
        <v>4074</v>
      </c>
      <c r="D133" t="s">
        <v>416</v>
      </c>
      <c r="E133" t="s">
        <v>34</v>
      </c>
      <c r="F133" t="s">
        <v>809</v>
      </c>
      <c r="G133" t="s">
        <v>810</v>
      </c>
    </row>
    <row r="134" spans="1:7">
      <c r="A134" t="s">
        <v>5321</v>
      </c>
      <c r="B134" t="s">
        <v>1</v>
      </c>
      <c r="C134" t="s">
        <v>4073</v>
      </c>
      <c r="D134" t="s">
        <v>393</v>
      </c>
      <c r="E134" t="s">
        <v>4075</v>
      </c>
      <c r="F134" t="s">
        <v>712</v>
      </c>
      <c r="G134" t="s">
        <v>713</v>
      </c>
    </row>
    <row r="135" spans="1:7">
      <c r="A135" t="s">
        <v>5322</v>
      </c>
      <c r="B135" t="s">
        <v>1</v>
      </c>
      <c r="C135" t="s">
        <v>4076</v>
      </c>
      <c r="D135" t="s">
        <v>437</v>
      </c>
      <c r="E135" t="s">
        <v>13</v>
      </c>
      <c r="F135" t="s">
        <v>544</v>
      </c>
      <c r="G135" t="s">
        <v>545</v>
      </c>
    </row>
    <row r="136" spans="1:7">
      <c r="A136" t="s">
        <v>5323</v>
      </c>
      <c r="B136" t="s">
        <v>1</v>
      </c>
      <c r="C136" t="s">
        <v>4078</v>
      </c>
      <c r="D136" t="s">
        <v>426</v>
      </c>
      <c r="E136" t="s">
        <v>4077</v>
      </c>
      <c r="F136" t="s">
        <v>511</v>
      </c>
      <c r="G136" t="s">
        <v>512</v>
      </c>
    </row>
    <row r="137" spans="1:7">
      <c r="A137" t="s">
        <v>5324</v>
      </c>
      <c r="B137" t="s">
        <v>1</v>
      </c>
      <c r="C137" t="s">
        <v>4079</v>
      </c>
      <c r="D137" t="s">
        <v>628</v>
      </c>
      <c r="E137" t="s">
        <v>12</v>
      </c>
      <c r="F137" t="s">
        <v>629</v>
      </c>
      <c r="G137" t="s">
        <v>630</v>
      </c>
    </row>
    <row r="138" spans="1:7">
      <c r="A138" t="s">
        <v>5325</v>
      </c>
      <c r="B138" t="s">
        <v>1</v>
      </c>
      <c r="C138" t="s">
        <v>4080</v>
      </c>
      <c r="D138" t="s">
        <v>400</v>
      </c>
      <c r="E138" t="s">
        <v>27</v>
      </c>
      <c r="F138" t="s">
        <v>732</v>
      </c>
      <c r="G138" t="s">
        <v>733</v>
      </c>
    </row>
    <row r="139" spans="1:7">
      <c r="A139" t="s">
        <v>5326</v>
      </c>
      <c r="B139" t="s">
        <v>1</v>
      </c>
      <c r="C139" t="s">
        <v>4081</v>
      </c>
      <c r="D139" t="s">
        <v>472</v>
      </c>
      <c r="E139" t="s">
        <v>12</v>
      </c>
      <c r="F139" t="s">
        <v>662</v>
      </c>
      <c r="G139" t="s">
        <v>663</v>
      </c>
    </row>
    <row r="140" spans="1:7">
      <c r="A140" t="s">
        <v>5327</v>
      </c>
      <c r="B140" t="s">
        <v>1</v>
      </c>
      <c r="C140" t="s">
        <v>4082</v>
      </c>
      <c r="D140" t="s">
        <v>398</v>
      </c>
      <c r="E140" t="s">
        <v>4083</v>
      </c>
      <c r="F140" t="s">
        <v>726</v>
      </c>
      <c r="G140" t="s">
        <v>727</v>
      </c>
    </row>
    <row r="141" spans="1:7">
      <c r="A141" t="s">
        <v>5328</v>
      </c>
      <c r="B141" t="s">
        <v>1</v>
      </c>
      <c r="C141" t="s">
        <v>4084</v>
      </c>
      <c r="D141" t="s">
        <v>406</v>
      </c>
      <c r="E141" t="s">
        <v>4085</v>
      </c>
      <c r="F141" t="s">
        <v>763</v>
      </c>
      <c r="G141" t="s">
        <v>764</v>
      </c>
    </row>
    <row r="142" spans="1:7">
      <c r="A142" t="s">
        <v>5329</v>
      </c>
      <c r="B142" t="s">
        <v>1</v>
      </c>
      <c r="C142" t="s">
        <v>4086</v>
      </c>
      <c r="D142" t="s">
        <v>434</v>
      </c>
      <c r="E142" t="s">
        <v>258</v>
      </c>
      <c r="F142" t="s">
        <v>532</v>
      </c>
      <c r="G142" t="s">
        <v>533</v>
      </c>
    </row>
    <row r="143" spans="1:7">
      <c r="A143" t="s">
        <v>5330</v>
      </c>
      <c r="B143" t="s">
        <v>1</v>
      </c>
      <c r="C143" t="s">
        <v>4087</v>
      </c>
      <c r="D143" t="s">
        <v>414</v>
      </c>
      <c r="E143" t="s">
        <v>4088</v>
      </c>
      <c r="F143" t="s">
        <v>799</v>
      </c>
      <c r="G143" t="s">
        <v>800</v>
      </c>
    </row>
    <row r="144" spans="1:7">
      <c r="A144" t="s">
        <v>5331</v>
      </c>
      <c r="B144" t="s">
        <v>1</v>
      </c>
      <c r="C144" t="s">
        <v>4089</v>
      </c>
      <c r="D144" t="s">
        <v>449</v>
      </c>
      <c r="E144" t="s">
        <v>13</v>
      </c>
      <c r="F144" t="s">
        <v>571</v>
      </c>
      <c r="G144" t="s">
        <v>572</v>
      </c>
    </row>
    <row r="145" spans="1:7">
      <c r="A145" t="s">
        <v>5332</v>
      </c>
      <c r="B145" t="s">
        <v>1</v>
      </c>
      <c r="C145" t="s">
        <v>4090</v>
      </c>
      <c r="D145" t="s">
        <v>474</v>
      </c>
      <c r="E145" t="s">
        <v>4091</v>
      </c>
      <c r="F145" t="s">
        <v>669</v>
      </c>
      <c r="G145" t="s">
        <v>670</v>
      </c>
    </row>
    <row r="146" spans="1:7">
      <c r="A146" t="s">
        <v>5333</v>
      </c>
      <c r="B146" t="s">
        <v>1</v>
      </c>
      <c r="C146" t="s">
        <v>4092</v>
      </c>
      <c r="D146" t="s">
        <v>384</v>
      </c>
      <c r="E146" t="s">
        <v>12</v>
      </c>
      <c r="F146" t="s">
        <v>681</v>
      </c>
      <c r="G146" t="s">
        <v>682</v>
      </c>
    </row>
    <row r="147" spans="1:7">
      <c r="A147" t="s">
        <v>5334</v>
      </c>
      <c r="B147" t="s">
        <v>1</v>
      </c>
      <c r="C147" t="s">
        <v>4093</v>
      </c>
      <c r="D147" t="s">
        <v>476</v>
      </c>
      <c r="E147" t="s">
        <v>12</v>
      </c>
      <c r="F147" t="s">
        <v>673</v>
      </c>
      <c r="G147" t="s">
        <v>674</v>
      </c>
    </row>
    <row r="148" spans="1:7">
      <c r="A148" t="s">
        <v>5335</v>
      </c>
      <c r="B148" t="s">
        <v>1</v>
      </c>
      <c r="C148" t="s">
        <v>4094</v>
      </c>
      <c r="D148" t="s">
        <v>417</v>
      </c>
      <c r="E148" t="s">
        <v>3993</v>
      </c>
      <c r="F148" t="s">
        <v>486</v>
      </c>
      <c r="G148" t="s">
        <v>487</v>
      </c>
    </row>
    <row r="149" spans="1:7">
      <c r="A149" t="s">
        <v>5336</v>
      </c>
      <c r="B149" t="s">
        <v>1</v>
      </c>
      <c r="C149" t="s">
        <v>4095</v>
      </c>
      <c r="D149">
        <v>1266</v>
      </c>
      <c r="E149" t="s">
        <v>13</v>
      </c>
      <c r="F149" t="s">
        <v>749</v>
      </c>
      <c r="G149" t="s">
        <v>750</v>
      </c>
    </row>
    <row r="150" spans="1:7">
      <c r="A150" t="s">
        <v>5337</v>
      </c>
      <c r="B150" t="s">
        <v>1</v>
      </c>
      <c r="C150" t="s">
        <v>4098</v>
      </c>
      <c r="D150" t="s">
        <v>4096</v>
      </c>
      <c r="E150" t="s">
        <v>13</v>
      </c>
      <c r="F150" t="s">
        <v>749</v>
      </c>
      <c r="G150" t="s">
        <v>750</v>
      </c>
    </row>
    <row r="151" spans="1:7">
      <c r="A151" t="s">
        <v>5338</v>
      </c>
      <c r="B151" t="s">
        <v>1</v>
      </c>
      <c r="C151" t="s">
        <v>4097</v>
      </c>
      <c r="D151" t="s">
        <v>405</v>
      </c>
      <c r="E151" t="s">
        <v>13</v>
      </c>
      <c r="F151" t="s">
        <v>749</v>
      </c>
      <c r="G151" t="s">
        <v>759</v>
      </c>
    </row>
    <row r="152" spans="1:7">
      <c r="A152" t="s">
        <v>5339</v>
      </c>
      <c r="B152" t="s">
        <v>1</v>
      </c>
      <c r="C152" t="s">
        <v>4099</v>
      </c>
      <c r="D152" t="s">
        <v>466</v>
      </c>
      <c r="E152" t="s">
        <v>220</v>
      </c>
      <c r="F152" t="s">
        <v>642</v>
      </c>
      <c r="G152" t="s">
        <v>643</v>
      </c>
    </row>
    <row r="153" spans="1:7">
      <c r="A153" t="s">
        <v>5340</v>
      </c>
      <c r="B153" t="s">
        <v>1</v>
      </c>
      <c r="C153" t="s">
        <v>4100</v>
      </c>
      <c r="D153" t="s">
        <v>118</v>
      </c>
      <c r="E153" t="s">
        <v>45</v>
      </c>
      <c r="F153" t="s">
        <v>747</v>
      </c>
      <c r="G153" t="s">
        <v>748</v>
      </c>
    </row>
    <row r="154" spans="1:7">
      <c r="A154" t="s">
        <v>5341</v>
      </c>
      <c r="B154" t="s">
        <v>1</v>
      </c>
      <c r="C154" t="s">
        <v>4101</v>
      </c>
      <c r="D154" t="s">
        <v>402</v>
      </c>
      <c r="E154" t="s">
        <v>4102</v>
      </c>
      <c r="F154" t="s">
        <v>743</v>
      </c>
      <c r="G154" t="s">
        <v>744</v>
      </c>
    </row>
    <row r="155" spans="1:7">
      <c r="A155" t="s">
        <v>5342</v>
      </c>
      <c r="B155" t="s">
        <v>1</v>
      </c>
      <c r="C155" t="s">
        <v>4103</v>
      </c>
      <c r="D155" t="s">
        <v>425</v>
      </c>
      <c r="E155" t="s">
        <v>4077</v>
      </c>
      <c r="F155" t="s">
        <v>509</v>
      </c>
      <c r="G155" t="s">
        <v>510</v>
      </c>
    </row>
    <row r="156" spans="1:7">
      <c r="A156" t="s">
        <v>5343</v>
      </c>
      <c r="B156" t="s">
        <v>1</v>
      </c>
      <c r="C156" t="s">
        <v>4104</v>
      </c>
      <c r="D156" t="s">
        <v>480</v>
      </c>
      <c r="E156" t="s">
        <v>3993</v>
      </c>
      <c r="F156" t="s">
        <v>573</v>
      </c>
      <c r="G156" t="s">
        <v>574</v>
      </c>
    </row>
    <row r="157" spans="1:7">
      <c r="A157" t="s">
        <v>5344</v>
      </c>
      <c r="B157" t="s">
        <v>1</v>
      </c>
      <c r="C157" t="s">
        <v>4105</v>
      </c>
      <c r="D157" t="s">
        <v>444</v>
      </c>
      <c r="E157" t="s">
        <v>4106</v>
      </c>
      <c r="F157" t="s">
        <v>561</v>
      </c>
      <c r="G157" t="s">
        <v>562</v>
      </c>
    </row>
    <row r="158" spans="1:7">
      <c r="A158" t="s">
        <v>5345</v>
      </c>
      <c r="B158" t="s">
        <v>1</v>
      </c>
      <c r="C158" t="s">
        <v>4107</v>
      </c>
      <c r="D158" t="s">
        <v>454</v>
      </c>
      <c r="E158" t="s">
        <v>4108</v>
      </c>
      <c r="F158" t="s">
        <v>597</v>
      </c>
      <c r="G158" t="s">
        <v>598</v>
      </c>
    </row>
    <row r="159" spans="1:7">
      <c r="A159" t="s">
        <v>5346</v>
      </c>
      <c r="B159" t="s">
        <v>1</v>
      </c>
      <c r="C159" t="s">
        <v>4109</v>
      </c>
      <c r="D159" t="s">
        <v>400</v>
      </c>
      <c r="E159" t="s">
        <v>27</v>
      </c>
      <c r="F159" t="s">
        <v>718</v>
      </c>
      <c r="G159" t="s">
        <v>719</v>
      </c>
    </row>
    <row r="160" spans="1:7">
      <c r="A160" t="s">
        <v>5347</v>
      </c>
      <c r="B160" t="s">
        <v>1</v>
      </c>
      <c r="C160" t="s">
        <v>4110</v>
      </c>
      <c r="D160" t="s">
        <v>4111</v>
      </c>
      <c r="E160" t="s">
        <v>27</v>
      </c>
      <c r="F160" t="s">
        <v>718</v>
      </c>
      <c r="G160" t="s">
        <v>719</v>
      </c>
    </row>
    <row r="161" spans="1:7">
      <c r="A161" t="s">
        <v>5348</v>
      </c>
      <c r="B161" t="s">
        <v>1</v>
      </c>
      <c r="C161" t="s">
        <v>4112</v>
      </c>
      <c r="D161" t="s">
        <v>448</v>
      </c>
      <c r="E161" t="s">
        <v>4113</v>
      </c>
      <c r="F161" t="s">
        <v>569</v>
      </c>
      <c r="G161" t="s">
        <v>570</v>
      </c>
    </row>
    <row r="162" spans="1:7">
      <c r="A162" t="s">
        <v>5349</v>
      </c>
      <c r="B162" t="s">
        <v>1</v>
      </c>
      <c r="C162" t="s">
        <v>4114</v>
      </c>
      <c r="D162" t="s">
        <v>396</v>
      </c>
      <c r="E162" t="s">
        <v>27</v>
      </c>
      <c r="F162" t="s">
        <v>722</v>
      </c>
      <c r="G162" t="s">
        <v>723</v>
      </c>
    </row>
    <row r="163" spans="1:7">
      <c r="A163" t="s">
        <v>5350</v>
      </c>
      <c r="B163" t="s">
        <v>1</v>
      </c>
      <c r="C163" t="s">
        <v>4115</v>
      </c>
      <c r="D163" t="s">
        <v>411</v>
      </c>
      <c r="E163" t="s">
        <v>4116</v>
      </c>
      <c r="F163" t="s">
        <v>786</v>
      </c>
      <c r="G163" t="s">
        <v>787</v>
      </c>
    </row>
    <row r="164" spans="1:7">
      <c r="A164" t="s">
        <v>5351</v>
      </c>
      <c r="B164" t="s">
        <v>1</v>
      </c>
      <c r="C164" t="s">
        <v>4119</v>
      </c>
      <c r="D164" t="s">
        <v>421</v>
      </c>
      <c r="E164" t="s">
        <v>4118</v>
      </c>
      <c r="F164" t="s">
        <v>499</v>
      </c>
      <c r="G164" t="s">
        <v>500</v>
      </c>
    </row>
    <row r="165" spans="1:7">
      <c r="A165" t="s">
        <v>5352</v>
      </c>
      <c r="B165" t="s">
        <v>1</v>
      </c>
      <c r="C165" t="s">
        <v>4117</v>
      </c>
      <c r="D165" t="s">
        <v>421</v>
      </c>
      <c r="E165" t="s">
        <v>4118</v>
      </c>
      <c r="F165" t="s">
        <v>499</v>
      </c>
      <c r="G165" t="s">
        <v>500</v>
      </c>
    </row>
    <row r="166" spans="1:7">
      <c r="A166" t="s">
        <v>5353</v>
      </c>
      <c r="B166" t="s">
        <v>1</v>
      </c>
      <c r="C166" t="s">
        <v>4120</v>
      </c>
      <c r="D166" t="s">
        <v>428</v>
      </c>
      <c r="E166" t="s">
        <v>34</v>
      </c>
      <c r="F166" t="s">
        <v>515</v>
      </c>
      <c r="G166" t="s">
        <v>516</v>
      </c>
    </row>
    <row r="167" spans="1:7">
      <c r="A167" t="s">
        <v>5354</v>
      </c>
      <c r="B167" t="s">
        <v>1</v>
      </c>
      <c r="C167" t="s">
        <v>4121</v>
      </c>
      <c r="D167" t="s">
        <v>440</v>
      </c>
      <c r="E167" t="s">
        <v>34</v>
      </c>
      <c r="F167" t="s">
        <v>550</v>
      </c>
      <c r="G167" t="s">
        <v>551</v>
      </c>
    </row>
    <row r="168" spans="1:7">
      <c r="A168" t="s">
        <v>5355</v>
      </c>
      <c r="B168" t="s">
        <v>1</v>
      </c>
      <c r="C168" t="s">
        <v>4122</v>
      </c>
      <c r="D168" t="s">
        <v>433</v>
      </c>
      <c r="E168" t="s">
        <v>241</v>
      </c>
      <c r="F168" t="s">
        <v>528</v>
      </c>
      <c r="G168" t="s">
        <v>529</v>
      </c>
    </row>
    <row r="169" spans="1:7">
      <c r="A169" t="s">
        <v>5356</v>
      </c>
      <c r="B169" t="s">
        <v>1</v>
      </c>
      <c r="C169" t="s">
        <v>4123</v>
      </c>
      <c r="D169" t="s">
        <v>385</v>
      </c>
      <c r="E169" t="s">
        <v>4124</v>
      </c>
      <c r="F169" t="s">
        <v>686</v>
      </c>
      <c r="G169" t="s">
        <v>687</v>
      </c>
    </row>
    <row r="170" spans="1:7">
      <c r="A170" t="s">
        <v>5357</v>
      </c>
      <c r="B170" t="s">
        <v>1</v>
      </c>
      <c r="C170" t="s">
        <v>4125</v>
      </c>
      <c r="D170" t="s">
        <v>4126</v>
      </c>
      <c r="E170" t="s">
        <v>34</v>
      </c>
      <c r="F170" t="s">
        <v>505</v>
      </c>
      <c r="G170" t="s">
        <v>506</v>
      </c>
    </row>
    <row r="171" spans="1:7">
      <c r="A171" t="s">
        <v>5358</v>
      </c>
      <c r="B171" t="s">
        <v>1</v>
      </c>
      <c r="C171" t="s">
        <v>4127</v>
      </c>
      <c r="D171" t="s">
        <v>423</v>
      </c>
      <c r="E171" t="s">
        <v>3993</v>
      </c>
      <c r="F171" t="s">
        <v>505</v>
      </c>
      <c r="G171" t="s">
        <v>506</v>
      </c>
    </row>
    <row r="172" spans="1:7">
      <c r="A172" t="s">
        <v>5359</v>
      </c>
      <c r="B172" t="s">
        <v>1</v>
      </c>
      <c r="C172" t="s">
        <v>4128</v>
      </c>
      <c r="D172" t="s">
        <v>450</v>
      </c>
      <c r="E172" t="s">
        <v>112</v>
      </c>
      <c r="F172" t="s">
        <v>575</v>
      </c>
      <c r="G172" t="s">
        <v>576</v>
      </c>
    </row>
    <row r="173" spans="1:7">
      <c r="A173" t="s">
        <v>5360</v>
      </c>
      <c r="B173" t="s">
        <v>1</v>
      </c>
      <c r="C173" t="s">
        <v>4130</v>
      </c>
      <c r="D173" t="s">
        <v>467</v>
      </c>
      <c r="E173" t="s">
        <v>4131</v>
      </c>
      <c r="F173" t="s">
        <v>649</v>
      </c>
      <c r="G173" t="s">
        <v>650</v>
      </c>
    </row>
    <row r="174" spans="1:7">
      <c r="A174" t="s">
        <v>5361</v>
      </c>
      <c r="B174" t="s">
        <v>1</v>
      </c>
      <c r="C174" t="s">
        <v>4132</v>
      </c>
      <c r="D174" t="s">
        <v>430</v>
      </c>
      <c r="E174" t="s">
        <v>40</v>
      </c>
      <c r="F174" t="s">
        <v>519</v>
      </c>
      <c r="G174" t="s">
        <v>520</v>
      </c>
    </row>
    <row r="175" spans="1:7">
      <c r="A175" t="s">
        <v>5362</v>
      </c>
      <c r="B175" t="s">
        <v>1</v>
      </c>
      <c r="C175" t="s">
        <v>4133</v>
      </c>
      <c r="D175" t="s">
        <v>430</v>
      </c>
      <c r="E175" t="s">
        <v>40</v>
      </c>
      <c r="F175" t="s">
        <v>519</v>
      </c>
      <c r="G175" t="s">
        <v>520</v>
      </c>
    </row>
    <row r="176" spans="1:7">
      <c r="A176" t="s">
        <v>5363</v>
      </c>
      <c r="B176" t="s">
        <v>1</v>
      </c>
      <c r="C176" t="s">
        <v>4135</v>
      </c>
      <c r="D176" t="s">
        <v>452</v>
      </c>
      <c r="E176" t="s">
        <v>12</v>
      </c>
      <c r="F176" t="s">
        <v>582</v>
      </c>
      <c r="G176" t="s">
        <v>583</v>
      </c>
    </row>
    <row r="177" spans="1:7">
      <c r="A177" t="s">
        <v>5364</v>
      </c>
      <c r="B177" t="s">
        <v>1</v>
      </c>
      <c r="C177" t="s">
        <v>4134</v>
      </c>
      <c r="D177" t="s">
        <v>3949</v>
      </c>
      <c r="E177" t="s">
        <v>40</v>
      </c>
      <c r="F177" t="s">
        <v>495</v>
      </c>
      <c r="G177" t="s">
        <v>496</v>
      </c>
    </row>
    <row r="178" spans="1:7">
      <c r="A178" t="s">
        <v>5365</v>
      </c>
      <c r="B178" t="s">
        <v>1</v>
      </c>
      <c r="C178" t="s">
        <v>4136</v>
      </c>
      <c r="D178" t="s">
        <v>3887</v>
      </c>
      <c r="E178" t="s">
        <v>4077</v>
      </c>
      <c r="F178" t="s">
        <v>677</v>
      </c>
      <c r="G178" t="s">
        <v>678</v>
      </c>
    </row>
    <row r="179" spans="1:7">
      <c r="A179" t="s">
        <v>5366</v>
      </c>
      <c r="B179" t="s">
        <v>1</v>
      </c>
      <c r="C179" t="s">
        <v>4137</v>
      </c>
      <c r="D179" t="s">
        <v>391</v>
      </c>
      <c r="E179" t="s">
        <v>29</v>
      </c>
      <c r="F179" t="s">
        <v>703</v>
      </c>
      <c r="G179" t="s">
        <v>704</v>
      </c>
    </row>
    <row r="180" spans="1:7">
      <c r="A180" t="s">
        <v>5367</v>
      </c>
      <c r="B180" t="s">
        <v>1</v>
      </c>
      <c r="C180" t="s">
        <v>4138</v>
      </c>
      <c r="D180" t="s">
        <v>434</v>
      </c>
      <c r="E180" t="s">
        <v>258</v>
      </c>
      <c r="F180" t="s">
        <v>534</v>
      </c>
      <c r="G180" t="s">
        <v>535</v>
      </c>
    </row>
    <row r="181" spans="1:7">
      <c r="A181" t="s">
        <v>5368</v>
      </c>
      <c r="B181" t="s">
        <v>1</v>
      </c>
      <c r="C181" t="s">
        <v>4139</v>
      </c>
      <c r="D181" t="s">
        <v>457</v>
      </c>
      <c r="E181" t="s">
        <v>4140</v>
      </c>
      <c r="F181" t="s">
        <v>613</v>
      </c>
      <c r="G181" t="s">
        <v>614</v>
      </c>
    </row>
    <row r="182" spans="1:7">
      <c r="A182" t="s">
        <v>5369</v>
      </c>
      <c r="B182" t="s">
        <v>1</v>
      </c>
      <c r="C182" t="s">
        <v>4141</v>
      </c>
      <c r="D182" t="s">
        <v>436</v>
      </c>
      <c r="E182" t="s">
        <v>4142</v>
      </c>
      <c r="F182" t="s">
        <v>542</v>
      </c>
      <c r="G182" t="s">
        <v>543</v>
      </c>
    </row>
    <row r="183" spans="1:7">
      <c r="A183" t="s">
        <v>5370</v>
      </c>
      <c r="B183" t="s">
        <v>1</v>
      </c>
      <c r="C183" t="s">
        <v>4143</v>
      </c>
      <c r="D183" t="s">
        <v>394</v>
      </c>
      <c r="E183" t="s">
        <v>27</v>
      </c>
      <c r="F183" t="s">
        <v>714</v>
      </c>
      <c r="G183" t="s">
        <v>715</v>
      </c>
    </row>
    <row r="184" spans="1:7">
      <c r="A184" t="s">
        <v>5371</v>
      </c>
      <c r="B184" t="s">
        <v>1</v>
      </c>
      <c r="C184" t="s">
        <v>4144</v>
      </c>
      <c r="D184" t="s">
        <v>443</v>
      </c>
      <c r="E184" t="s">
        <v>13</v>
      </c>
      <c r="F184" t="s">
        <v>559</v>
      </c>
      <c r="G184" t="s">
        <v>560</v>
      </c>
    </row>
    <row r="185" spans="1:7">
      <c r="A185" t="s">
        <v>5372</v>
      </c>
      <c r="B185" t="s">
        <v>0</v>
      </c>
      <c r="C185" t="s">
        <v>165</v>
      </c>
      <c r="D185" t="s">
        <v>86</v>
      </c>
      <c r="E185" t="s">
        <v>87</v>
      </c>
      <c r="F185" t="s">
        <v>1065</v>
      </c>
      <c r="G185" t="s">
        <v>280</v>
      </c>
    </row>
    <row r="186" spans="1:7">
      <c r="A186" t="s">
        <v>5373</v>
      </c>
      <c r="B186" t="s">
        <v>0</v>
      </c>
      <c r="C186" t="s">
        <v>163</v>
      </c>
      <c r="D186">
        <v>1282</v>
      </c>
      <c r="E186" t="s">
        <v>79</v>
      </c>
      <c r="F186" t="s">
        <v>1130</v>
      </c>
      <c r="G186" t="s">
        <v>366</v>
      </c>
    </row>
    <row r="187" spans="1:7">
      <c r="A187" t="s">
        <v>5374</v>
      </c>
      <c r="B187" t="s">
        <v>0</v>
      </c>
      <c r="C187" t="s">
        <v>3955</v>
      </c>
      <c r="D187" t="s">
        <v>302</v>
      </c>
      <c r="E187" t="s">
        <v>12</v>
      </c>
      <c r="F187" t="s">
        <v>1079</v>
      </c>
      <c r="G187" t="s">
        <v>322</v>
      </c>
    </row>
    <row r="188" spans="1:7">
      <c r="A188" t="s">
        <v>5375</v>
      </c>
      <c r="B188" t="s">
        <v>0</v>
      </c>
      <c r="C188" t="s">
        <v>3956</v>
      </c>
      <c r="D188" t="s">
        <v>81</v>
      </c>
      <c r="E188" t="s">
        <v>82</v>
      </c>
      <c r="F188" t="s">
        <v>1090</v>
      </c>
      <c r="G188" t="s">
        <v>316</v>
      </c>
    </row>
    <row r="189" spans="1:7">
      <c r="A189" t="s">
        <v>5376</v>
      </c>
      <c r="B189" t="s">
        <v>0</v>
      </c>
      <c r="C189" t="s">
        <v>3958</v>
      </c>
      <c r="D189" t="s">
        <v>83</v>
      </c>
      <c r="E189" t="s">
        <v>12</v>
      </c>
      <c r="F189" t="s">
        <v>1057</v>
      </c>
      <c r="G189" t="s">
        <v>271</v>
      </c>
    </row>
    <row r="190" spans="1:7">
      <c r="A190" t="s">
        <v>5377</v>
      </c>
      <c r="B190" t="s">
        <v>0</v>
      </c>
      <c r="C190" t="s">
        <v>164</v>
      </c>
      <c r="D190" t="s">
        <v>84</v>
      </c>
      <c r="E190" t="s">
        <v>85</v>
      </c>
      <c r="F190" t="s">
        <v>1127</v>
      </c>
      <c r="G190" t="s">
        <v>362</v>
      </c>
    </row>
    <row r="191" spans="1:7">
      <c r="A191" t="s">
        <v>5378</v>
      </c>
      <c r="B191" t="s">
        <v>0</v>
      </c>
      <c r="C191" t="s">
        <v>167</v>
      </c>
      <c r="D191" t="s">
        <v>90</v>
      </c>
      <c r="E191" t="s">
        <v>91</v>
      </c>
      <c r="F191" t="s">
        <v>1120</v>
      </c>
      <c r="G191" t="s">
        <v>354</v>
      </c>
    </row>
    <row r="192" spans="1:7">
      <c r="A192" t="s">
        <v>5379</v>
      </c>
      <c r="B192" t="s">
        <v>0</v>
      </c>
      <c r="C192" t="s">
        <v>3960</v>
      </c>
      <c r="D192" t="s">
        <v>92</v>
      </c>
      <c r="E192" t="s">
        <v>12</v>
      </c>
      <c r="F192" t="s">
        <v>1119</v>
      </c>
      <c r="G192" t="s">
        <v>351</v>
      </c>
    </row>
    <row r="193" spans="1:7">
      <c r="A193" t="s">
        <v>5380</v>
      </c>
      <c r="B193" t="s">
        <v>0</v>
      </c>
      <c r="C193" t="s">
        <v>168</v>
      </c>
      <c r="D193" t="s">
        <v>93</v>
      </c>
      <c r="E193" t="s">
        <v>12</v>
      </c>
      <c r="F193" t="s">
        <v>1116</v>
      </c>
      <c r="G193" t="s">
        <v>348</v>
      </c>
    </row>
    <row r="194" spans="1:7">
      <c r="A194" t="s">
        <v>5381</v>
      </c>
      <c r="B194" t="s">
        <v>0</v>
      </c>
      <c r="C194" s="1" t="s">
        <v>169</v>
      </c>
      <c r="D194" t="s">
        <v>94</v>
      </c>
      <c r="E194" t="s">
        <v>95</v>
      </c>
      <c r="F194" t="s">
        <v>1105</v>
      </c>
      <c r="G194" t="s">
        <v>335</v>
      </c>
    </row>
    <row r="195" spans="1:7">
      <c r="A195" t="s">
        <v>5382</v>
      </c>
      <c r="B195" t="s">
        <v>0</v>
      </c>
      <c r="C195" s="1" t="s">
        <v>170</v>
      </c>
      <c r="D195" t="s">
        <v>97</v>
      </c>
      <c r="E195" t="s">
        <v>98</v>
      </c>
      <c r="F195" t="s">
        <v>1059</v>
      </c>
      <c r="G195" t="s">
        <v>274</v>
      </c>
    </row>
    <row r="196" spans="1:7">
      <c r="A196" t="s">
        <v>5383</v>
      </c>
      <c r="B196" t="s">
        <v>0</v>
      </c>
      <c r="C196" t="s">
        <v>166</v>
      </c>
      <c r="D196">
        <v>1294</v>
      </c>
      <c r="E196" t="s">
        <v>88</v>
      </c>
      <c r="F196" t="s">
        <v>1137</v>
      </c>
      <c r="G196" t="s">
        <v>376</v>
      </c>
    </row>
    <row r="197" spans="1:7">
      <c r="A197" t="s">
        <v>5384</v>
      </c>
      <c r="B197" t="s">
        <v>1</v>
      </c>
      <c r="C197" t="s">
        <v>4145</v>
      </c>
      <c r="D197" t="s">
        <v>453</v>
      </c>
      <c r="E197" t="s">
        <v>4052</v>
      </c>
      <c r="F197" t="s">
        <v>584</v>
      </c>
      <c r="G197" t="s">
        <v>585</v>
      </c>
    </row>
    <row r="198" spans="1:7">
      <c r="A198" t="s">
        <v>5385</v>
      </c>
      <c r="B198" t="s">
        <v>1</v>
      </c>
      <c r="C198" t="s">
        <v>4148</v>
      </c>
      <c r="D198" t="s">
        <v>751</v>
      </c>
      <c r="E198" t="s">
        <v>4149</v>
      </c>
      <c r="F198" t="s">
        <v>752</v>
      </c>
      <c r="G198" t="s">
        <v>753</v>
      </c>
    </row>
    <row r="199" spans="1:7">
      <c r="A199" t="s">
        <v>5386</v>
      </c>
      <c r="B199" t="s">
        <v>1</v>
      </c>
      <c r="C199" t="s">
        <v>4150</v>
      </c>
      <c r="D199" t="s">
        <v>386</v>
      </c>
      <c r="E199" t="s">
        <v>4151</v>
      </c>
      <c r="F199" t="s">
        <v>688</v>
      </c>
      <c r="G199" t="s">
        <v>689</v>
      </c>
    </row>
    <row r="200" spans="1:7">
      <c r="A200" t="s">
        <v>5387</v>
      </c>
      <c r="B200" t="s">
        <v>1</v>
      </c>
      <c r="C200" t="s">
        <v>4152</v>
      </c>
      <c r="D200" t="s">
        <v>390</v>
      </c>
      <c r="E200" t="s">
        <v>4153</v>
      </c>
      <c r="F200" t="s">
        <v>698</v>
      </c>
      <c r="G200" t="s">
        <v>699</v>
      </c>
    </row>
    <row r="201" spans="1:7">
      <c r="A201" t="s">
        <v>5388</v>
      </c>
      <c r="B201" t="s">
        <v>1</v>
      </c>
      <c r="C201" t="s">
        <v>4154</v>
      </c>
      <c r="D201" t="s">
        <v>481</v>
      </c>
      <c r="E201" t="s">
        <v>4052</v>
      </c>
      <c r="F201" t="s">
        <v>696</v>
      </c>
      <c r="G201" t="s">
        <v>697</v>
      </c>
    </row>
    <row r="202" spans="1:7">
      <c r="A202" t="s">
        <v>5389</v>
      </c>
      <c r="B202" t="s">
        <v>1</v>
      </c>
      <c r="C202" t="s">
        <v>4155</v>
      </c>
      <c r="D202" t="s">
        <v>790</v>
      </c>
      <c r="E202" t="s">
        <v>4156</v>
      </c>
      <c r="F202" t="s">
        <v>791</v>
      </c>
      <c r="G202" t="s">
        <v>792</v>
      </c>
    </row>
    <row r="203" spans="1:7">
      <c r="A203" t="s">
        <v>5390</v>
      </c>
      <c r="B203" t="s">
        <v>1</v>
      </c>
      <c r="C203" t="s">
        <v>4157</v>
      </c>
      <c r="D203" t="s">
        <v>468</v>
      </c>
      <c r="E203" t="s">
        <v>29</v>
      </c>
      <c r="F203" t="s">
        <v>651</v>
      </c>
      <c r="G203" t="s">
        <v>652</v>
      </c>
    </row>
    <row r="204" spans="1:7">
      <c r="A204" t="s">
        <v>5391</v>
      </c>
      <c r="B204" t="s">
        <v>1</v>
      </c>
      <c r="C204" t="s">
        <v>4158</v>
      </c>
      <c r="D204" t="s">
        <v>707</v>
      </c>
      <c r="E204" t="s">
        <v>4159</v>
      </c>
      <c r="F204" t="s">
        <v>708</v>
      </c>
      <c r="G204" t="s">
        <v>709</v>
      </c>
    </row>
    <row r="205" spans="1:7">
      <c r="A205" t="s">
        <v>5392</v>
      </c>
      <c r="B205" t="s">
        <v>1</v>
      </c>
      <c r="C205" t="s">
        <v>4160</v>
      </c>
      <c r="D205" t="s">
        <v>392</v>
      </c>
      <c r="E205" t="s">
        <v>4161</v>
      </c>
      <c r="F205" t="s">
        <v>710</v>
      </c>
      <c r="G205" t="s">
        <v>711</v>
      </c>
    </row>
    <row r="206" spans="1:7">
      <c r="A206" t="s">
        <v>5393</v>
      </c>
      <c r="B206" t="s">
        <v>1</v>
      </c>
      <c r="C206" t="s">
        <v>4162</v>
      </c>
      <c r="D206" t="s">
        <v>478</v>
      </c>
      <c r="E206" t="s">
        <v>4163</v>
      </c>
      <c r="F206" t="s">
        <v>679</v>
      </c>
      <c r="G206" t="s">
        <v>680</v>
      </c>
    </row>
    <row r="207" spans="1:7">
      <c r="A207" t="s">
        <v>5394</v>
      </c>
      <c r="B207" t="s">
        <v>1</v>
      </c>
      <c r="C207" t="s">
        <v>4164</v>
      </c>
      <c r="D207" t="s">
        <v>462</v>
      </c>
      <c r="E207" t="s">
        <v>12</v>
      </c>
      <c r="F207" t="s">
        <v>626</v>
      </c>
      <c r="G207" t="s">
        <v>627</v>
      </c>
    </row>
    <row r="208" spans="1:7">
      <c r="A208" t="s">
        <v>5395</v>
      </c>
      <c r="B208" t="s">
        <v>1</v>
      </c>
      <c r="C208" t="s">
        <v>4165</v>
      </c>
      <c r="D208" t="s">
        <v>447</v>
      </c>
      <c r="E208" t="s">
        <v>27</v>
      </c>
      <c r="F208" t="s">
        <v>567</v>
      </c>
      <c r="G208" t="s">
        <v>568</v>
      </c>
    </row>
    <row r="209" spans="1:7">
      <c r="A209" t="s">
        <v>5396</v>
      </c>
      <c r="B209" t="s">
        <v>1</v>
      </c>
      <c r="C209" t="s">
        <v>4166</v>
      </c>
      <c r="D209" t="s">
        <v>424</v>
      </c>
      <c r="E209" t="s">
        <v>77</v>
      </c>
      <c r="F209" t="s">
        <v>507</v>
      </c>
      <c r="G209" t="s">
        <v>508</v>
      </c>
    </row>
    <row r="210" spans="1:7">
      <c r="A210" t="s">
        <v>5397</v>
      </c>
      <c r="B210" t="s">
        <v>4232</v>
      </c>
      <c r="C210" t="s">
        <v>4287</v>
      </c>
      <c r="D210" t="s">
        <v>1029</v>
      </c>
      <c r="E210" t="s">
        <v>12</v>
      </c>
      <c r="F210" t="s">
        <v>1030</v>
      </c>
      <c r="G210" t="s">
        <v>1031</v>
      </c>
    </row>
    <row r="211" spans="1:7">
      <c r="A211" t="s">
        <v>5398</v>
      </c>
      <c r="B211" t="s">
        <v>0</v>
      </c>
      <c r="C211" t="s">
        <v>182</v>
      </c>
      <c r="D211" t="s">
        <v>119</v>
      </c>
      <c r="E211" t="s">
        <v>45</v>
      </c>
      <c r="F211" t="s">
        <v>1070</v>
      </c>
      <c r="G211" t="s">
        <v>286</v>
      </c>
    </row>
    <row r="212" spans="1:7">
      <c r="A212" t="s">
        <v>5399</v>
      </c>
      <c r="B212" t="s">
        <v>0</v>
      </c>
      <c r="C212" t="s">
        <v>183</v>
      </c>
      <c r="D212" t="s">
        <v>6</v>
      </c>
      <c r="E212" t="s">
        <v>12</v>
      </c>
      <c r="F212" t="s">
        <v>1103</v>
      </c>
      <c r="G212" t="s">
        <v>332</v>
      </c>
    </row>
    <row r="213" spans="1:7">
      <c r="A213" t="s">
        <v>5400</v>
      </c>
      <c r="B213" t="s">
        <v>0</v>
      </c>
      <c r="C213" t="s">
        <v>184</v>
      </c>
      <c r="D213" t="s">
        <v>120</v>
      </c>
      <c r="E213" t="s">
        <v>121</v>
      </c>
      <c r="F213" t="s">
        <v>1094</v>
      </c>
      <c r="G213" t="s">
        <v>321</v>
      </c>
    </row>
    <row r="214" spans="1:7">
      <c r="A214" t="s">
        <v>5401</v>
      </c>
      <c r="B214" t="s">
        <v>0</v>
      </c>
      <c r="C214" t="s">
        <v>3973</v>
      </c>
      <c r="D214">
        <v>1288</v>
      </c>
      <c r="E214" t="s">
        <v>43</v>
      </c>
      <c r="F214" t="s">
        <v>1133</v>
      </c>
      <c r="G214" t="s">
        <v>370</v>
      </c>
    </row>
    <row r="215" spans="1:7">
      <c r="A215" t="s">
        <v>5402</v>
      </c>
      <c r="B215" t="s">
        <v>4232</v>
      </c>
      <c r="C215" t="s">
        <v>4288</v>
      </c>
      <c r="D215" t="s">
        <v>999</v>
      </c>
      <c r="E215" t="s">
        <v>22</v>
      </c>
      <c r="F215" t="s">
        <v>1000</v>
      </c>
      <c r="G215" t="s">
        <v>1001</v>
      </c>
    </row>
    <row r="216" spans="1:7">
      <c r="A216" t="s">
        <v>5403</v>
      </c>
      <c r="B216" t="s">
        <v>4232</v>
      </c>
      <c r="C216" t="s">
        <v>4289</v>
      </c>
      <c r="D216" t="s">
        <v>1005</v>
      </c>
      <c r="E216" t="s">
        <v>3995</v>
      </c>
      <c r="F216" t="s">
        <v>1006</v>
      </c>
      <c r="G216" t="s">
        <v>1007</v>
      </c>
    </row>
    <row r="217" spans="1:7">
      <c r="A217" t="s">
        <v>5404</v>
      </c>
      <c r="B217" t="s">
        <v>4232</v>
      </c>
      <c r="C217" t="s">
        <v>4293</v>
      </c>
      <c r="D217" t="s">
        <v>960</v>
      </c>
      <c r="E217" t="s">
        <v>4016</v>
      </c>
      <c r="F217" t="s">
        <v>961</v>
      </c>
      <c r="G217" t="s">
        <v>962</v>
      </c>
    </row>
    <row r="218" spans="1:7">
      <c r="A218" t="s">
        <v>5405</v>
      </c>
      <c r="B218" t="s">
        <v>4232</v>
      </c>
      <c r="C218" t="s">
        <v>4290</v>
      </c>
      <c r="D218" t="s">
        <v>972</v>
      </c>
      <c r="E218" t="s">
        <v>4291</v>
      </c>
      <c r="F218" t="s">
        <v>973</v>
      </c>
      <c r="G218" t="s">
        <v>974</v>
      </c>
    </row>
    <row r="219" spans="1:7">
      <c r="A219" t="s">
        <v>5406</v>
      </c>
      <c r="B219" t="s">
        <v>4232</v>
      </c>
      <c r="C219" t="s">
        <v>4292</v>
      </c>
      <c r="D219" t="s">
        <v>892</v>
      </c>
      <c r="E219" t="s">
        <v>4052</v>
      </c>
      <c r="F219" t="s">
        <v>893</v>
      </c>
      <c r="G219" t="s">
        <v>894</v>
      </c>
    </row>
    <row r="220" spans="1:7">
      <c r="A220" t="s">
        <v>5407</v>
      </c>
      <c r="B220" t="s">
        <v>4232</v>
      </c>
      <c r="C220" t="s">
        <v>4294</v>
      </c>
      <c r="D220" t="s">
        <v>1011</v>
      </c>
      <c r="E220" t="s">
        <v>4295</v>
      </c>
      <c r="F220" t="s">
        <v>1012</v>
      </c>
      <c r="G220" t="s">
        <v>1013</v>
      </c>
    </row>
    <row r="221" spans="1:7">
      <c r="A221" t="s">
        <v>5408</v>
      </c>
      <c r="B221" t="s">
        <v>4232</v>
      </c>
      <c r="C221" t="s">
        <v>4296</v>
      </c>
      <c r="D221" t="s">
        <v>969</v>
      </c>
      <c r="E221" t="s">
        <v>13</v>
      </c>
      <c r="F221" t="s">
        <v>970</v>
      </c>
      <c r="G221" t="s">
        <v>971</v>
      </c>
    </row>
    <row r="222" spans="1:7">
      <c r="A222" t="s">
        <v>5409</v>
      </c>
      <c r="B222" t="s">
        <v>4232</v>
      </c>
      <c r="C222" t="s">
        <v>4297</v>
      </c>
      <c r="D222" t="s">
        <v>1041</v>
      </c>
      <c r="E222" t="s">
        <v>112</v>
      </c>
      <c r="F222" t="s">
        <v>1042</v>
      </c>
      <c r="G222" t="s">
        <v>1043</v>
      </c>
    </row>
    <row r="223" spans="1:7">
      <c r="A223" t="s">
        <v>5410</v>
      </c>
      <c r="B223" t="s">
        <v>4232</v>
      </c>
      <c r="C223" t="s">
        <v>4298</v>
      </c>
      <c r="D223" t="s">
        <v>1023</v>
      </c>
      <c r="E223" t="s">
        <v>12</v>
      </c>
      <c r="F223" t="s">
        <v>1024</v>
      </c>
      <c r="G223" t="s">
        <v>1025</v>
      </c>
    </row>
    <row r="224" spans="1:7">
      <c r="A224" t="s">
        <v>5411</v>
      </c>
      <c r="B224" t="s">
        <v>4232</v>
      </c>
      <c r="C224" t="s">
        <v>4299</v>
      </c>
      <c r="D224" t="s">
        <v>1053</v>
      </c>
      <c r="E224" t="s">
        <v>91</v>
      </c>
      <c r="F224" t="s">
        <v>1054</v>
      </c>
      <c r="G224" t="s">
        <v>1055</v>
      </c>
    </row>
    <row r="225" spans="1:7">
      <c r="A225" t="s">
        <v>5412</v>
      </c>
      <c r="B225" t="s">
        <v>1</v>
      </c>
      <c r="C225" t="s">
        <v>3981</v>
      </c>
      <c r="D225" t="s">
        <v>234</v>
      </c>
      <c r="E225" t="s">
        <v>235</v>
      </c>
      <c r="F225" t="s">
        <v>1173</v>
      </c>
      <c r="G225" t="s">
        <v>1174</v>
      </c>
    </row>
    <row r="226" spans="1:7">
      <c r="A226" t="s">
        <v>5413</v>
      </c>
      <c r="B226" t="s">
        <v>1</v>
      </c>
      <c r="C226" t="s">
        <v>236</v>
      </c>
      <c r="D226" t="s">
        <v>237</v>
      </c>
      <c r="E226" t="s">
        <v>11</v>
      </c>
      <c r="F226" t="s">
        <v>1203</v>
      </c>
      <c r="G226" t="s">
        <v>1204</v>
      </c>
    </row>
    <row r="227" spans="1:7">
      <c r="A227" t="s">
        <v>5414</v>
      </c>
      <c r="B227" t="s">
        <v>1</v>
      </c>
      <c r="C227" t="s">
        <v>4175</v>
      </c>
      <c r="D227" t="s">
        <v>470</v>
      </c>
      <c r="E227" t="s">
        <v>4176</v>
      </c>
      <c r="F227" t="s">
        <v>658</v>
      </c>
      <c r="G227" t="s">
        <v>659</v>
      </c>
    </row>
    <row r="228" spans="1:7">
      <c r="A228" t="s">
        <v>5415</v>
      </c>
      <c r="B228" t="s">
        <v>1</v>
      </c>
      <c r="C228" t="s">
        <v>4177</v>
      </c>
      <c r="D228" t="s">
        <v>592</v>
      </c>
      <c r="E228" t="s">
        <v>4178</v>
      </c>
      <c r="F228" t="s">
        <v>593</v>
      </c>
      <c r="G228" t="s">
        <v>594</v>
      </c>
    </row>
    <row r="229" spans="1:7">
      <c r="A229" t="s">
        <v>5416</v>
      </c>
      <c r="B229" t="s">
        <v>1</v>
      </c>
      <c r="C229" t="s">
        <v>4169</v>
      </c>
      <c r="D229" t="s">
        <v>766</v>
      </c>
      <c r="E229" t="s">
        <v>104</v>
      </c>
      <c r="F229" t="s">
        <v>767</v>
      </c>
      <c r="G229" t="s">
        <v>768</v>
      </c>
    </row>
    <row r="230" spans="1:7">
      <c r="A230" t="s">
        <v>5417</v>
      </c>
      <c r="B230" t="s">
        <v>1</v>
      </c>
      <c r="C230" t="s">
        <v>4179</v>
      </c>
      <c r="D230" t="s">
        <v>589</v>
      </c>
      <c r="E230" t="s">
        <v>3995</v>
      </c>
      <c r="F230" t="s">
        <v>590</v>
      </c>
      <c r="G230" t="s">
        <v>591</v>
      </c>
    </row>
    <row r="231" spans="1:7">
      <c r="A231" t="s">
        <v>5418</v>
      </c>
      <c r="B231" t="s">
        <v>1</v>
      </c>
      <c r="C231" t="s">
        <v>4180</v>
      </c>
      <c r="D231" t="s">
        <v>631</v>
      </c>
      <c r="E231" t="s">
        <v>4181</v>
      </c>
      <c r="F231" t="s">
        <v>632</v>
      </c>
      <c r="G231" t="s">
        <v>633</v>
      </c>
    </row>
    <row r="232" spans="1:7">
      <c r="A232" t="s">
        <v>5419</v>
      </c>
      <c r="B232" t="s">
        <v>1</v>
      </c>
      <c r="C232" t="s">
        <v>4182</v>
      </c>
      <c r="D232" t="s">
        <v>631</v>
      </c>
      <c r="E232" t="s">
        <v>4181</v>
      </c>
      <c r="F232" t="s">
        <v>632</v>
      </c>
      <c r="G232" t="s">
        <v>633</v>
      </c>
    </row>
    <row r="233" spans="1:7">
      <c r="A233" t="s">
        <v>5420</v>
      </c>
      <c r="B233" t="s">
        <v>1</v>
      </c>
      <c r="C233" t="s">
        <v>4183</v>
      </c>
      <c r="D233" t="s">
        <v>464</v>
      </c>
      <c r="E233" t="s">
        <v>4181</v>
      </c>
      <c r="F233" t="s">
        <v>636</v>
      </c>
      <c r="G233" t="s">
        <v>637</v>
      </c>
    </row>
    <row r="234" spans="1:7">
      <c r="A234" t="s">
        <v>5421</v>
      </c>
      <c r="B234" t="s">
        <v>1</v>
      </c>
      <c r="C234" t="s">
        <v>4184</v>
      </c>
      <c r="D234" t="s">
        <v>464</v>
      </c>
      <c r="E234" t="s">
        <v>4181</v>
      </c>
      <c r="F234" t="s">
        <v>636</v>
      </c>
      <c r="G234" t="s">
        <v>637</v>
      </c>
    </row>
    <row r="235" spans="1:7">
      <c r="A235" t="s">
        <v>5422</v>
      </c>
      <c r="B235" t="s">
        <v>1</v>
      </c>
      <c r="C235" t="s">
        <v>4185</v>
      </c>
      <c r="D235" t="s">
        <v>464</v>
      </c>
      <c r="E235" t="s">
        <v>4181</v>
      </c>
      <c r="F235" t="s">
        <v>636</v>
      </c>
      <c r="G235" t="s">
        <v>637</v>
      </c>
    </row>
    <row r="236" spans="1:7">
      <c r="A236" t="s">
        <v>5423</v>
      </c>
      <c r="B236" t="s">
        <v>1</v>
      </c>
      <c r="C236" t="s">
        <v>4186</v>
      </c>
      <c r="D236" t="s">
        <v>608</v>
      </c>
      <c r="E236" t="s">
        <v>4187</v>
      </c>
      <c r="F236" t="s">
        <v>611</v>
      </c>
      <c r="G236" t="s">
        <v>612</v>
      </c>
    </row>
    <row r="237" spans="1:7">
      <c r="A237" t="s">
        <v>5424</v>
      </c>
      <c r="B237" t="s">
        <v>1</v>
      </c>
      <c r="C237" t="s">
        <v>4188</v>
      </c>
      <c r="D237" t="s">
        <v>608</v>
      </c>
      <c r="E237" t="s">
        <v>4187</v>
      </c>
      <c r="F237" t="s">
        <v>611</v>
      </c>
      <c r="G237" t="s">
        <v>612</v>
      </c>
    </row>
    <row r="238" spans="1:7">
      <c r="A238" t="s">
        <v>5425</v>
      </c>
      <c r="B238" t="s">
        <v>1</v>
      </c>
      <c r="C238" t="s">
        <v>4189</v>
      </c>
      <c r="D238" t="s">
        <v>434</v>
      </c>
      <c r="E238" t="s">
        <v>258</v>
      </c>
      <c r="F238" t="s">
        <v>538</v>
      </c>
      <c r="G238" t="s">
        <v>539</v>
      </c>
    </row>
    <row r="239" spans="1:7">
      <c r="A239" t="s">
        <v>5426</v>
      </c>
      <c r="B239" t="s">
        <v>1</v>
      </c>
      <c r="C239" t="s">
        <v>4190</v>
      </c>
      <c r="D239" t="s">
        <v>646</v>
      </c>
      <c r="E239" t="s">
        <v>133</v>
      </c>
      <c r="F239" t="s">
        <v>647</v>
      </c>
      <c r="G239" t="s">
        <v>648</v>
      </c>
    </row>
    <row r="240" spans="1:7">
      <c r="A240" t="s">
        <v>5427</v>
      </c>
      <c r="B240" t="s">
        <v>1</v>
      </c>
      <c r="C240" t="s">
        <v>4191</v>
      </c>
      <c r="D240" t="s">
        <v>463</v>
      </c>
      <c r="E240" t="s">
        <v>4181</v>
      </c>
      <c r="F240" t="s">
        <v>634</v>
      </c>
      <c r="G240" t="s">
        <v>635</v>
      </c>
    </row>
    <row r="241" spans="1:7">
      <c r="A241" t="s">
        <v>5428</v>
      </c>
      <c r="B241" t="s">
        <v>1</v>
      </c>
      <c r="C241" t="s">
        <v>4192</v>
      </c>
      <c r="D241" t="s">
        <v>586</v>
      </c>
      <c r="E241" t="s">
        <v>4193</v>
      </c>
      <c r="F241" t="s">
        <v>587</v>
      </c>
      <c r="G241" t="s">
        <v>588</v>
      </c>
    </row>
    <row r="242" spans="1:7">
      <c r="A242" t="s">
        <v>5429</v>
      </c>
      <c r="B242" t="s">
        <v>1</v>
      </c>
      <c r="C242" t="s">
        <v>4194</v>
      </c>
      <c r="D242" t="s">
        <v>523</v>
      </c>
      <c r="E242" t="s">
        <v>12</v>
      </c>
      <c r="F242" t="s">
        <v>524</v>
      </c>
      <c r="G242" t="s">
        <v>525</v>
      </c>
    </row>
    <row r="243" spans="1:7">
      <c r="A243" t="s">
        <v>5430</v>
      </c>
      <c r="B243" t="s">
        <v>1</v>
      </c>
      <c r="C243" t="s">
        <v>4195</v>
      </c>
      <c r="D243" t="s">
        <v>806</v>
      </c>
      <c r="E243" t="s">
        <v>3995</v>
      </c>
      <c r="F243" t="s">
        <v>807</v>
      </c>
      <c r="G243" t="s">
        <v>808</v>
      </c>
    </row>
    <row r="244" spans="1:7">
      <c r="A244" t="s">
        <v>5431</v>
      </c>
      <c r="B244" t="s">
        <v>1</v>
      </c>
      <c r="C244" t="s">
        <v>4196</v>
      </c>
      <c r="D244" t="s">
        <v>778</v>
      </c>
      <c r="E244" t="s">
        <v>4197</v>
      </c>
      <c r="F244" t="s">
        <v>779</v>
      </c>
      <c r="G244" t="s">
        <v>780</v>
      </c>
    </row>
    <row r="245" spans="1:7">
      <c r="A245" t="s">
        <v>5432</v>
      </c>
      <c r="B245" t="s">
        <v>1</v>
      </c>
      <c r="C245" t="s">
        <v>4198</v>
      </c>
      <c r="D245" t="s">
        <v>413</v>
      </c>
      <c r="E245" t="s">
        <v>228</v>
      </c>
      <c r="F245" t="s">
        <v>797</v>
      </c>
      <c r="G245" t="s">
        <v>798</v>
      </c>
    </row>
    <row r="246" spans="1:7">
      <c r="A246" t="s">
        <v>5433</v>
      </c>
      <c r="B246" t="s">
        <v>1</v>
      </c>
      <c r="C246" t="s">
        <v>4129</v>
      </c>
      <c r="D246" t="s">
        <v>450</v>
      </c>
      <c r="E246" t="s">
        <v>112</v>
      </c>
      <c r="F246" t="s">
        <v>575</v>
      </c>
      <c r="G246" t="s">
        <v>576</v>
      </c>
    </row>
    <row r="247" spans="1:7">
      <c r="A247" t="s">
        <v>5434</v>
      </c>
      <c r="B247" t="s">
        <v>1</v>
      </c>
      <c r="C247" t="s">
        <v>4199</v>
      </c>
      <c r="D247" t="s">
        <v>790</v>
      </c>
      <c r="E247" t="s">
        <v>4200</v>
      </c>
      <c r="F247" t="s">
        <v>793</v>
      </c>
      <c r="G247" t="s">
        <v>794</v>
      </c>
    </row>
    <row r="248" spans="1:7">
      <c r="A248" t="s">
        <v>5435</v>
      </c>
      <c r="B248" t="s">
        <v>1</v>
      </c>
      <c r="C248" t="s">
        <v>4201</v>
      </c>
      <c r="D248" t="s">
        <v>442</v>
      </c>
      <c r="F248" t="s">
        <v>557</v>
      </c>
      <c r="G248" t="s">
        <v>558</v>
      </c>
    </row>
    <row r="249" spans="1:7">
      <c r="A249" t="s">
        <v>5436</v>
      </c>
      <c r="B249" t="s">
        <v>1</v>
      </c>
      <c r="C249" t="s">
        <v>4170</v>
      </c>
      <c r="D249" t="s">
        <v>477</v>
      </c>
      <c r="E249" t="s">
        <v>45</v>
      </c>
      <c r="F249" t="s">
        <v>675</v>
      </c>
      <c r="G249" t="s">
        <v>676</v>
      </c>
    </row>
    <row r="250" spans="1:7">
      <c r="A250" t="s">
        <v>5437</v>
      </c>
      <c r="B250" t="s">
        <v>1</v>
      </c>
      <c r="C250" t="s">
        <v>4202</v>
      </c>
      <c r="D250" t="s">
        <v>790</v>
      </c>
      <c r="E250" t="s">
        <v>104</v>
      </c>
      <c r="F250" t="s">
        <v>795</v>
      </c>
      <c r="G250" t="s">
        <v>796</v>
      </c>
    </row>
    <row r="251" spans="1:7">
      <c r="A251" t="s">
        <v>5438</v>
      </c>
      <c r="B251" t="s">
        <v>1</v>
      </c>
      <c r="C251" t="s">
        <v>4171</v>
      </c>
      <c r="D251" t="s">
        <v>756</v>
      </c>
      <c r="E251" t="s">
        <v>12</v>
      </c>
      <c r="F251" t="s">
        <v>757</v>
      </c>
      <c r="G251" t="s">
        <v>758</v>
      </c>
    </row>
    <row r="252" spans="1:7">
      <c r="A252" t="s">
        <v>5439</v>
      </c>
      <c r="B252" t="s">
        <v>1</v>
      </c>
      <c r="C252" t="s">
        <v>4167</v>
      </c>
      <c r="D252" t="s">
        <v>420</v>
      </c>
      <c r="E252" t="s">
        <v>4168</v>
      </c>
      <c r="F252" t="s">
        <v>497</v>
      </c>
      <c r="G252" t="s">
        <v>498</v>
      </c>
    </row>
    <row r="253" spans="1:7">
      <c r="A253" t="s">
        <v>5440</v>
      </c>
      <c r="B253" t="s">
        <v>1</v>
      </c>
      <c r="C253" t="s">
        <v>4172</v>
      </c>
      <c r="D253" t="s">
        <v>466</v>
      </c>
      <c r="E253" t="s">
        <v>258</v>
      </c>
      <c r="F253" t="s">
        <v>536</v>
      </c>
      <c r="G253" t="s">
        <v>644</v>
      </c>
    </row>
    <row r="254" spans="1:7">
      <c r="A254" t="s">
        <v>5441</v>
      </c>
      <c r="B254" t="s">
        <v>1</v>
      </c>
      <c r="C254" t="s">
        <v>4173</v>
      </c>
      <c r="D254" t="s">
        <v>434</v>
      </c>
      <c r="E254" t="s">
        <v>258</v>
      </c>
      <c r="F254" t="s">
        <v>536</v>
      </c>
      <c r="G254" t="s">
        <v>537</v>
      </c>
    </row>
    <row r="255" spans="1:7">
      <c r="A255" t="s">
        <v>5442</v>
      </c>
      <c r="B255" t="s">
        <v>1</v>
      </c>
      <c r="C255" t="s">
        <v>4174</v>
      </c>
      <c r="D255" t="s">
        <v>482</v>
      </c>
      <c r="E255" t="s">
        <v>29</v>
      </c>
      <c r="F255" t="s">
        <v>705</v>
      </c>
      <c r="G255" t="s">
        <v>706</v>
      </c>
    </row>
    <row r="256" spans="1:7">
      <c r="A256" t="s">
        <v>5443</v>
      </c>
      <c r="B256" t="s">
        <v>0</v>
      </c>
      <c r="C256" s="1" t="s">
        <v>172</v>
      </c>
      <c r="D256" s="1" t="s">
        <v>102</v>
      </c>
      <c r="E256" t="s">
        <v>34</v>
      </c>
      <c r="F256" t="s">
        <v>1062</v>
      </c>
      <c r="G256" t="s">
        <v>291</v>
      </c>
    </row>
    <row r="257" spans="1:7">
      <c r="A257" t="s">
        <v>5444</v>
      </c>
      <c r="B257" t="s">
        <v>0</v>
      </c>
      <c r="C257" s="1" t="s">
        <v>173</v>
      </c>
      <c r="D257" s="1" t="s">
        <v>102</v>
      </c>
      <c r="E257" t="s">
        <v>34</v>
      </c>
      <c r="F257" t="s">
        <v>1062</v>
      </c>
      <c r="G257" t="s">
        <v>292</v>
      </c>
    </row>
    <row r="258" spans="1:7">
      <c r="A258" t="s">
        <v>5445</v>
      </c>
      <c r="B258" t="s">
        <v>0</v>
      </c>
      <c r="C258" s="1" t="s">
        <v>3961</v>
      </c>
      <c r="D258">
        <v>1234</v>
      </c>
      <c r="E258" t="s">
        <v>12</v>
      </c>
      <c r="F258" t="s">
        <v>1108</v>
      </c>
      <c r="G258" t="s">
        <v>338</v>
      </c>
    </row>
    <row r="259" spans="1:7">
      <c r="A259" t="s">
        <v>5446</v>
      </c>
      <c r="B259" t="s">
        <v>0</v>
      </c>
      <c r="C259" s="1" t="s">
        <v>171</v>
      </c>
      <c r="D259" s="1" t="s">
        <v>101</v>
      </c>
      <c r="E259" t="s">
        <v>50</v>
      </c>
      <c r="F259" t="s">
        <v>1056</v>
      </c>
      <c r="G259" t="s">
        <v>269</v>
      </c>
    </row>
    <row r="260" spans="1:7">
      <c r="A260" t="s">
        <v>5447</v>
      </c>
      <c r="B260" t="s">
        <v>1</v>
      </c>
      <c r="C260" t="s">
        <v>238</v>
      </c>
      <c r="D260" t="s">
        <v>239</v>
      </c>
      <c r="E260" t="s">
        <v>12</v>
      </c>
      <c r="F260" t="s">
        <v>1197</v>
      </c>
      <c r="G260" t="s">
        <v>1198</v>
      </c>
    </row>
    <row r="261" spans="1:7">
      <c r="A261" t="s">
        <v>5448</v>
      </c>
      <c r="B261" t="s">
        <v>0</v>
      </c>
      <c r="C261" t="s">
        <v>193</v>
      </c>
      <c r="D261" t="s">
        <v>194</v>
      </c>
      <c r="E261" t="s">
        <v>195</v>
      </c>
      <c r="F261" t="s">
        <v>1071</v>
      </c>
      <c r="G261" t="s">
        <v>287</v>
      </c>
    </row>
    <row r="262" spans="1:7">
      <c r="A262" t="s">
        <v>5449</v>
      </c>
      <c r="B262" t="s">
        <v>0</v>
      </c>
      <c r="C262" t="s">
        <v>196</v>
      </c>
      <c r="D262" t="s">
        <v>197</v>
      </c>
      <c r="E262" t="s">
        <v>198</v>
      </c>
      <c r="F262" t="s">
        <v>1082</v>
      </c>
      <c r="G262" t="s">
        <v>304</v>
      </c>
    </row>
    <row r="263" spans="1:7">
      <c r="A263" t="s">
        <v>5450</v>
      </c>
      <c r="B263" t="s">
        <v>0</v>
      </c>
      <c r="C263" t="s">
        <v>200</v>
      </c>
      <c r="D263" t="s">
        <v>201</v>
      </c>
      <c r="E263" t="s">
        <v>198</v>
      </c>
      <c r="F263" t="s">
        <v>1080</v>
      </c>
      <c r="G263" t="s">
        <v>305</v>
      </c>
    </row>
    <row r="264" spans="1:7">
      <c r="A264" t="s">
        <v>5451</v>
      </c>
      <c r="B264" t="s">
        <v>0</v>
      </c>
      <c r="C264" t="s">
        <v>202</v>
      </c>
      <c r="D264" t="s">
        <v>197</v>
      </c>
      <c r="E264" t="s">
        <v>198</v>
      </c>
      <c r="F264" t="s">
        <v>1083</v>
      </c>
      <c r="G264" t="s">
        <v>306</v>
      </c>
    </row>
    <row r="265" spans="1:7">
      <c r="A265" t="s">
        <v>5452</v>
      </c>
      <c r="B265" t="s">
        <v>0</v>
      </c>
      <c r="C265" t="s">
        <v>203</v>
      </c>
      <c r="D265" t="s">
        <v>197</v>
      </c>
      <c r="E265" t="s">
        <v>198</v>
      </c>
      <c r="F265" t="s">
        <v>1084</v>
      </c>
      <c r="G265" t="s">
        <v>307</v>
      </c>
    </row>
    <row r="266" spans="1:7">
      <c r="A266" t="s">
        <v>5453</v>
      </c>
      <c r="B266" t="s">
        <v>0</v>
      </c>
      <c r="C266" t="s">
        <v>204</v>
      </c>
      <c r="D266" t="s">
        <v>201</v>
      </c>
      <c r="E266" t="s">
        <v>198</v>
      </c>
      <c r="F266" t="s">
        <v>1081</v>
      </c>
      <c r="G266" t="s">
        <v>303</v>
      </c>
    </row>
    <row r="267" spans="1:7">
      <c r="A267" t="s">
        <v>5454</v>
      </c>
      <c r="B267" t="s">
        <v>0</v>
      </c>
      <c r="C267" t="s">
        <v>205</v>
      </c>
      <c r="D267" t="s">
        <v>197</v>
      </c>
      <c r="E267" t="s">
        <v>198</v>
      </c>
      <c r="F267" t="s">
        <v>199</v>
      </c>
    </row>
    <row r="268" spans="1:7">
      <c r="A268" t="s">
        <v>5455</v>
      </c>
      <c r="B268" t="s">
        <v>0</v>
      </c>
      <c r="C268" t="s">
        <v>174</v>
      </c>
      <c r="D268" t="s">
        <v>102</v>
      </c>
      <c r="E268" t="s">
        <v>34</v>
      </c>
      <c r="F268" t="s">
        <v>1063</v>
      </c>
      <c r="G268" t="s">
        <v>278</v>
      </c>
    </row>
    <row r="269" spans="1:7">
      <c r="A269" t="s">
        <v>5456</v>
      </c>
      <c r="B269" t="s">
        <v>0</v>
      </c>
      <c r="C269" t="s">
        <v>206</v>
      </c>
      <c r="D269" t="s">
        <v>207</v>
      </c>
      <c r="E269" t="s">
        <v>208</v>
      </c>
      <c r="F269" t="s">
        <v>1125</v>
      </c>
      <c r="G269" t="s">
        <v>360</v>
      </c>
    </row>
    <row r="270" spans="1:7">
      <c r="A270" t="s">
        <v>5457</v>
      </c>
      <c r="B270" t="s">
        <v>1</v>
      </c>
      <c r="C270" t="s">
        <v>244</v>
      </c>
      <c r="D270" t="s">
        <v>245</v>
      </c>
      <c r="E270" t="s">
        <v>133</v>
      </c>
      <c r="F270" t="s">
        <v>1157</v>
      </c>
      <c r="G270" t="s">
        <v>1158</v>
      </c>
    </row>
    <row r="271" spans="1:7">
      <c r="A271" t="s">
        <v>5458</v>
      </c>
      <c r="B271" t="s">
        <v>1</v>
      </c>
      <c r="C271" t="s">
        <v>246</v>
      </c>
      <c r="D271" t="s">
        <v>247</v>
      </c>
      <c r="E271" t="s">
        <v>248</v>
      </c>
      <c r="F271" t="s">
        <v>1180</v>
      </c>
      <c r="G271" t="s">
        <v>1181</v>
      </c>
    </row>
    <row r="272" spans="1:7">
      <c r="A272" t="s">
        <v>5459</v>
      </c>
      <c r="B272" t="s">
        <v>1</v>
      </c>
      <c r="C272" t="s">
        <v>3982</v>
      </c>
      <c r="D272" t="s">
        <v>249</v>
      </c>
      <c r="E272" t="s">
        <v>35</v>
      </c>
      <c r="F272" t="s">
        <v>1149</v>
      </c>
      <c r="G272" t="s">
        <v>1150</v>
      </c>
    </row>
    <row r="273" spans="1:7">
      <c r="A273" t="s">
        <v>5460</v>
      </c>
      <c r="B273" t="s">
        <v>1</v>
      </c>
      <c r="C273" t="s">
        <v>250</v>
      </c>
      <c r="D273" t="s">
        <v>251</v>
      </c>
      <c r="E273" t="s">
        <v>252</v>
      </c>
      <c r="F273" t="s">
        <v>1171</v>
      </c>
      <c r="G273" t="s">
        <v>1172</v>
      </c>
    </row>
    <row r="274" spans="1:7">
      <c r="A274" t="s">
        <v>5461</v>
      </c>
      <c r="B274" t="s">
        <v>1</v>
      </c>
      <c r="C274" t="s">
        <v>254</v>
      </c>
      <c r="D274" t="s">
        <v>255</v>
      </c>
      <c r="E274" t="s">
        <v>13</v>
      </c>
      <c r="F274" t="s">
        <v>1166</v>
      </c>
      <c r="G274" t="s">
        <v>1167</v>
      </c>
    </row>
    <row r="275" spans="1:7">
      <c r="A275" t="s">
        <v>5462</v>
      </c>
      <c r="B275" t="s">
        <v>1</v>
      </c>
      <c r="C275" t="s">
        <v>256</v>
      </c>
      <c r="D275" t="s">
        <v>257</v>
      </c>
      <c r="E275" t="s">
        <v>258</v>
      </c>
      <c r="F275" t="s">
        <v>1142</v>
      </c>
      <c r="G275" t="s">
        <v>1143</v>
      </c>
    </row>
    <row r="276" spans="1:7">
      <c r="A276" t="s">
        <v>5463</v>
      </c>
      <c r="B276" t="s">
        <v>1</v>
      </c>
      <c r="C276" t="s">
        <v>259</v>
      </c>
      <c r="D276" t="s">
        <v>260</v>
      </c>
      <c r="E276" t="s">
        <v>261</v>
      </c>
      <c r="F276" t="s">
        <v>1184</v>
      </c>
      <c r="G276" t="s">
        <v>1185</v>
      </c>
    </row>
    <row r="277" spans="1:7">
      <c r="A277" t="s">
        <v>5464</v>
      </c>
      <c r="B277" t="s">
        <v>1</v>
      </c>
      <c r="C277" t="s">
        <v>242</v>
      </c>
      <c r="D277" t="s">
        <v>243</v>
      </c>
      <c r="E277" t="s">
        <v>121</v>
      </c>
      <c r="F277" t="s">
        <v>1164</v>
      </c>
      <c r="G277" t="s">
        <v>1165</v>
      </c>
    </row>
    <row r="278" spans="1:7">
      <c r="A278" t="s">
        <v>5465</v>
      </c>
      <c r="B278" t="s">
        <v>1</v>
      </c>
      <c r="C278" t="s">
        <v>240</v>
      </c>
      <c r="D278" t="s">
        <v>3</v>
      </c>
      <c r="E278" t="s">
        <v>121</v>
      </c>
      <c r="F278" t="s">
        <v>1159</v>
      </c>
      <c r="G278" t="s">
        <v>1160</v>
      </c>
    </row>
    <row r="279" spans="1:7">
      <c r="A279" t="s">
        <v>5466</v>
      </c>
      <c r="B279" t="s">
        <v>1</v>
      </c>
      <c r="C279" t="s">
        <v>4203</v>
      </c>
      <c r="D279" t="s">
        <v>461</v>
      </c>
      <c r="E279" t="s">
        <v>4204</v>
      </c>
      <c r="F279" t="s">
        <v>624</v>
      </c>
      <c r="G279" t="s">
        <v>625</v>
      </c>
    </row>
    <row r="280" spans="1:7">
      <c r="A280" t="s">
        <v>5467</v>
      </c>
      <c r="B280" t="s">
        <v>0</v>
      </c>
      <c r="C280" t="s">
        <v>175</v>
      </c>
      <c r="D280">
        <v>1254</v>
      </c>
      <c r="E280" t="s">
        <v>43</v>
      </c>
      <c r="F280" t="s">
        <v>1115</v>
      </c>
      <c r="G280" t="s">
        <v>347</v>
      </c>
    </row>
    <row r="281" spans="1:7">
      <c r="A281" t="s">
        <v>5468</v>
      </c>
      <c r="B281" t="s">
        <v>0</v>
      </c>
      <c r="C281" t="s">
        <v>333</v>
      </c>
      <c r="D281" t="s">
        <v>103</v>
      </c>
      <c r="E281" t="s">
        <v>104</v>
      </c>
      <c r="F281" t="s">
        <v>1104</v>
      </c>
      <c r="G281" t="s">
        <v>334</v>
      </c>
    </row>
    <row r="282" spans="1:7">
      <c r="A282" t="s">
        <v>5469</v>
      </c>
      <c r="B282" t="s">
        <v>0</v>
      </c>
      <c r="C282" t="s">
        <v>176</v>
      </c>
      <c r="D282" t="s">
        <v>105</v>
      </c>
      <c r="E282" t="s">
        <v>106</v>
      </c>
      <c r="F282" t="s">
        <v>1117</v>
      </c>
      <c r="G282" t="s">
        <v>349</v>
      </c>
    </row>
    <row r="283" spans="1:7">
      <c r="A283" t="s">
        <v>5470</v>
      </c>
      <c r="B283" t="s">
        <v>0</v>
      </c>
      <c r="C283" s="1" t="s">
        <v>341</v>
      </c>
      <c r="D283">
        <v>1241</v>
      </c>
      <c r="E283" t="s">
        <v>340</v>
      </c>
      <c r="F283" t="s">
        <v>1110</v>
      </c>
      <c r="G283" t="s">
        <v>342</v>
      </c>
    </row>
    <row r="284" spans="1:7">
      <c r="A284" t="s">
        <v>5471</v>
      </c>
      <c r="B284" t="s">
        <v>0</v>
      </c>
      <c r="C284" t="s">
        <v>177</v>
      </c>
      <c r="D284">
        <v>1238</v>
      </c>
      <c r="E284" t="s">
        <v>107</v>
      </c>
      <c r="F284" t="s">
        <v>1109</v>
      </c>
      <c r="G284" t="s">
        <v>339</v>
      </c>
    </row>
    <row r="285" spans="1:7">
      <c r="A285" t="s">
        <v>5472</v>
      </c>
      <c r="B285" t="s">
        <v>0</v>
      </c>
      <c r="C285" t="s">
        <v>178</v>
      </c>
      <c r="D285">
        <v>1294</v>
      </c>
      <c r="E285" t="s">
        <v>109</v>
      </c>
      <c r="F285" t="s">
        <v>1138</v>
      </c>
      <c r="G285" t="s">
        <v>377</v>
      </c>
    </row>
    <row r="286" spans="1:7">
      <c r="A286" t="s">
        <v>5473</v>
      </c>
      <c r="B286" t="s">
        <v>0</v>
      </c>
      <c r="C286" t="s">
        <v>179</v>
      </c>
      <c r="D286">
        <v>1260</v>
      </c>
      <c r="E286" t="s">
        <v>104</v>
      </c>
      <c r="F286" t="s">
        <v>1118</v>
      </c>
      <c r="G286" t="s">
        <v>352</v>
      </c>
    </row>
    <row r="287" spans="1:7">
      <c r="A287" t="s">
        <v>5474</v>
      </c>
      <c r="B287" t="s">
        <v>0</v>
      </c>
      <c r="C287" t="s">
        <v>3964</v>
      </c>
      <c r="D287" t="s">
        <v>110</v>
      </c>
      <c r="E287" t="s">
        <v>111</v>
      </c>
      <c r="F287" t="s">
        <v>1095</v>
      </c>
      <c r="G287" t="s">
        <v>323</v>
      </c>
    </row>
    <row r="288" spans="1:7">
      <c r="A288" t="s">
        <v>5475</v>
      </c>
      <c r="B288" t="s">
        <v>0</v>
      </c>
      <c r="C288" t="s">
        <v>3965</v>
      </c>
      <c r="D288" t="s">
        <v>311</v>
      </c>
      <c r="E288" t="s">
        <v>112</v>
      </c>
      <c r="F288" t="s">
        <v>1072</v>
      </c>
      <c r="G288" t="s">
        <v>290</v>
      </c>
    </row>
    <row r="289" spans="1:7">
      <c r="A289" t="s">
        <v>5476</v>
      </c>
      <c r="B289" t="s">
        <v>0</v>
      </c>
      <c r="C289" t="s">
        <v>3966</v>
      </c>
      <c r="D289" t="s">
        <v>309</v>
      </c>
      <c r="E289" t="s">
        <v>112</v>
      </c>
      <c r="F289" t="s">
        <v>1072</v>
      </c>
      <c r="G289" t="s">
        <v>310</v>
      </c>
    </row>
    <row r="290" spans="1:7">
      <c r="A290" t="s">
        <v>5477</v>
      </c>
      <c r="B290" t="s">
        <v>0</v>
      </c>
      <c r="C290" t="s">
        <v>180</v>
      </c>
      <c r="D290" t="s">
        <v>113</v>
      </c>
      <c r="E290" t="s">
        <v>114</v>
      </c>
      <c r="F290" t="s">
        <v>1128</v>
      </c>
      <c r="G290" t="s">
        <v>363</v>
      </c>
    </row>
    <row r="291" spans="1:7">
      <c r="A291" t="s">
        <v>5478</v>
      </c>
      <c r="B291" t="s">
        <v>0</v>
      </c>
      <c r="C291" t="s">
        <v>181</v>
      </c>
      <c r="D291">
        <v>1228</v>
      </c>
      <c r="E291" t="s">
        <v>116</v>
      </c>
      <c r="F291" t="s">
        <v>1106</v>
      </c>
      <c r="G291" s="1" t="s">
        <v>336</v>
      </c>
    </row>
    <row r="292" spans="1:7">
      <c r="A292" t="s">
        <v>5479</v>
      </c>
      <c r="B292" t="s">
        <v>0</v>
      </c>
      <c r="C292" t="s">
        <v>3967</v>
      </c>
      <c r="D292" t="s">
        <v>118</v>
      </c>
      <c r="E292" t="s">
        <v>50</v>
      </c>
      <c r="F292" t="s">
        <v>1121</v>
      </c>
      <c r="G292" t="s">
        <v>356</v>
      </c>
    </row>
    <row r="293" spans="1:7">
      <c r="A293" t="s">
        <v>5480</v>
      </c>
      <c r="B293" t="s">
        <v>0</v>
      </c>
      <c r="C293" t="s">
        <v>3963</v>
      </c>
      <c r="D293">
        <v>1288</v>
      </c>
      <c r="E293" t="s">
        <v>108</v>
      </c>
      <c r="F293" t="s">
        <v>1132</v>
      </c>
      <c r="G293" t="s">
        <v>369</v>
      </c>
    </row>
    <row r="294" spans="1:7">
      <c r="A294" t="s">
        <v>5481</v>
      </c>
      <c r="B294" t="s">
        <v>0</v>
      </c>
      <c r="C294" t="s">
        <v>209</v>
      </c>
      <c r="D294" t="s">
        <v>210</v>
      </c>
      <c r="E294" t="s">
        <v>35</v>
      </c>
      <c r="F294" t="s">
        <v>1074</v>
      </c>
      <c r="G294" s="1" t="s">
        <v>294</v>
      </c>
    </row>
    <row r="295" spans="1:7">
      <c r="A295" t="s">
        <v>5482</v>
      </c>
      <c r="B295" t="s">
        <v>1</v>
      </c>
      <c r="C295" t="s">
        <v>3983</v>
      </c>
      <c r="D295" t="s">
        <v>262</v>
      </c>
      <c r="E295" t="s">
        <v>12</v>
      </c>
      <c r="F295" t="s">
        <v>1189</v>
      </c>
      <c r="G295" t="s">
        <v>1190</v>
      </c>
    </row>
    <row r="296" spans="1:7">
      <c r="A296" t="s">
        <v>5483</v>
      </c>
      <c r="B296" t="s">
        <v>1</v>
      </c>
      <c r="C296" t="s">
        <v>263</v>
      </c>
      <c r="D296" t="s">
        <v>264</v>
      </c>
      <c r="E296" t="s">
        <v>12</v>
      </c>
      <c r="F296" t="s">
        <v>1193</v>
      </c>
      <c r="G296" t="s">
        <v>1194</v>
      </c>
    </row>
    <row r="297" spans="1:7">
      <c r="A297" t="s">
        <v>5484</v>
      </c>
      <c r="B297" t="s">
        <v>1</v>
      </c>
      <c r="C297" t="s">
        <v>265</v>
      </c>
      <c r="D297" t="s">
        <v>266</v>
      </c>
      <c r="E297" t="s">
        <v>267</v>
      </c>
      <c r="F297" t="s">
        <v>1195</v>
      </c>
      <c r="G297" t="s">
        <v>1196</v>
      </c>
    </row>
    <row r="298" spans="1:7">
      <c r="A298" t="s">
        <v>5485</v>
      </c>
      <c r="B298" t="s">
        <v>0</v>
      </c>
      <c r="C298" t="s">
        <v>3974</v>
      </c>
      <c r="D298">
        <v>1294</v>
      </c>
      <c r="E298" t="s">
        <v>91</v>
      </c>
      <c r="F298" t="s">
        <v>1139</v>
      </c>
      <c r="G298" t="s">
        <v>378</v>
      </c>
    </row>
    <row r="299" spans="1:7">
      <c r="A299" t="s">
        <v>5486</v>
      </c>
      <c r="B299" t="s">
        <v>0</v>
      </c>
      <c r="C299" t="s">
        <v>211</v>
      </c>
      <c r="D299">
        <v>1290</v>
      </c>
      <c r="E299" t="s">
        <v>212</v>
      </c>
      <c r="F299" t="s">
        <v>213</v>
      </c>
    </row>
    <row r="300" spans="1:7">
      <c r="A300" t="s">
        <v>5487</v>
      </c>
      <c r="B300" t="s">
        <v>0</v>
      </c>
      <c r="C300" t="s">
        <v>214</v>
      </c>
      <c r="D300">
        <v>1290</v>
      </c>
      <c r="E300" t="s">
        <v>212</v>
      </c>
      <c r="F300" t="s">
        <v>213</v>
      </c>
    </row>
    <row r="301" spans="1:7">
      <c r="A301" t="s">
        <v>5488</v>
      </c>
      <c r="B301" t="s">
        <v>0</v>
      </c>
      <c r="C301" t="s">
        <v>215</v>
      </c>
      <c r="D301">
        <v>1290</v>
      </c>
      <c r="E301" t="s">
        <v>212</v>
      </c>
      <c r="F301" t="s">
        <v>1135</v>
      </c>
      <c r="G301" t="s">
        <v>373</v>
      </c>
    </row>
    <row r="302" spans="1:7">
      <c r="A302" t="s">
        <v>5489</v>
      </c>
      <c r="B302" t="s">
        <v>0</v>
      </c>
      <c r="C302" t="s">
        <v>216</v>
      </c>
      <c r="D302">
        <v>1290</v>
      </c>
      <c r="E302" t="s">
        <v>212</v>
      </c>
      <c r="F302" t="s">
        <v>213</v>
      </c>
    </row>
    <row r="303" spans="1:7">
      <c r="A303" t="s">
        <v>5490</v>
      </c>
      <c r="B303" t="s">
        <v>4232</v>
      </c>
      <c r="C303" t="s">
        <v>4300</v>
      </c>
      <c r="D303" t="s">
        <v>937</v>
      </c>
      <c r="E303" t="s">
        <v>32</v>
      </c>
      <c r="F303" t="s">
        <v>938</v>
      </c>
      <c r="G303" t="s">
        <v>939</v>
      </c>
    </row>
    <row r="304" spans="1:7">
      <c r="A304" t="s">
        <v>5491</v>
      </c>
      <c r="B304" t="s">
        <v>4232</v>
      </c>
      <c r="C304" t="s">
        <v>4301</v>
      </c>
      <c r="D304" t="s">
        <v>937</v>
      </c>
      <c r="E304" t="s">
        <v>32</v>
      </c>
      <c r="F304" t="s">
        <v>940</v>
      </c>
      <c r="G304" t="s">
        <v>941</v>
      </c>
    </row>
    <row r="305" spans="1:7">
      <c r="A305" t="s">
        <v>5492</v>
      </c>
      <c r="B305" t="s">
        <v>4232</v>
      </c>
      <c r="C305" t="s">
        <v>4302</v>
      </c>
      <c r="D305" t="s">
        <v>937</v>
      </c>
      <c r="E305" t="s">
        <v>32</v>
      </c>
      <c r="F305" t="s">
        <v>942</v>
      </c>
      <c r="G305" t="s">
        <v>943</v>
      </c>
    </row>
    <row r="306" spans="1:7">
      <c r="A306" t="s">
        <v>5493</v>
      </c>
      <c r="B306" t="s">
        <v>4232</v>
      </c>
      <c r="C306" t="s">
        <v>4303</v>
      </c>
      <c r="D306" t="s">
        <v>1050</v>
      </c>
      <c r="E306" t="s">
        <v>12</v>
      </c>
      <c r="F306" t="s">
        <v>1051</v>
      </c>
      <c r="G306" t="s">
        <v>1052</v>
      </c>
    </row>
    <row r="307" spans="1:7">
      <c r="A307" t="s">
        <v>5494</v>
      </c>
      <c r="B307" t="s">
        <v>1</v>
      </c>
      <c r="C307" t="s">
        <v>3984</v>
      </c>
      <c r="D307" t="s">
        <v>1199</v>
      </c>
      <c r="E307" t="s">
        <v>121</v>
      </c>
      <c r="F307" t="s">
        <v>1200</v>
      </c>
      <c r="G307" t="s">
        <v>1201</v>
      </c>
    </row>
    <row r="308" spans="1:7">
      <c r="A308" t="s">
        <v>5495</v>
      </c>
      <c r="B308" t="s">
        <v>1</v>
      </c>
      <c r="C308" t="s">
        <v>3985</v>
      </c>
      <c r="D308" t="s">
        <v>1144</v>
      </c>
      <c r="E308" t="s">
        <v>12</v>
      </c>
      <c r="F308" t="s">
        <v>1145</v>
      </c>
      <c r="G308" t="s">
        <v>1146</v>
      </c>
    </row>
    <row r="309" spans="1:7">
      <c r="A309" t="s">
        <v>5496</v>
      </c>
      <c r="B309" t="s">
        <v>1</v>
      </c>
      <c r="C309" t="s">
        <v>3986</v>
      </c>
      <c r="D309" t="s">
        <v>1210</v>
      </c>
      <c r="E309" t="s">
        <v>12</v>
      </c>
      <c r="F309" t="s">
        <v>1211</v>
      </c>
      <c r="G309" t="s">
        <v>1212</v>
      </c>
    </row>
    <row r="310" spans="1:7">
      <c r="A310" t="s">
        <v>5497</v>
      </c>
      <c r="B310" t="s">
        <v>1</v>
      </c>
      <c r="C310" t="s">
        <v>3987</v>
      </c>
      <c r="D310" t="s">
        <v>1205</v>
      </c>
      <c r="E310" t="s">
        <v>12</v>
      </c>
      <c r="F310" t="s">
        <v>1206</v>
      </c>
      <c r="G310" t="s">
        <v>1207</v>
      </c>
    </row>
    <row r="311" spans="1:7">
      <c r="A311" t="s">
        <v>5498</v>
      </c>
      <c r="B311" t="s">
        <v>0</v>
      </c>
      <c r="C311" t="s">
        <v>3968</v>
      </c>
      <c r="D311" t="s">
        <v>122</v>
      </c>
      <c r="E311" t="s">
        <v>123</v>
      </c>
      <c r="F311" t="s">
        <v>1069</v>
      </c>
      <c r="G311" t="s">
        <v>285</v>
      </c>
    </row>
    <row r="312" spans="1:7">
      <c r="A312" t="s">
        <v>5499</v>
      </c>
      <c r="B312" t="s">
        <v>0</v>
      </c>
      <c r="C312" t="s">
        <v>185</v>
      </c>
      <c r="D312">
        <v>1199</v>
      </c>
      <c r="E312" t="s">
        <v>124</v>
      </c>
      <c r="F312" t="s">
        <v>1100</v>
      </c>
      <c r="G312" t="s">
        <v>328</v>
      </c>
    </row>
    <row r="313" spans="1:7">
      <c r="A313" t="s">
        <v>5500</v>
      </c>
      <c r="B313" t="s">
        <v>0</v>
      </c>
      <c r="C313" t="s">
        <v>3970</v>
      </c>
      <c r="D313" t="s">
        <v>125</v>
      </c>
      <c r="E313" t="s">
        <v>52</v>
      </c>
      <c r="F313" t="s">
        <v>1134</v>
      </c>
      <c r="G313" t="s">
        <v>372</v>
      </c>
    </row>
    <row r="314" spans="1:7">
      <c r="A314" t="s">
        <v>5501</v>
      </c>
      <c r="B314" t="s">
        <v>0</v>
      </c>
      <c r="C314" t="s">
        <v>186</v>
      </c>
      <c r="D314" t="s">
        <v>126</v>
      </c>
      <c r="E314" t="s">
        <v>12</v>
      </c>
      <c r="F314" t="s">
        <v>1091</v>
      </c>
      <c r="G314" t="s">
        <v>318</v>
      </c>
    </row>
    <row r="315" spans="1:7">
      <c r="A315" t="s">
        <v>5502</v>
      </c>
      <c r="B315" t="s">
        <v>1</v>
      </c>
      <c r="C315" t="s">
        <v>4205</v>
      </c>
      <c r="D315" t="s">
        <v>730</v>
      </c>
      <c r="E315" t="s">
        <v>3989</v>
      </c>
      <c r="F315" t="s">
        <v>731</v>
      </c>
      <c r="G315" t="s">
        <v>490</v>
      </c>
    </row>
    <row r="316" spans="1:7">
      <c r="A316" t="s">
        <v>5503</v>
      </c>
      <c r="B316" t="s">
        <v>1</v>
      </c>
      <c r="C316" t="s">
        <v>4225</v>
      </c>
      <c r="D316" t="s">
        <v>460</v>
      </c>
      <c r="E316" t="s">
        <v>27</v>
      </c>
      <c r="F316" t="s">
        <v>622</v>
      </c>
      <c r="G316" t="s">
        <v>623</v>
      </c>
    </row>
    <row r="317" spans="1:7">
      <c r="A317" t="s">
        <v>5504</v>
      </c>
      <c r="B317" t="s">
        <v>1</v>
      </c>
      <c r="C317" t="s">
        <v>4226</v>
      </c>
      <c r="D317" t="s">
        <v>483</v>
      </c>
      <c r="E317" t="s">
        <v>27</v>
      </c>
      <c r="F317" t="s">
        <v>720</v>
      </c>
      <c r="G317" t="s">
        <v>721</v>
      </c>
    </row>
    <row r="318" spans="1:7">
      <c r="A318" t="s">
        <v>5505</v>
      </c>
      <c r="B318" t="s">
        <v>1</v>
      </c>
      <c r="C318" t="s">
        <v>4206</v>
      </c>
      <c r="D318" t="s">
        <v>466</v>
      </c>
      <c r="E318" t="s">
        <v>4207</v>
      </c>
      <c r="F318" t="s">
        <v>645</v>
      </c>
      <c r="G318" t="s">
        <v>4211</v>
      </c>
    </row>
    <row r="319" spans="1:7">
      <c r="A319" t="s">
        <v>5506</v>
      </c>
      <c r="B319" t="s">
        <v>1</v>
      </c>
      <c r="C319" t="s">
        <v>4208</v>
      </c>
      <c r="D319" t="s">
        <v>395</v>
      </c>
      <c r="E319" t="s">
        <v>27</v>
      </c>
      <c r="F319" t="s">
        <v>716</v>
      </c>
      <c r="G319" t="s">
        <v>717</v>
      </c>
    </row>
    <row r="320" spans="1:7">
      <c r="A320" t="s">
        <v>5507</v>
      </c>
      <c r="B320" t="s">
        <v>1</v>
      </c>
      <c r="C320" t="s">
        <v>4209</v>
      </c>
      <c r="D320" t="s">
        <v>404</v>
      </c>
      <c r="E320" t="s">
        <v>27</v>
      </c>
      <c r="F320" t="s">
        <v>754</v>
      </c>
      <c r="G320" t="s">
        <v>755</v>
      </c>
    </row>
    <row r="321" spans="1:7">
      <c r="A321" t="s">
        <v>5508</v>
      </c>
      <c r="B321" t="s">
        <v>1</v>
      </c>
      <c r="C321" t="s">
        <v>4210</v>
      </c>
      <c r="D321" t="s">
        <v>456</v>
      </c>
      <c r="E321" t="s">
        <v>198</v>
      </c>
      <c r="F321" t="s">
        <v>604</v>
      </c>
      <c r="G321" t="s">
        <v>605</v>
      </c>
    </row>
    <row r="322" spans="1:7">
      <c r="A322" t="s">
        <v>5509</v>
      </c>
      <c r="B322" t="s">
        <v>1</v>
      </c>
      <c r="C322" t="s">
        <v>4212</v>
      </c>
      <c r="D322" t="s">
        <v>409</v>
      </c>
      <c r="E322" t="s">
        <v>248</v>
      </c>
      <c r="F322" t="s">
        <v>771</v>
      </c>
      <c r="G322" t="s">
        <v>772</v>
      </c>
    </row>
    <row r="323" spans="1:7">
      <c r="A323" t="s">
        <v>5510</v>
      </c>
      <c r="B323" t="s">
        <v>1</v>
      </c>
      <c r="C323" t="s">
        <v>4213</v>
      </c>
      <c r="D323" t="s">
        <v>429</v>
      </c>
      <c r="E323" t="s">
        <v>4214</v>
      </c>
      <c r="F323" t="s">
        <v>517</v>
      </c>
      <c r="G323" t="s">
        <v>518</v>
      </c>
    </row>
    <row r="324" spans="1:7">
      <c r="A324" t="s">
        <v>5511</v>
      </c>
      <c r="B324" t="s">
        <v>1</v>
      </c>
      <c r="C324" t="s">
        <v>4215</v>
      </c>
      <c r="D324" t="s">
        <v>666</v>
      </c>
      <c r="E324" t="s">
        <v>41</v>
      </c>
      <c r="F324" t="s">
        <v>667</v>
      </c>
      <c r="G324" t="s">
        <v>668</v>
      </c>
    </row>
    <row r="325" spans="1:7">
      <c r="A325" t="s">
        <v>5512</v>
      </c>
      <c r="B325" t="s">
        <v>1</v>
      </c>
      <c r="C325" t="s">
        <v>4216</v>
      </c>
      <c r="D325" t="s">
        <v>446</v>
      </c>
      <c r="E325" t="s">
        <v>41</v>
      </c>
      <c r="F325" t="s">
        <v>565</v>
      </c>
      <c r="G325" t="s">
        <v>566</v>
      </c>
    </row>
    <row r="326" spans="1:7">
      <c r="A326" t="s">
        <v>5513</v>
      </c>
      <c r="B326" t="s">
        <v>1</v>
      </c>
      <c r="C326" t="s">
        <v>4217</v>
      </c>
      <c r="D326" t="s">
        <v>435</v>
      </c>
      <c r="E326" t="s">
        <v>4218</v>
      </c>
      <c r="F326" t="s">
        <v>540</v>
      </c>
      <c r="G326" t="s">
        <v>541</v>
      </c>
    </row>
    <row r="327" spans="1:7">
      <c r="A327" t="s">
        <v>5514</v>
      </c>
      <c r="B327" t="s">
        <v>1</v>
      </c>
      <c r="C327" t="s">
        <v>4219</v>
      </c>
      <c r="D327" t="s">
        <v>445</v>
      </c>
      <c r="E327" t="s">
        <v>41</v>
      </c>
      <c r="F327" t="s">
        <v>563</v>
      </c>
      <c r="G327" t="s">
        <v>564</v>
      </c>
    </row>
    <row r="328" spans="1:7">
      <c r="A328" t="s">
        <v>5515</v>
      </c>
      <c r="B328" t="s">
        <v>1</v>
      </c>
      <c r="C328" t="s">
        <v>4220</v>
      </c>
      <c r="D328" t="s">
        <v>422</v>
      </c>
      <c r="E328" t="s">
        <v>4221</v>
      </c>
      <c r="F328" t="s">
        <v>503</v>
      </c>
      <c r="G328" t="s">
        <v>504</v>
      </c>
    </row>
    <row r="329" spans="1:7">
      <c r="A329" t="s">
        <v>5516</v>
      </c>
      <c r="B329" t="s">
        <v>1</v>
      </c>
      <c r="C329" t="s">
        <v>4222</v>
      </c>
      <c r="D329" t="s">
        <v>469</v>
      </c>
      <c r="E329" t="s">
        <v>12</v>
      </c>
      <c r="F329" t="s">
        <v>653</v>
      </c>
      <c r="G329" t="s">
        <v>654</v>
      </c>
    </row>
    <row r="330" spans="1:7">
      <c r="A330" t="s">
        <v>5517</v>
      </c>
      <c r="B330" t="s">
        <v>1</v>
      </c>
      <c r="C330" t="s">
        <v>4223</v>
      </c>
      <c r="D330" t="s">
        <v>456</v>
      </c>
      <c r="E330" t="s">
        <v>198</v>
      </c>
      <c r="F330" t="s">
        <v>606</v>
      </c>
      <c r="G330" t="s">
        <v>607</v>
      </c>
    </row>
    <row r="331" spans="1:7">
      <c r="A331" t="s">
        <v>5518</v>
      </c>
      <c r="B331" t="s">
        <v>1</v>
      </c>
      <c r="C331" t="s">
        <v>4224</v>
      </c>
      <c r="D331" t="s">
        <v>700</v>
      </c>
      <c r="E331" t="s">
        <v>4106</v>
      </c>
      <c r="F331" t="s">
        <v>701</v>
      </c>
      <c r="G331" t="s">
        <v>702</v>
      </c>
    </row>
    <row r="332" spans="1:7">
      <c r="A332" t="s">
        <v>5519</v>
      </c>
      <c r="B332" t="s">
        <v>1</v>
      </c>
      <c r="C332" t="s">
        <v>3988</v>
      </c>
      <c r="D332" t="s">
        <v>1175</v>
      </c>
      <c r="E332" t="s">
        <v>3989</v>
      </c>
      <c r="F332" t="s">
        <v>1176</v>
      </c>
      <c r="G332" t="s">
        <v>1177</v>
      </c>
    </row>
    <row r="333" spans="1:7">
      <c r="A333" t="s">
        <v>5520</v>
      </c>
      <c r="B333" t="s">
        <v>0</v>
      </c>
      <c r="C333" t="s">
        <v>3962</v>
      </c>
      <c r="D333" t="s">
        <v>127</v>
      </c>
      <c r="E333" t="s">
        <v>12</v>
      </c>
      <c r="F333" t="s">
        <v>1111</v>
      </c>
      <c r="G333" t="s">
        <v>343</v>
      </c>
    </row>
    <row r="334" spans="1:7">
      <c r="A334" t="s">
        <v>5521</v>
      </c>
      <c r="B334" t="s">
        <v>0</v>
      </c>
      <c r="C334" t="s">
        <v>187</v>
      </c>
      <c r="D334" t="s">
        <v>128</v>
      </c>
      <c r="E334" t="s">
        <v>129</v>
      </c>
      <c r="F334" t="s">
        <v>1114</v>
      </c>
      <c r="G334" t="s">
        <v>346</v>
      </c>
    </row>
    <row r="335" spans="1:7">
      <c r="A335" t="s">
        <v>5522</v>
      </c>
      <c r="B335" t="s">
        <v>1</v>
      </c>
      <c r="C335" t="s">
        <v>3992</v>
      </c>
      <c r="D335" t="s">
        <v>1154</v>
      </c>
      <c r="E335" t="s">
        <v>3993</v>
      </c>
      <c r="F335" t="s">
        <v>1155</v>
      </c>
      <c r="G335" t="s">
        <v>1156</v>
      </c>
    </row>
    <row r="336" spans="1:7">
      <c r="A336" t="s">
        <v>5523</v>
      </c>
      <c r="B336" t="s">
        <v>1</v>
      </c>
      <c r="C336" t="s">
        <v>3990</v>
      </c>
      <c r="D336" t="s">
        <v>1168</v>
      </c>
      <c r="E336" t="s">
        <v>12</v>
      </c>
      <c r="F336" t="s">
        <v>1169</v>
      </c>
      <c r="G336" t="s">
        <v>1170</v>
      </c>
    </row>
    <row r="337" spans="1:7">
      <c r="A337" t="s">
        <v>5524</v>
      </c>
      <c r="B337" t="s">
        <v>1</v>
      </c>
      <c r="C337" t="s">
        <v>3991</v>
      </c>
      <c r="D337" t="s">
        <v>1186</v>
      </c>
      <c r="E337" t="s">
        <v>112</v>
      </c>
      <c r="F337" t="s">
        <v>1187</v>
      </c>
      <c r="G337" t="s">
        <v>1188</v>
      </c>
    </row>
    <row r="338" spans="1:7">
      <c r="A338" t="s">
        <v>5525</v>
      </c>
      <c r="B338" t="s">
        <v>0</v>
      </c>
      <c r="C338" t="s">
        <v>217</v>
      </c>
      <c r="D338">
        <v>1244</v>
      </c>
      <c r="E338" t="s">
        <v>129</v>
      </c>
      <c r="F338" t="s">
        <v>1112</v>
      </c>
      <c r="G338" t="s">
        <v>344</v>
      </c>
    </row>
    <row r="339" spans="1:7">
      <c r="A339" t="s">
        <v>5526</v>
      </c>
      <c r="B339" t="s">
        <v>4232</v>
      </c>
      <c r="C339" t="s">
        <v>4304</v>
      </c>
      <c r="D339" t="s">
        <v>898</v>
      </c>
      <c r="E339" t="s">
        <v>4305</v>
      </c>
      <c r="F339" t="s">
        <v>899</v>
      </c>
      <c r="G339" t="s">
        <v>900</v>
      </c>
    </row>
    <row r="340" spans="1:7">
      <c r="A340" t="s">
        <v>5527</v>
      </c>
      <c r="B340" t="s">
        <v>4232</v>
      </c>
      <c r="C340" t="s">
        <v>4306</v>
      </c>
      <c r="D340" t="s">
        <v>901</v>
      </c>
      <c r="E340" t="s">
        <v>12</v>
      </c>
      <c r="F340" t="s">
        <v>902</v>
      </c>
      <c r="G340" t="s">
        <v>903</v>
      </c>
    </row>
    <row r="341" spans="1:7">
      <c r="A341" t="s">
        <v>5528</v>
      </c>
      <c r="B341" t="s">
        <v>4232</v>
      </c>
      <c r="C341" t="s">
        <v>4307</v>
      </c>
      <c r="D341" t="s">
        <v>907</v>
      </c>
      <c r="E341" t="s">
        <v>27</v>
      </c>
      <c r="F341" t="s">
        <v>908</v>
      </c>
      <c r="G341" t="s">
        <v>909</v>
      </c>
    </row>
    <row r="342" spans="1:7">
      <c r="A342" t="s">
        <v>5529</v>
      </c>
      <c r="B342" t="s">
        <v>4232</v>
      </c>
      <c r="C342" t="s">
        <v>4308</v>
      </c>
      <c r="D342" t="s">
        <v>870</v>
      </c>
      <c r="E342" t="s">
        <v>12</v>
      </c>
      <c r="F342" t="s">
        <v>871</v>
      </c>
      <c r="G342" t="s">
        <v>872</v>
      </c>
    </row>
    <row r="343" spans="1:7">
      <c r="A343" t="s">
        <v>5530</v>
      </c>
      <c r="B343" t="s">
        <v>4232</v>
      </c>
      <c r="C343" t="s">
        <v>4309</v>
      </c>
      <c r="D343" t="s">
        <v>460</v>
      </c>
      <c r="E343" t="s">
        <v>27</v>
      </c>
      <c r="F343" t="s">
        <v>944</v>
      </c>
      <c r="G343" t="s">
        <v>945</v>
      </c>
    </row>
    <row r="344" spans="1:7">
      <c r="A344" t="s">
        <v>5531</v>
      </c>
      <c r="B344" t="s">
        <v>4232</v>
      </c>
      <c r="C344" t="s">
        <v>4310</v>
      </c>
      <c r="D344" t="s">
        <v>993</v>
      </c>
      <c r="E344" t="s">
        <v>4311</v>
      </c>
      <c r="F344" t="s">
        <v>994</v>
      </c>
      <c r="G344" t="s">
        <v>995</v>
      </c>
    </row>
    <row r="345" spans="1:7">
      <c r="A345" t="s">
        <v>5532</v>
      </c>
      <c r="B345" t="s">
        <v>0</v>
      </c>
      <c r="C345" t="s">
        <v>218</v>
      </c>
      <c r="D345" t="s">
        <v>219</v>
      </c>
      <c r="E345" t="s">
        <v>220</v>
      </c>
      <c r="F345" t="s">
        <v>1068</v>
      </c>
      <c r="G345" t="s">
        <v>284</v>
      </c>
    </row>
    <row r="346" spans="1:7">
      <c r="A346" t="s">
        <v>5533</v>
      </c>
      <c r="B346" t="s">
        <v>0</v>
      </c>
      <c r="C346" t="s">
        <v>221</v>
      </c>
      <c r="D346" t="s">
        <v>222</v>
      </c>
      <c r="E346" t="s">
        <v>223</v>
      </c>
      <c r="F346" t="s">
        <v>1086</v>
      </c>
      <c r="G346" t="s">
        <v>313</v>
      </c>
    </row>
    <row r="347" spans="1:7">
      <c r="A347" t="s">
        <v>5534</v>
      </c>
      <c r="B347" t="s">
        <v>1</v>
      </c>
      <c r="C347" t="s">
        <v>4227</v>
      </c>
      <c r="D347" t="s">
        <v>778</v>
      </c>
      <c r="E347" t="s">
        <v>4228</v>
      </c>
      <c r="F347" t="s">
        <v>781</v>
      </c>
      <c r="G347" t="s">
        <v>782</v>
      </c>
    </row>
    <row r="348" spans="1:7">
      <c r="A348" t="s">
        <v>5535</v>
      </c>
      <c r="B348" t="s">
        <v>1</v>
      </c>
      <c r="C348" t="s">
        <v>4229</v>
      </c>
      <c r="D348" t="s">
        <v>431</v>
      </c>
      <c r="E348" t="s">
        <v>40</v>
      </c>
      <c r="F348" t="s">
        <v>521</v>
      </c>
      <c r="G348" t="s">
        <v>522</v>
      </c>
    </row>
    <row r="349" spans="1:7">
      <c r="A349" t="s">
        <v>5536</v>
      </c>
      <c r="B349" t="s">
        <v>0</v>
      </c>
      <c r="C349" t="s">
        <v>189</v>
      </c>
      <c r="D349" t="s">
        <v>130</v>
      </c>
      <c r="E349" t="s">
        <v>54</v>
      </c>
      <c r="F349" t="s">
        <v>1097</v>
      </c>
      <c r="G349" t="s">
        <v>324</v>
      </c>
    </row>
    <row r="350" spans="1:7">
      <c r="A350" t="s">
        <v>5537</v>
      </c>
      <c r="B350" t="s">
        <v>4232</v>
      </c>
      <c r="C350" t="s">
        <v>4333</v>
      </c>
      <c r="D350" t="s">
        <v>957</v>
      </c>
      <c r="E350" t="s">
        <v>4124</v>
      </c>
      <c r="F350" t="s">
        <v>958</v>
      </c>
      <c r="G350" t="s">
        <v>959</v>
      </c>
    </row>
    <row r="351" spans="1:7">
      <c r="A351" t="s">
        <v>5538</v>
      </c>
      <c r="B351" t="s">
        <v>4232</v>
      </c>
      <c r="C351" t="s">
        <v>4334</v>
      </c>
      <c r="D351" t="s">
        <v>889</v>
      </c>
      <c r="E351" t="s">
        <v>35</v>
      </c>
      <c r="F351" t="s">
        <v>890</v>
      </c>
      <c r="G351" t="s">
        <v>891</v>
      </c>
    </row>
    <row r="352" spans="1:7">
      <c r="A352" t="s">
        <v>5539</v>
      </c>
      <c r="B352" t="s">
        <v>4232</v>
      </c>
      <c r="C352" t="s">
        <v>4335</v>
      </c>
      <c r="D352" t="s">
        <v>948</v>
      </c>
      <c r="E352" t="s">
        <v>27</v>
      </c>
      <c r="F352" t="s">
        <v>949</v>
      </c>
      <c r="G352" t="s">
        <v>950</v>
      </c>
    </row>
    <row r="353" spans="1:7">
      <c r="A353" t="s">
        <v>5540</v>
      </c>
      <c r="B353" t="s">
        <v>4232</v>
      </c>
      <c r="C353" t="s">
        <v>4324</v>
      </c>
      <c r="D353" t="s">
        <v>459</v>
      </c>
      <c r="E353" t="s">
        <v>13</v>
      </c>
      <c r="F353" t="s">
        <v>910</v>
      </c>
      <c r="G353" t="s">
        <v>911</v>
      </c>
    </row>
    <row r="354" spans="1:7">
      <c r="A354" t="s">
        <v>5541</v>
      </c>
      <c r="B354" t="s">
        <v>4232</v>
      </c>
      <c r="C354" t="s">
        <v>4325</v>
      </c>
      <c r="D354" t="s">
        <v>918</v>
      </c>
      <c r="E354" t="s">
        <v>4313</v>
      </c>
      <c r="F354" t="s">
        <v>925</v>
      </c>
      <c r="G354" t="s">
        <v>926</v>
      </c>
    </row>
    <row r="355" spans="1:7">
      <c r="A355" t="s">
        <v>5542</v>
      </c>
      <c r="B355" t="s">
        <v>4232</v>
      </c>
      <c r="C355" t="s">
        <v>4326</v>
      </c>
      <c r="D355" t="s">
        <v>844</v>
      </c>
      <c r="E355" t="s">
        <v>4314</v>
      </c>
      <c r="F355" t="s">
        <v>845</v>
      </c>
      <c r="G355" t="s">
        <v>846</v>
      </c>
    </row>
    <row r="356" spans="1:7">
      <c r="A356" t="s">
        <v>5543</v>
      </c>
      <c r="B356" t="s">
        <v>4232</v>
      </c>
      <c r="C356" t="s">
        <v>4312</v>
      </c>
      <c r="D356" t="s">
        <v>918</v>
      </c>
      <c r="E356" t="s">
        <v>32</v>
      </c>
      <c r="F356" t="s">
        <v>919</v>
      </c>
      <c r="G356" t="s">
        <v>920</v>
      </c>
    </row>
    <row r="357" spans="1:7">
      <c r="A357" t="s">
        <v>5544</v>
      </c>
      <c r="B357" t="s">
        <v>4232</v>
      </c>
      <c r="C357" t="s">
        <v>4316</v>
      </c>
      <c r="D357" t="s">
        <v>932</v>
      </c>
      <c r="E357" t="s">
        <v>32</v>
      </c>
      <c r="F357" t="s">
        <v>933</v>
      </c>
      <c r="G357" t="s">
        <v>934</v>
      </c>
    </row>
    <row r="358" spans="1:7">
      <c r="A358" t="s">
        <v>5545</v>
      </c>
      <c r="B358" t="s">
        <v>4232</v>
      </c>
      <c r="C358" t="s">
        <v>4317</v>
      </c>
      <c r="D358" t="s">
        <v>918</v>
      </c>
      <c r="E358" t="s">
        <v>32</v>
      </c>
      <c r="F358" t="s">
        <v>921</v>
      </c>
      <c r="G358" t="s">
        <v>922</v>
      </c>
    </row>
    <row r="359" spans="1:7">
      <c r="A359" t="s">
        <v>5546</v>
      </c>
      <c r="B359" t="s">
        <v>4232</v>
      </c>
      <c r="C359" t="s">
        <v>4318</v>
      </c>
      <c r="D359" t="s">
        <v>932</v>
      </c>
      <c r="E359" t="s">
        <v>32</v>
      </c>
      <c r="F359" t="s">
        <v>935</v>
      </c>
      <c r="G359" t="s">
        <v>936</v>
      </c>
    </row>
    <row r="360" spans="1:7">
      <c r="A360" t="s">
        <v>5547</v>
      </c>
      <c r="B360" t="s">
        <v>4232</v>
      </c>
      <c r="C360" t="s">
        <v>4323</v>
      </c>
      <c r="D360" t="s">
        <v>1002</v>
      </c>
      <c r="E360" t="s">
        <v>13</v>
      </c>
      <c r="F360" t="s">
        <v>1003</v>
      </c>
      <c r="G360" t="s">
        <v>1004</v>
      </c>
    </row>
    <row r="361" spans="1:7">
      <c r="A361" t="s">
        <v>5548</v>
      </c>
      <c r="B361" t="s">
        <v>4232</v>
      </c>
      <c r="C361" t="s">
        <v>4319</v>
      </c>
      <c r="D361" t="s">
        <v>954</v>
      </c>
      <c r="E361" t="s">
        <v>32</v>
      </c>
      <c r="F361" t="s">
        <v>955</v>
      </c>
      <c r="G361" t="s">
        <v>956</v>
      </c>
    </row>
    <row r="362" spans="1:7">
      <c r="A362" t="s">
        <v>5549</v>
      </c>
      <c r="B362" t="s">
        <v>4232</v>
      </c>
      <c r="C362" t="s">
        <v>4320</v>
      </c>
      <c r="D362" t="s">
        <v>918</v>
      </c>
      <c r="E362" t="s">
        <v>32</v>
      </c>
      <c r="F362" t="s">
        <v>923</v>
      </c>
      <c r="G362" t="s">
        <v>924</v>
      </c>
    </row>
    <row r="363" spans="1:7">
      <c r="A363" t="s">
        <v>5550</v>
      </c>
      <c r="B363" t="s">
        <v>4232</v>
      </c>
      <c r="C363" t="s">
        <v>4321</v>
      </c>
      <c r="D363" t="s">
        <v>951</v>
      </c>
      <c r="E363" t="s">
        <v>32</v>
      </c>
      <c r="F363" t="s">
        <v>952</v>
      </c>
      <c r="G363" t="s">
        <v>953</v>
      </c>
    </row>
    <row r="364" spans="1:7">
      <c r="A364" t="s">
        <v>5551</v>
      </c>
      <c r="B364" t="s">
        <v>4232</v>
      </c>
      <c r="C364" t="s">
        <v>4322</v>
      </c>
      <c r="D364" t="s">
        <v>951</v>
      </c>
      <c r="E364" t="s">
        <v>32</v>
      </c>
      <c r="F364" t="s">
        <v>952</v>
      </c>
      <c r="G364" t="s">
        <v>953</v>
      </c>
    </row>
    <row r="365" spans="1:7">
      <c r="A365" t="s">
        <v>5552</v>
      </c>
      <c r="B365" t="s">
        <v>4232</v>
      </c>
      <c r="C365" t="s">
        <v>4330</v>
      </c>
      <c r="D365" t="s">
        <v>963</v>
      </c>
      <c r="E365" t="s">
        <v>12</v>
      </c>
      <c r="F365" t="s">
        <v>964</v>
      </c>
      <c r="G365" t="s">
        <v>965</v>
      </c>
    </row>
    <row r="366" spans="1:7">
      <c r="A366" t="s">
        <v>5553</v>
      </c>
      <c r="B366" t="s">
        <v>4232</v>
      </c>
      <c r="C366" t="s">
        <v>4331</v>
      </c>
      <c r="D366" t="s">
        <v>824</v>
      </c>
      <c r="E366" t="s">
        <v>40</v>
      </c>
      <c r="F366" t="s">
        <v>825</v>
      </c>
      <c r="G366" t="s">
        <v>826</v>
      </c>
    </row>
    <row r="367" spans="1:7">
      <c r="A367" t="s">
        <v>5554</v>
      </c>
      <c r="B367" t="s">
        <v>4232</v>
      </c>
      <c r="C367" t="s">
        <v>4332</v>
      </c>
      <c r="D367" t="s">
        <v>904</v>
      </c>
      <c r="E367" t="s">
        <v>13</v>
      </c>
      <c r="F367" t="s">
        <v>905</v>
      </c>
      <c r="G367" t="s">
        <v>906</v>
      </c>
    </row>
    <row r="368" spans="1:7">
      <c r="A368" t="s">
        <v>5555</v>
      </c>
      <c r="B368" t="s">
        <v>4232</v>
      </c>
      <c r="C368" t="s">
        <v>4327</v>
      </c>
      <c r="D368" t="s">
        <v>981</v>
      </c>
      <c r="E368" t="s">
        <v>22</v>
      </c>
      <c r="F368" t="s">
        <v>982</v>
      </c>
      <c r="G368" t="s">
        <v>983</v>
      </c>
    </row>
    <row r="369" spans="1:7">
      <c r="A369" t="s">
        <v>5556</v>
      </c>
      <c r="B369" t="s">
        <v>4232</v>
      </c>
      <c r="C369" t="s">
        <v>4328</v>
      </c>
      <c r="D369" t="s">
        <v>918</v>
      </c>
      <c r="E369" t="s">
        <v>104</v>
      </c>
      <c r="F369" t="s">
        <v>927</v>
      </c>
      <c r="G369" t="s">
        <v>928</v>
      </c>
    </row>
    <row r="370" spans="1:7">
      <c r="A370" t="s">
        <v>5557</v>
      </c>
      <c r="B370" t="s">
        <v>4232</v>
      </c>
      <c r="C370" t="s">
        <v>4329</v>
      </c>
      <c r="D370" t="s">
        <v>883</v>
      </c>
      <c r="E370" t="s">
        <v>45</v>
      </c>
      <c r="F370" t="s">
        <v>884</v>
      </c>
      <c r="G370" t="s">
        <v>885</v>
      </c>
    </row>
    <row r="371" spans="1:7">
      <c r="A371" t="s">
        <v>5558</v>
      </c>
      <c r="B371" t="s">
        <v>4232</v>
      </c>
      <c r="C371" t="s">
        <v>4315</v>
      </c>
      <c r="D371" t="s">
        <v>460</v>
      </c>
      <c r="E371" t="s">
        <v>27</v>
      </c>
      <c r="F371" t="s">
        <v>946</v>
      </c>
      <c r="G371" t="s">
        <v>947</v>
      </c>
    </row>
    <row r="372" spans="1:7">
      <c r="A372" t="s">
        <v>5559</v>
      </c>
      <c r="B372" t="s">
        <v>1</v>
      </c>
      <c r="C372" t="s">
        <v>3994</v>
      </c>
      <c r="D372" t="s">
        <v>1151</v>
      </c>
      <c r="E372" t="s">
        <v>3995</v>
      </c>
      <c r="F372" t="s">
        <v>1152</v>
      </c>
      <c r="G372" t="s">
        <v>1153</v>
      </c>
    </row>
    <row r="373" spans="1:7">
      <c r="A373" t="s">
        <v>5560</v>
      </c>
      <c r="B373" t="s">
        <v>4232</v>
      </c>
      <c r="C373" t="s">
        <v>4233</v>
      </c>
      <c r="D373" t="s">
        <v>990</v>
      </c>
      <c r="E373" t="s">
        <v>27</v>
      </c>
      <c r="F373" t="s">
        <v>991</v>
      </c>
      <c r="G373" t="s">
        <v>992</v>
      </c>
    </row>
    <row r="374" spans="1:7">
      <c r="A374" t="s">
        <v>5561</v>
      </c>
      <c r="B374" t="s">
        <v>4232</v>
      </c>
      <c r="C374" t="s">
        <v>4234</v>
      </c>
      <c r="D374" t="s">
        <v>1026</v>
      </c>
      <c r="E374" t="s">
        <v>12</v>
      </c>
      <c r="F374" t="s">
        <v>1027</v>
      </c>
      <c r="G374" t="s">
        <v>1028</v>
      </c>
    </row>
    <row r="375" spans="1:7">
      <c r="A375" t="s">
        <v>5562</v>
      </c>
      <c r="B375" t="s">
        <v>4232</v>
      </c>
      <c r="C375" t="s">
        <v>4235</v>
      </c>
      <c r="D375" t="s">
        <v>1035</v>
      </c>
      <c r="E375" t="s">
        <v>4237</v>
      </c>
      <c r="F375" t="s">
        <v>1036</v>
      </c>
      <c r="G375" t="s">
        <v>1037</v>
      </c>
    </row>
    <row r="376" spans="1:7">
      <c r="A376" t="s">
        <v>5563</v>
      </c>
      <c r="B376" t="s">
        <v>4232</v>
      </c>
      <c r="C376" t="s">
        <v>4236</v>
      </c>
      <c r="D376" t="s">
        <v>987</v>
      </c>
      <c r="E376" t="s">
        <v>27</v>
      </c>
      <c r="F376" t="s">
        <v>988</v>
      </c>
      <c r="G376" t="s">
        <v>989</v>
      </c>
    </row>
    <row r="377" spans="1:7">
      <c r="A377" t="s">
        <v>5564</v>
      </c>
      <c r="B377" t="s">
        <v>4232</v>
      </c>
      <c r="C377" t="s">
        <v>4238</v>
      </c>
      <c r="D377" t="s">
        <v>1047</v>
      </c>
      <c r="E377" t="s">
        <v>104</v>
      </c>
      <c r="F377" t="s">
        <v>1048</v>
      </c>
      <c r="G377" t="s">
        <v>1049</v>
      </c>
    </row>
    <row r="378" spans="1:7">
      <c r="A378" t="s">
        <v>5565</v>
      </c>
      <c r="B378" t="s">
        <v>4232</v>
      </c>
      <c r="C378" t="s">
        <v>4239</v>
      </c>
      <c r="D378" t="s">
        <v>827</v>
      </c>
      <c r="E378" t="s">
        <v>258</v>
      </c>
      <c r="F378" t="s">
        <v>828</v>
      </c>
      <c r="G378" t="s">
        <v>829</v>
      </c>
    </row>
    <row r="379" spans="1:7">
      <c r="A379" t="s">
        <v>5566</v>
      </c>
      <c r="B379" t="s">
        <v>4232</v>
      </c>
      <c r="C379" t="s">
        <v>4241</v>
      </c>
      <c r="D379" t="s">
        <v>827</v>
      </c>
      <c r="E379" t="s">
        <v>258</v>
      </c>
      <c r="F379" t="s">
        <v>832</v>
      </c>
      <c r="G379" t="s">
        <v>833</v>
      </c>
    </row>
    <row r="380" spans="1:7">
      <c r="A380" t="s">
        <v>5567</v>
      </c>
      <c r="B380" t="s">
        <v>4232</v>
      </c>
      <c r="C380" t="s">
        <v>4240</v>
      </c>
      <c r="D380" t="s">
        <v>827</v>
      </c>
      <c r="E380" t="s">
        <v>258</v>
      </c>
      <c r="F380" t="s">
        <v>830</v>
      </c>
      <c r="G380" t="s">
        <v>831</v>
      </c>
    </row>
    <row r="381" spans="1:7">
      <c r="A381" t="s">
        <v>5568</v>
      </c>
      <c r="B381" t="s">
        <v>4232</v>
      </c>
      <c r="C381" t="s">
        <v>4242</v>
      </c>
      <c r="D381" t="s">
        <v>1020</v>
      </c>
      <c r="F381" t="s">
        <v>1021</v>
      </c>
      <c r="G381" t="s">
        <v>1022</v>
      </c>
    </row>
    <row r="382" spans="1:7">
      <c r="A382" t="s">
        <v>5569</v>
      </c>
      <c r="B382" t="s">
        <v>4232</v>
      </c>
      <c r="C382" t="s">
        <v>4243</v>
      </c>
      <c r="D382" t="s">
        <v>853</v>
      </c>
      <c r="E382" t="s">
        <v>13</v>
      </c>
      <c r="F382" t="s">
        <v>854</v>
      </c>
      <c r="G382" t="s">
        <v>855</v>
      </c>
    </row>
    <row r="383" spans="1:7">
      <c r="A383" t="s">
        <v>5570</v>
      </c>
      <c r="B383" t="s">
        <v>4232</v>
      </c>
      <c r="C383" t="s">
        <v>4244</v>
      </c>
      <c r="D383" t="s">
        <v>882</v>
      </c>
      <c r="E383" t="s">
        <v>13</v>
      </c>
      <c r="F383" t="s">
        <v>862</v>
      </c>
      <c r="G383" t="s">
        <v>863</v>
      </c>
    </row>
    <row r="384" spans="1:7">
      <c r="A384" t="s">
        <v>5571</v>
      </c>
      <c r="B384" t="s">
        <v>4232</v>
      </c>
      <c r="C384" t="s">
        <v>4245</v>
      </c>
      <c r="D384" t="s">
        <v>895</v>
      </c>
      <c r="E384" t="s">
        <v>34</v>
      </c>
      <c r="F384" t="s">
        <v>896</v>
      </c>
      <c r="G384" t="s">
        <v>897</v>
      </c>
    </row>
    <row r="385" spans="1:7">
      <c r="A385" t="s">
        <v>5572</v>
      </c>
      <c r="B385" t="s">
        <v>4232</v>
      </c>
      <c r="C385" t="s">
        <v>4246</v>
      </c>
      <c r="D385" t="s">
        <v>821</v>
      </c>
      <c r="E385" t="s">
        <v>50</v>
      </c>
      <c r="F385" t="s">
        <v>822</v>
      </c>
      <c r="G385" t="s">
        <v>823</v>
      </c>
    </row>
    <row r="386" spans="1:7">
      <c r="A386" t="s">
        <v>5573</v>
      </c>
      <c r="B386" t="s">
        <v>4232</v>
      </c>
      <c r="C386" t="s">
        <v>4247</v>
      </c>
      <c r="D386" t="s">
        <v>996</v>
      </c>
      <c r="E386" t="s">
        <v>12</v>
      </c>
      <c r="F386" t="s">
        <v>997</v>
      </c>
      <c r="G386" t="s">
        <v>998</v>
      </c>
    </row>
    <row r="387" spans="1:7">
      <c r="A387" t="s">
        <v>5574</v>
      </c>
      <c r="B387" t="s">
        <v>4232</v>
      </c>
      <c r="C387" t="s">
        <v>4248</v>
      </c>
      <c r="D387" t="s">
        <v>1014</v>
      </c>
      <c r="E387" t="s">
        <v>12</v>
      </c>
      <c r="F387" t="s">
        <v>1015</v>
      </c>
      <c r="G387" t="s">
        <v>1016</v>
      </c>
    </row>
    <row r="388" spans="1:7">
      <c r="A388" t="s">
        <v>5575</v>
      </c>
      <c r="B388" t="s">
        <v>4232</v>
      </c>
      <c r="C388" t="s">
        <v>4249</v>
      </c>
      <c r="D388" t="s">
        <v>1044</v>
      </c>
      <c r="E388" t="s">
        <v>22</v>
      </c>
      <c r="F388" t="s">
        <v>1045</v>
      </c>
      <c r="G388" t="s">
        <v>1046</v>
      </c>
    </row>
    <row r="389" spans="1:7">
      <c r="A389" t="s">
        <v>5576</v>
      </c>
      <c r="B389" t="s">
        <v>1</v>
      </c>
      <c r="C389" t="s">
        <v>3996</v>
      </c>
      <c r="D389" t="s">
        <v>1161</v>
      </c>
      <c r="E389" t="s">
        <v>3997</v>
      </c>
      <c r="F389" t="s">
        <v>1162</v>
      </c>
      <c r="G389" t="s">
        <v>1163</v>
      </c>
    </row>
    <row r="390" spans="1:7">
      <c r="A390" t="s">
        <v>5577</v>
      </c>
      <c r="B390" t="s">
        <v>0</v>
      </c>
      <c r="C390" t="s">
        <v>224</v>
      </c>
      <c r="D390">
        <v>1244</v>
      </c>
      <c r="E390" t="s">
        <v>22</v>
      </c>
      <c r="F390" t="s">
        <v>1113</v>
      </c>
      <c r="G390" t="s">
        <v>345</v>
      </c>
    </row>
    <row r="391" spans="1:7">
      <c r="A391" t="s">
        <v>5578</v>
      </c>
      <c r="B391" t="s">
        <v>1</v>
      </c>
      <c r="C391" t="s">
        <v>4230</v>
      </c>
      <c r="D391" t="s">
        <v>415</v>
      </c>
      <c r="E391" t="s">
        <v>104</v>
      </c>
      <c r="F391" t="s">
        <v>804</v>
      </c>
      <c r="G391" t="s">
        <v>805</v>
      </c>
    </row>
  </sheetData>
  <sortState xmlns:xlrd2="http://schemas.microsoft.com/office/spreadsheetml/2017/richdata2" ref="B2:G391">
    <sortCondition ref="C25:C391"/>
  </sortState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099FE-1BF9-C84A-96A8-87E6C82B9A31}">
  <dimension ref="A1:J29"/>
  <sheetViews>
    <sheetView workbookViewId="0">
      <selection activeCell="H35" sqref="H35"/>
    </sheetView>
  </sheetViews>
  <sheetFormatPr baseColWidth="10" defaultRowHeight="16"/>
  <sheetData>
    <row r="1" spans="1:10" s="2" customFormat="1">
      <c r="B1" s="2" t="s">
        <v>2284</v>
      </c>
      <c r="C1" s="2" t="s">
        <v>5046</v>
      </c>
      <c r="D1" s="3" t="s">
        <v>7</v>
      </c>
      <c r="E1" s="3" t="s">
        <v>484</v>
      </c>
      <c r="F1" s="3" t="s">
        <v>9</v>
      </c>
      <c r="G1" s="3" t="s">
        <v>2475</v>
      </c>
      <c r="H1" s="3" t="s">
        <v>485</v>
      </c>
      <c r="I1" s="3" t="s">
        <v>2298</v>
      </c>
      <c r="J1" s="3" t="s">
        <v>1214</v>
      </c>
    </row>
    <row r="2" spans="1:10">
      <c r="A2" t="s">
        <v>5581</v>
      </c>
      <c r="B2" t="s">
        <v>5051</v>
      </c>
      <c r="C2" t="s">
        <v>5052</v>
      </c>
      <c r="D2" t="s">
        <v>5053</v>
      </c>
      <c r="E2" t="s">
        <v>5071</v>
      </c>
      <c r="F2" t="s">
        <v>5072</v>
      </c>
      <c r="G2" t="s">
        <v>5120</v>
      </c>
      <c r="H2" t="s">
        <v>5146</v>
      </c>
      <c r="I2" s="5" t="s">
        <v>2290</v>
      </c>
    </row>
    <row r="3" spans="1:10">
      <c r="A3" t="s">
        <v>5582</v>
      </c>
      <c r="B3" t="s">
        <v>5051</v>
      </c>
      <c r="C3" t="s">
        <v>5052</v>
      </c>
      <c r="D3" t="s">
        <v>5069</v>
      </c>
      <c r="E3">
        <v>1286</v>
      </c>
      <c r="F3" t="s">
        <v>5070</v>
      </c>
      <c r="G3" t="s">
        <v>5121</v>
      </c>
      <c r="H3" t="s">
        <v>5147</v>
      </c>
      <c r="I3" s="5" t="s">
        <v>2289</v>
      </c>
    </row>
    <row r="4" spans="1:10">
      <c r="A4" t="s">
        <v>5583</v>
      </c>
      <c r="B4" t="s">
        <v>5051</v>
      </c>
      <c r="C4" t="s">
        <v>5052</v>
      </c>
      <c r="D4" t="s">
        <v>5075</v>
      </c>
      <c r="E4" t="s">
        <v>5076</v>
      </c>
      <c r="F4" t="s">
        <v>5077</v>
      </c>
      <c r="G4" t="s">
        <v>5122</v>
      </c>
      <c r="H4" t="s">
        <v>5148</v>
      </c>
      <c r="I4" s="5" t="s">
        <v>2292</v>
      </c>
    </row>
    <row r="5" spans="1:10">
      <c r="A5" t="s">
        <v>5584</v>
      </c>
      <c r="B5" t="s">
        <v>5051</v>
      </c>
      <c r="C5" t="s">
        <v>5052</v>
      </c>
      <c r="D5" t="s">
        <v>5067</v>
      </c>
      <c r="E5" t="s">
        <v>5066</v>
      </c>
      <c r="F5" t="s">
        <v>104</v>
      </c>
      <c r="G5" t="s">
        <v>5123</v>
      </c>
      <c r="H5" t="s">
        <v>5149</v>
      </c>
      <c r="I5" s="5" t="s">
        <v>2287</v>
      </c>
    </row>
    <row r="6" spans="1:10">
      <c r="A6" t="s">
        <v>5585</v>
      </c>
      <c r="B6" t="s">
        <v>5051</v>
      </c>
      <c r="C6" t="s">
        <v>5052</v>
      </c>
      <c r="D6" t="s">
        <v>5068</v>
      </c>
      <c r="E6">
        <v>1282</v>
      </c>
      <c r="G6" t="s">
        <v>5124</v>
      </c>
      <c r="H6" t="s">
        <v>5150</v>
      </c>
      <c r="I6" s="5" t="s">
        <v>2288</v>
      </c>
    </row>
    <row r="7" spans="1:10">
      <c r="A7" t="s">
        <v>5586</v>
      </c>
      <c r="B7" t="s">
        <v>5051</v>
      </c>
      <c r="C7" t="s">
        <v>5052</v>
      </c>
      <c r="D7" t="s">
        <v>5086</v>
      </c>
      <c r="E7" t="s">
        <v>5087</v>
      </c>
      <c r="F7" t="s">
        <v>4684</v>
      </c>
      <c r="G7" t="s">
        <v>5125</v>
      </c>
      <c r="H7" t="s">
        <v>5151</v>
      </c>
      <c r="I7" s="5" t="s">
        <v>2295</v>
      </c>
    </row>
    <row r="8" spans="1:10">
      <c r="A8" t="s">
        <v>5587</v>
      </c>
      <c r="B8" t="s">
        <v>5051</v>
      </c>
      <c r="C8" t="s">
        <v>5052</v>
      </c>
      <c r="D8" t="s">
        <v>5060</v>
      </c>
      <c r="E8" t="s">
        <v>5088</v>
      </c>
      <c r="F8" t="s">
        <v>5089</v>
      </c>
      <c r="G8" t="s">
        <v>5126</v>
      </c>
      <c r="H8" t="s">
        <v>3673</v>
      </c>
      <c r="I8" s="5" t="s">
        <v>2296</v>
      </c>
    </row>
    <row r="9" spans="1:10">
      <c r="A9" t="s">
        <v>5588</v>
      </c>
      <c r="B9" t="s">
        <v>2285</v>
      </c>
      <c r="C9" t="s">
        <v>5047</v>
      </c>
      <c r="D9" t="s">
        <v>2283</v>
      </c>
      <c r="E9" t="s">
        <v>5091</v>
      </c>
      <c r="F9" t="s">
        <v>27</v>
      </c>
      <c r="G9" t="s">
        <v>5127</v>
      </c>
      <c r="H9" t="s">
        <v>3171</v>
      </c>
      <c r="I9" s="5" t="s">
        <v>2282</v>
      </c>
      <c r="J9" s="5" t="s">
        <v>5044</v>
      </c>
    </row>
    <row r="10" spans="1:10">
      <c r="A10" t="s">
        <v>5589</v>
      </c>
      <c r="B10" t="s">
        <v>2285</v>
      </c>
      <c r="C10" t="s">
        <v>5047</v>
      </c>
      <c r="D10" t="s">
        <v>2281</v>
      </c>
      <c r="E10" t="s">
        <v>5090</v>
      </c>
      <c r="F10" t="s">
        <v>5092</v>
      </c>
      <c r="G10" t="s">
        <v>5128</v>
      </c>
      <c r="I10" s="5" t="s">
        <v>2280</v>
      </c>
      <c r="J10" s="5" t="s">
        <v>5043</v>
      </c>
    </row>
    <row r="11" spans="1:10">
      <c r="A11" t="s">
        <v>5590</v>
      </c>
      <c r="B11" t="s">
        <v>2285</v>
      </c>
      <c r="C11" t="s">
        <v>5047</v>
      </c>
      <c r="D11" t="s">
        <v>2275</v>
      </c>
      <c r="E11" t="s">
        <v>5093</v>
      </c>
      <c r="F11" t="s">
        <v>5094</v>
      </c>
      <c r="G11" t="s">
        <v>5129</v>
      </c>
      <c r="H11" t="s">
        <v>3374</v>
      </c>
      <c r="I11" s="5" t="s">
        <v>2274</v>
      </c>
      <c r="J11" s="5" t="s">
        <v>5040</v>
      </c>
    </row>
    <row r="12" spans="1:10">
      <c r="A12" t="s">
        <v>5591</v>
      </c>
      <c r="B12" t="s">
        <v>2285</v>
      </c>
      <c r="C12" t="s">
        <v>5047</v>
      </c>
      <c r="D12" t="s">
        <v>2277</v>
      </c>
      <c r="E12" t="s">
        <v>5095</v>
      </c>
      <c r="F12" t="s">
        <v>5096</v>
      </c>
      <c r="G12" t="s">
        <v>5130</v>
      </c>
      <c r="H12" t="s">
        <v>3312</v>
      </c>
      <c r="I12" s="5" t="s">
        <v>2276</v>
      </c>
      <c r="J12" s="5" t="s">
        <v>5041</v>
      </c>
    </row>
    <row r="13" spans="1:10">
      <c r="A13" t="s">
        <v>5592</v>
      </c>
      <c r="B13" t="s">
        <v>2285</v>
      </c>
      <c r="C13" t="s">
        <v>5047</v>
      </c>
      <c r="D13" t="s">
        <v>2272</v>
      </c>
      <c r="E13" t="s">
        <v>5097</v>
      </c>
      <c r="F13" t="s">
        <v>5098</v>
      </c>
      <c r="G13" t="s">
        <v>5131</v>
      </c>
      <c r="H13" t="s">
        <v>3418</v>
      </c>
      <c r="I13" s="5" t="s">
        <v>2271</v>
      </c>
      <c r="J13" s="5" t="s">
        <v>5038</v>
      </c>
    </row>
    <row r="14" spans="1:10">
      <c r="A14" t="s">
        <v>5593</v>
      </c>
      <c r="B14" s="10" t="s">
        <v>5064</v>
      </c>
      <c r="C14" t="s">
        <v>5049</v>
      </c>
      <c r="D14" t="s">
        <v>5050</v>
      </c>
      <c r="E14">
        <v>1125</v>
      </c>
      <c r="F14" t="s">
        <v>5065</v>
      </c>
      <c r="G14" t="s">
        <v>5132</v>
      </c>
      <c r="H14" t="s">
        <v>3214</v>
      </c>
      <c r="I14" s="5" t="s">
        <v>2297</v>
      </c>
    </row>
    <row r="15" spans="1:10">
      <c r="A15" t="s">
        <v>5594</v>
      </c>
      <c r="B15" t="s">
        <v>5059</v>
      </c>
      <c r="C15" t="s">
        <v>5055</v>
      </c>
      <c r="D15" t="s">
        <v>5080</v>
      </c>
      <c r="E15" t="s">
        <v>5081</v>
      </c>
      <c r="F15" t="s">
        <v>5082</v>
      </c>
      <c r="G15" t="s">
        <v>5133</v>
      </c>
      <c r="H15" t="s">
        <v>5152</v>
      </c>
      <c r="I15" s="5" t="s">
        <v>2294</v>
      </c>
    </row>
    <row r="16" spans="1:10">
      <c r="A16" t="s">
        <v>5595</v>
      </c>
      <c r="B16" t="s">
        <v>5059</v>
      </c>
      <c r="C16" t="s">
        <v>5055</v>
      </c>
      <c r="D16" t="s">
        <v>5083</v>
      </c>
      <c r="E16" t="s">
        <v>5084</v>
      </c>
      <c r="F16" t="s">
        <v>5082</v>
      </c>
      <c r="G16" t="s">
        <v>5133</v>
      </c>
      <c r="H16" t="s">
        <v>5153</v>
      </c>
      <c r="I16" s="5" t="s">
        <v>2294</v>
      </c>
    </row>
    <row r="17" spans="1:10">
      <c r="A17" t="s">
        <v>5596</v>
      </c>
      <c r="B17" t="s">
        <v>5057</v>
      </c>
      <c r="C17" t="s">
        <v>5055</v>
      </c>
      <c r="D17" t="s">
        <v>5058</v>
      </c>
      <c r="E17" t="s">
        <v>5078</v>
      </c>
      <c r="F17" t="s">
        <v>5079</v>
      </c>
      <c r="G17" t="s">
        <v>5134</v>
      </c>
      <c r="H17" t="s">
        <v>5154</v>
      </c>
      <c r="I17" s="5" t="s">
        <v>2293</v>
      </c>
    </row>
    <row r="18" spans="1:10">
      <c r="A18" t="s">
        <v>5597</v>
      </c>
      <c r="B18" t="s">
        <v>5045</v>
      </c>
      <c r="C18" t="s">
        <v>5048</v>
      </c>
      <c r="D18" t="s">
        <v>5061</v>
      </c>
      <c r="E18" t="s">
        <v>5062</v>
      </c>
      <c r="F18" t="s">
        <v>5063</v>
      </c>
      <c r="G18" t="s">
        <v>5135</v>
      </c>
      <c r="H18" t="s">
        <v>5155</v>
      </c>
      <c r="I18" s="5" t="s">
        <v>2286</v>
      </c>
    </row>
    <row r="19" spans="1:10">
      <c r="A19" t="s">
        <v>5598</v>
      </c>
      <c r="B19" t="s">
        <v>2285</v>
      </c>
      <c r="C19" t="s">
        <v>5047</v>
      </c>
      <c r="D19" t="s">
        <v>2279</v>
      </c>
      <c r="E19" t="s">
        <v>5099</v>
      </c>
      <c r="F19" t="s">
        <v>12</v>
      </c>
      <c r="G19" t="s">
        <v>5136</v>
      </c>
      <c r="H19" t="s">
        <v>3537</v>
      </c>
      <c r="I19" s="5" t="s">
        <v>2278</v>
      </c>
      <c r="J19" s="5" t="s">
        <v>5042</v>
      </c>
    </row>
    <row r="20" spans="1:10">
      <c r="A20" t="s">
        <v>5599</v>
      </c>
      <c r="B20" t="s">
        <v>5054</v>
      </c>
      <c r="C20" t="s">
        <v>5055</v>
      </c>
      <c r="D20" t="s">
        <v>5056</v>
      </c>
      <c r="E20" t="s">
        <v>5073</v>
      </c>
      <c r="F20" t="s">
        <v>5074</v>
      </c>
      <c r="G20" t="s">
        <v>5137</v>
      </c>
      <c r="H20" t="s">
        <v>3166</v>
      </c>
      <c r="I20" s="5" t="s">
        <v>2291</v>
      </c>
    </row>
    <row r="21" spans="1:10">
      <c r="A21" t="s">
        <v>5600</v>
      </c>
      <c r="B21" t="s">
        <v>2285</v>
      </c>
      <c r="C21" t="s">
        <v>5047</v>
      </c>
      <c r="D21" t="s">
        <v>2267</v>
      </c>
      <c r="E21" t="s">
        <v>5100</v>
      </c>
      <c r="F21" t="s">
        <v>5101</v>
      </c>
      <c r="G21" t="s">
        <v>5138</v>
      </c>
      <c r="H21" t="s">
        <v>3420</v>
      </c>
      <c r="I21" s="5" t="s">
        <v>2266</v>
      </c>
      <c r="J21" s="5" t="s">
        <v>5035</v>
      </c>
    </row>
    <row r="22" spans="1:10">
      <c r="A22" t="s">
        <v>5601</v>
      </c>
      <c r="B22" t="s">
        <v>2285</v>
      </c>
      <c r="C22" t="s">
        <v>5047</v>
      </c>
      <c r="D22" t="s">
        <v>5102</v>
      </c>
      <c r="E22" t="s">
        <v>5103</v>
      </c>
      <c r="F22" t="s">
        <v>5104</v>
      </c>
      <c r="G22" t="s">
        <v>5139</v>
      </c>
      <c r="H22" t="s">
        <v>3574</v>
      </c>
      <c r="I22" s="5" t="s">
        <v>2264</v>
      </c>
      <c r="J22" s="5" t="s">
        <v>5033</v>
      </c>
    </row>
    <row r="23" spans="1:10">
      <c r="A23" t="s">
        <v>5602</v>
      </c>
      <c r="B23" t="s">
        <v>2285</v>
      </c>
      <c r="C23" t="s">
        <v>5047</v>
      </c>
      <c r="D23" t="s">
        <v>5105</v>
      </c>
      <c r="E23" t="s">
        <v>5106</v>
      </c>
      <c r="F23" t="s">
        <v>5107</v>
      </c>
      <c r="G23" t="s">
        <v>5140</v>
      </c>
      <c r="H23" t="s">
        <v>5156</v>
      </c>
      <c r="I23" s="5" t="s">
        <v>2263</v>
      </c>
      <c r="J23" t="s">
        <v>5032</v>
      </c>
    </row>
    <row r="24" spans="1:10">
      <c r="A24" t="s">
        <v>5603</v>
      </c>
      <c r="B24" t="s">
        <v>2285</v>
      </c>
      <c r="C24" t="s">
        <v>5047</v>
      </c>
      <c r="D24" t="s">
        <v>5109</v>
      </c>
      <c r="E24" t="s">
        <v>5085</v>
      </c>
      <c r="F24" t="s">
        <v>5108</v>
      </c>
      <c r="G24" t="s">
        <v>5141</v>
      </c>
      <c r="H24" t="s">
        <v>5157</v>
      </c>
      <c r="I24" s="5" t="s">
        <v>2273</v>
      </c>
      <c r="J24" s="5" t="s">
        <v>5039</v>
      </c>
    </row>
    <row r="25" spans="1:10">
      <c r="A25" t="s">
        <v>5604</v>
      </c>
      <c r="B25" t="s">
        <v>2285</v>
      </c>
      <c r="C25" t="s">
        <v>5047</v>
      </c>
      <c r="D25" t="s">
        <v>5110</v>
      </c>
      <c r="E25" t="s">
        <v>5111</v>
      </c>
      <c r="F25" t="s">
        <v>5112</v>
      </c>
      <c r="G25" t="s">
        <v>5142</v>
      </c>
      <c r="H25" t="s">
        <v>5158</v>
      </c>
      <c r="I25" s="5" t="s">
        <v>2270</v>
      </c>
      <c r="J25" s="5" t="s">
        <v>5037</v>
      </c>
    </row>
    <row r="26" spans="1:10">
      <c r="A26" t="s">
        <v>5605</v>
      </c>
      <c r="B26" t="s">
        <v>2285</v>
      </c>
      <c r="C26" t="s">
        <v>5047</v>
      </c>
      <c r="D26" t="s">
        <v>5115</v>
      </c>
      <c r="E26" t="s">
        <v>5113</v>
      </c>
      <c r="F26" t="s">
        <v>5114</v>
      </c>
      <c r="G26" t="s">
        <v>5143</v>
      </c>
      <c r="H26" t="s">
        <v>5159</v>
      </c>
      <c r="I26" s="5" t="s">
        <v>2262</v>
      </c>
      <c r="J26" t="s">
        <v>5031</v>
      </c>
    </row>
    <row r="27" spans="1:10">
      <c r="A27" t="s">
        <v>5606</v>
      </c>
      <c r="B27" t="s">
        <v>2285</v>
      </c>
      <c r="C27" t="s">
        <v>5047</v>
      </c>
      <c r="D27" t="s">
        <v>2269</v>
      </c>
      <c r="E27" t="s">
        <v>5117</v>
      </c>
      <c r="F27" t="s">
        <v>5116</v>
      </c>
      <c r="G27" t="s">
        <v>5144</v>
      </c>
      <c r="H27" t="s">
        <v>5160</v>
      </c>
      <c r="I27" s="5" t="s">
        <v>2268</v>
      </c>
      <c r="J27" s="5" t="s">
        <v>5036</v>
      </c>
    </row>
    <row r="28" spans="1:10">
      <c r="A28" t="s">
        <v>5607</v>
      </c>
      <c r="B28" t="s">
        <v>2285</v>
      </c>
      <c r="C28" t="s">
        <v>5047</v>
      </c>
      <c r="D28" t="s">
        <v>5119</v>
      </c>
      <c r="E28" t="s">
        <v>5118</v>
      </c>
      <c r="F28" t="s">
        <v>32</v>
      </c>
      <c r="G28" t="s">
        <v>5145</v>
      </c>
      <c r="H28" t="s">
        <v>5161</v>
      </c>
      <c r="I28" s="5" t="s">
        <v>2265</v>
      </c>
      <c r="J28" s="5" t="s">
        <v>5034</v>
      </c>
    </row>
    <row r="29" spans="1:10">
      <c r="I29" s="6"/>
    </row>
  </sheetData>
  <sortState xmlns:xlrd2="http://schemas.microsoft.com/office/spreadsheetml/2017/richdata2" ref="B2:J29">
    <sortCondition ref="D1:D29"/>
  </sortState>
  <hyperlinks>
    <hyperlink ref="I26" r:id="rId1" xr:uid="{1043C642-96C0-924C-A8DC-35ED7622B88A}"/>
    <hyperlink ref="I23" r:id="rId2" xr:uid="{522F3DBE-1FD8-8848-8673-7434966319E0}"/>
    <hyperlink ref="I22" r:id="rId3" xr:uid="{6F97A01C-3631-E541-9C3F-65A0C21D646F}"/>
    <hyperlink ref="I28" r:id="rId4" xr:uid="{9BB206BB-1DEA-C541-A0DA-FF3D980C9D4A}"/>
    <hyperlink ref="I21" r:id="rId5" xr:uid="{A23B2C4D-E6F5-254E-BB85-C807DF7EE677}"/>
    <hyperlink ref="I27" r:id="rId6" xr:uid="{5C55D0C8-8168-C848-B9E9-537F436AF5CB}"/>
    <hyperlink ref="I25" r:id="rId7" xr:uid="{2B6DAE0A-60A8-2547-98E0-B46BDA20D886}"/>
    <hyperlink ref="I13" r:id="rId8" xr:uid="{B72C7099-7F78-E54F-B4DC-4FDDD66FAA44}"/>
    <hyperlink ref="I24" r:id="rId9" xr:uid="{13E748C3-7C20-4441-B67A-7C3D69BB7F99}"/>
    <hyperlink ref="I11" r:id="rId10" xr:uid="{9B9873B9-364B-9B4B-9649-14A057EFEC78}"/>
    <hyperlink ref="I12" r:id="rId11" xr:uid="{D60E60D0-5B98-6142-8E4E-CC3680F26B01}"/>
    <hyperlink ref="I19" r:id="rId12" xr:uid="{FE2DCA81-268B-4542-BD7B-C860B27D608C}"/>
    <hyperlink ref="I10" r:id="rId13" xr:uid="{6054D493-D494-7C49-8DAF-4ECDDD007FA9}"/>
    <hyperlink ref="I9" r:id="rId14" xr:uid="{8952A85F-B374-534F-8334-763CBEDD7114}"/>
    <hyperlink ref="J22" r:id="rId15" xr:uid="{71ACAEC5-A614-5340-9E9D-CAAAE5A843F8}"/>
    <hyperlink ref="J28" r:id="rId16" xr:uid="{572B3CEF-9834-3541-B48F-F5729D18664A}"/>
    <hyperlink ref="J21" r:id="rId17" xr:uid="{97AB76EA-3CA6-9946-A6D9-194E7FD114FD}"/>
    <hyperlink ref="J27" r:id="rId18" xr:uid="{A762B813-0D9D-444C-ABCB-2AF83661CFCB}"/>
    <hyperlink ref="J25" r:id="rId19" xr:uid="{067E1101-B290-9D47-AE60-6932B5D51A2A}"/>
    <hyperlink ref="J13" r:id="rId20" xr:uid="{D4A204F8-3231-2D48-BCED-9CD2B9DF6E5F}"/>
    <hyperlink ref="J24" r:id="rId21" xr:uid="{F22C4E81-3B6E-D647-B90F-DEE4CFEE0C6E}"/>
    <hyperlink ref="J11" r:id="rId22" xr:uid="{321F88FC-E0B5-3440-ACA5-F49221B24707}"/>
    <hyperlink ref="J12" r:id="rId23" xr:uid="{AEC4311A-180A-4F4D-82E9-B5D283FA65A0}"/>
    <hyperlink ref="J19" r:id="rId24" xr:uid="{5D7D5A03-1632-E540-9DA9-81AC2A35E4BB}"/>
    <hyperlink ref="J10" r:id="rId25" xr:uid="{E9CE956B-1D9A-8741-A69F-76105B89C653}"/>
    <hyperlink ref="J9" r:id="rId26" xr:uid="{5F495815-11F5-0E4C-922C-6839FE3BDD01}"/>
    <hyperlink ref="I18" r:id="rId27" location="r4667" display="https://www.mmdc.nl/static/site/search/detail.html?searchMode=advanced&amp;recordId=4667&amp;selectedRecordId=4667&amp;maximumRecords=15&amp;recordDisplayLevel=1&amp;startRecord=16&amp;showMap=1&amp;freetextsearch=CMD-NL+1&amp;shelfmark=Type+in+query...+%28autocompleted%29&amp;author=Type+in+query...+%28autocompleted%29&amp;title=Type+in+query...+%28autocompleted%29&amp;startyear=Type+in+query&amp;endyear=Type+in+query&amp;alt-title=Type+in+query...+%28autocompleted%29&amp;incipit=Type+in+query&amp;annotation_contents=Type+in+query&amp;contains=null&amp;language=null&amp;language_original=null&amp;translator=Type+in+query...+%28autocompleted%29&amp;type=null&amp;keyword=Type+in+query&amp;person=Type+in+query...+%28autocompleted%29&amp;medium=null&amp;script=Type+in+query&amp;scribe=Type+in+query...+%28autocompleted%29&amp;binding=null&amp;binder=Type+in+query...+%28autocompleted%29&amp;region=null&amp;place=Type+in+query&amp;patron=Type+in+query...+%28autocompleted%29&amp;collection=Type+in+query...+%28autocompleted%29 - r4667" xr:uid="{4B83F992-FA85-574F-A303-D9A865C2A7DC}"/>
    <hyperlink ref="I20" r:id="rId28" display="https://www.mmdc.nl/static/site/search/?searchMode=advanced&amp;recordId=null&amp;selectedRecordId=null&amp;maximumRecords=15&amp;recordDisplayLevel=1&amp;startRecord=106&amp;showMap=1&amp;freetextsearch=CMD-NL+1&amp;shelfmark=Type+in+query...+%28autocompleted%29&amp;author=Type+in+query...+%28autocompleted%29&amp;title=Type+in+query...+%28autocompleted%29&amp;startyear=Type+in+query&amp;endyear=Type+in+query&amp;alt-title=Type+in+query...+%28autocompleted%29&amp;incipit=Type+in+query&amp;annotation_contents=Type+in+query&amp;contains=null&amp;language=null&amp;language_original=null&amp;translator=Type+in+query...+%28autocompleted%29&amp;type=null&amp;keyword=Type+in+query&amp;person=Type+in+query...+%28autocompleted%29&amp;medium=null&amp;script=Type+in+query&amp;scribe=Type+in+query...+%28autocompleted%29&amp;binding=null&amp;binder=Type+in+query...+%28autocompleted%29&amp;region=null&amp;place=Type+in+query&amp;patron=Type+in+query...+%28autocompleted%29&amp;collection=Type+in+query...+%28autocompleted%29" xr:uid="{873F928D-016E-F644-AF17-33C257BBD61F}"/>
    <hyperlink ref="I4" r:id="rId29" display="https://www.mmdc.nl/static/site/search/?searchMode=advanced&amp;recordId=null&amp;selectedRecordId=null&amp;maximumRecords=15&amp;recordDisplayLevel=1&amp;startRecord=166&amp;showMap=1&amp;freetextsearch=CMD-NL+1&amp;shelfmark=Type+in+query...+%28autocompleted%29&amp;author=Type+in+query...+%28autocompleted%29&amp;title=Type+in+query...+%28autocompleted%29&amp;startyear=Type+in+query&amp;endyear=Type+in+query&amp;alt-title=Type+in+query...+%28autocompleted%29&amp;incipit=Type+in+query&amp;annotation_contents=Type+in+query&amp;contains=null&amp;language=null&amp;language_original=null&amp;translator=Type+in+query...+%28autocompleted%29&amp;type=null&amp;keyword=Type+in+query&amp;person=Type+in+query...+%28autocompleted%29&amp;medium=null&amp;script=Type+in+query&amp;scribe=Type+in+query...+%28autocompleted%29&amp;binding=null&amp;binder=Type+in+query...+%28autocompleted%29&amp;region=null&amp;place=Type+in+query&amp;patron=Type+in+query...+%28autocompleted%29&amp;collection=Type+in+query...+%28autocompleted%29" xr:uid="{DADA87F3-4C1D-7B45-A295-0ABE55EAA517}"/>
    <hyperlink ref="I17" r:id="rId30" display="https://www.mmdc.nl/static/site/search/?searchMode=advanced&amp;recordId=null&amp;selectedRecordId=null&amp;maximumRecords=15&amp;recordDisplayLevel=1&amp;startRecord=181&amp;showMap=1&amp;freetextsearch=CMD-NL+1&amp;shelfmark=Type+in+query...+%28autocompleted%29&amp;author=Type+in+query...+%28autocompleted%29&amp;title=Type+in+query...+%28autocompleted%29&amp;startyear=Type+in+query&amp;endyear=Type+in+query&amp;alt-title=Type+in+query...+%28autocompleted%29&amp;incipit=Type+in+query&amp;annotation_contents=Type+in+query&amp;contains=null&amp;language=null&amp;language_original=null&amp;translator=Type+in+query...+%28autocompleted%29&amp;type=null&amp;keyword=Type+in+query&amp;person=Type+in+query...+%28autocompleted%29&amp;medium=null&amp;script=Type+in+query&amp;scribe=Type+in+query...+%28autocompleted%29&amp;binding=null&amp;binder=Type+in+query...+%28autocompleted%29&amp;region=null&amp;place=Type+in+query&amp;patron=Type+in+query...+%28autocompleted%29&amp;collection=Type+in+query...+%28autocompleted%29" xr:uid="{4B824D48-F6D0-7741-9DB8-56445F6035DA}"/>
    <hyperlink ref="I15" r:id="rId31" display="https://www.mmdc.nl/static/site/search/?searchMode=advanced&amp;recordId=null&amp;selectedRecordId=null&amp;maximumRecords=15&amp;recordDisplayLevel=1&amp;startRecord=241&amp;showMap=1&amp;freetextsearch=CMD-NL+1&amp;shelfmark=Type+in+query...+%28autocompleted%29&amp;author=Type+in+query...+%28autocompleted%29&amp;title=Type+in+query...+%28autocompleted%29&amp;startyear=Type+in+query&amp;endyear=Type+in+query&amp;alt-title=Type+in+query...+%28autocompleted%29&amp;incipit=Type+in+query&amp;annotation_contents=Type+in+query&amp;contains=null&amp;language=null&amp;language_original=null&amp;translator=Type+in+query...+%28autocompleted%29&amp;type=null&amp;keyword=Type+in+query&amp;person=Type+in+query...+%28autocompleted%29&amp;medium=null&amp;script=Type+in+query&amp;scribe=Type+in+query...+%28autocompleted%29&amp;binding=null&amp;binder=Type+in+query...+%28autocompleted%29&amp;region=null&amp;place=Type+in+query&amp;patron=Type+in+query...+%28autocompleted%29&amp;collection=Type+in+query...+%28autocompleted%29" xr:uid="{9085A40E-68C1-7047-9049-284C01FA30F2}"/>
    <hyperlink ref="I7" r:id="rId32" display="https://www.mmdc.nl/static/site/search/?searchMode=advanced&amp;recordId=null&amp;selectedRecordId=null&amp;maximumRecords=15&amp;recordDisplayLevel=1&amp;startRecord=241&amp;showMap=1&amp;freetextsearch=CMD-NL+1&amp;shelfmark=Type+in+query...+%28autocompleted%29&amp;author=Type+in+query...+%28autocompleted%29&amp;title=Type+in+query...+%28autocompleted%29&amp;startyear=Type+in+query&amp;endyear=Type+in+query&amp;alt-title=Type+in+query...+%28autocompleted%29&amp;incipit=Type+in+query&amp;annotation_contents=Type+in+query&amp;contains=null&amp;language=null&amp;language_original=null&amp;translator=Type+in+query...+%28autocompleted%29&amp;type=null&amp;keyword=Type+in+query&amp;person=Type+in+query...+%28autocompleted%29&amp;medium=null&amp;script=Type+in+query&amp;scribe=Type+in+query...+%28autocompleted%29&amp;binding=null&amp;binder=Type+in+query...+%28autocompleted%29&amp;region=null&amp;place=Type+in+query&amp;patron=Type+in+query...+%28autocompleted%29&amp;collection=Type+in+query...+%28autocompleted%29" xr:uid="{3944BC11-B391-874B-AE26-917ED8CF7387}"/>
    <hyperlink ref="I8" r:id="rId33" display="https://www.mmdc.nl/static/site/search/?searchMode=advanced&amp;recordId=null&amp;selectedRecordId=null&amp;maximumRecords=15&amp;recordDisplayLevel=1&amp;startRecord=241&amp;showMap=1&amp;freetextsearch=CMD-NL+1&amp;shelfmark=Type+in+query...+%28autocompleted%29&amp;author=Type+in+query...+%28autocompleted%29&amp;title=Type+in+query...+%28autocompleted%29&amp;startyear=Type+in+query&amp;endyear=Type+in+query&amp;alt-title=Type+in+query...+%28autocompleted%29&amp;incipit=Type+in+query&amp;annotation_contents=Type+in+query&amp;contains=null&amp;language=null&amp;language_original=null&amp;translator=Type+in+query...+%28autocompleted%29&amp;type=null&amp;keyword=Type+in+query&amp;person=Type+in+query...+%28autocompleted%29&amp;medium=null&amp;script=Type+in+query&amp;scribe=Type+in+query...+%28autocompleted%29&amp;binding=null&amp;binder=Type+in+query...+%28autocompleted%29&amp;region=null&amp;place=Type+in+query&amp;patron=Type+in+query...+%28autocompleted%29&amp;collection=Type+in+query...+%28autocompleted%29" xr:uid="{D892DA85-B235-3347-B959-AACB1676CF56}"/>
    <hyperlink ref="I14" r:id="rId34" display="https://www.mmdc.nl/static/site/search/?searchMode=advanced&amp;recordId=null&amp;selectedRecordId=null&amp;maximumRecords=15&amp;recordDisplayLevel=1&amp;startRecord=1&amp;showMap=1&amp;freetextsearch=s-Heerenberg%2C+HB+%3A+fr.+13&amp;shelfmark=Type+in+query...+%28autocompleted%29&amp;author=Type+in+query...+%28autocompleted%29&amp;title=Type+in+query...+%28autocompleted%29&amp;startyear=Type+in+query&amp;endyear=Type+in+query&amp;alt-title=Type+in+query...+%28autocompleted%29&amp;incipit=Type+in+query&amp;annotation_contents=Type+in+query&amp;contains=null&amp;language=null&amp;language_original=null&amp;translator=Type+in+query...+%28autocompleted%29&amp;type=null&amp;keyword=Type+in+query&amp;person=Type+in+query...+%28autocompleted%29&amp;medium=null&amp;script=Type+in+query&amp;scribe=Type+in+query...+%28autocompleted%29&amp;binding=null&amp;binder=Type+in+query...+%28autocompleted%29&amp;region=null&amp;place=Type+in+query&amp;patron=Type+in+query...+%28autocompleted%29&amp;collection=Type+in+query...+%28autocompleted%29" xr:uid="{7BE25FAA-A22C-C447-B175-9559F40E3E45}"/>
    <hyperlink ref="I5" r:id="rId35" display="https://www.mmdc.nl/static/site/search/?searchMode=advanced&amp;recordId=null&amp;selectedRecordId=null&amp;maximumRecords=15&amp;recordDisplayLevel=1&amp;startRecord=1&amp;showMap=1&amp;freetextsearch=ms.+70+H+66&amp;shelfmark=Type+in+query...+%28autocompleted%29&amp;author=Type+in+query...+%28autocompleted%29&amp;title=Type+in+query...+%28autocompleted%29&amp;startyear=Type+in+query&amp;endyear=Type+in+query&amp;alt-title=Type+in+query...+%28autocompleted%29&amp;incipit=Type+in+query&amp;annotation_contents=Type+in+query&amp;contains=null&amp;language=null&amp;language_original=null&amp;translator=Type+in+query...+%28autocompleted%29&amp;type=null&amp;keyword=Type+in+query&amp;person=Type+in+query...+%28autocompleted%29&amp;medium=null&amp;script=Type+in+query&amp;scribe=Type+in+query...+%28autocompleted%29&amp;binding=null&amp;binder=Type+in+query...+%28autocompleted%29&amp;region=null&amp;place=Type+in+query&amp;patron=Type+in+query...+%28autocompleted%29&amp;collection=Type+in+query...+%28autocompleted%29" xr:uid="{1A7348D8-3D1F-6A4F-9359-0C6CC8BE2833}"/>
    <hyperlink ref="I6" r:id="rId36" display="https://www.mmdc.nl/static/site/search/?searchMode=advanced&amp;recordId=null&amp;selectedRecordId=null&amp;maximumRecords=15&amp;recordDisplayLevel=1&amp;startRecord=1&amp;showMap=1&amp;freetextsearch=ms.+73+J+47&amp;shelfmark=Type+in+query...+%28autocompleted%29&amp;author=Type+in+query...+%28autocompleted%29&amp;title=Type+in+query...+%28autocompleted%29&amp;startyear=Type+in+query&amp;endyear=Type+in+query&amp;alt-title=Type+in+query...+%28autocompleted%29&amp;incipit=Type+in+query&amp;annotation_contents=Type+in+query&amp;contains=null&amp;language=null&amp;language_original=null&amp;translator=Type+in+query...+%28autocompleted%29&amp;type=null&amp;keyword=Type+in+query&amp;person=Type+in+query...+%28autocompleted%29&amp;medium=null&amp;script=Type+in+query&amp;scribe=Type+in+query...+%28autocompleted%29&amp;binding=null&amp;binder=Type+in+query...+%28autocompleted%29&amp;region=null&amp;place=Type+in+query&amp;patron=Type+in+query...+%28autocompleted%29&amp;collection=Type+in+query...+%28autocompleted%29" xr:uid="{5480453D-78C8-334A-9178-6A0CA404515D}"/>
    <hyperlink ref="I3" r:id="rId37" display="https://www.mmdc.nl/static/site/search/?searchMode=advanced&amp;recordId=null&amp;selectedRecordId=null&amp;maximumRecords=15&amp;recordDisplayLevel=1&amp;startRecord=1&amp;showMap=1&amp;freetextsearch=ms.+70+E+3&amp;shelfmark=Type+in+query...+%28autocompleted%29&amp;author=Type+in+query...+%28autocompleted%29&amp;title=Type+in+query...+%28autocompleted%29&amp;startyear=Type+in+query&amp;endyear=Type+in+query&amp;alt-title=Type+in+query...+%28autocompleted%29&amp;incipit=Type+in+query&amp;annotation_contents=Type+in+query&amp;contains=null&amp;language=null&amp;language_original=null&amp;translator=Type+in+query...+%28autocompleted%29&amp;type=null&amp;keyword=Type+in+query&amp;person=Type+in+query...+%28autocompleted%29&amp;medium=null&amp;script=Type+in+query&amp;scribe=Type+in+query...+%28autocompleted%29&amp;binding=null&amp;binder=Type+in+query...+%28autocompleted%29&amp;region=null&amp;place=Type+in+query&amp;patron=Type+in+query...+%28autocompleted%29&amp;collection=Type+in+query...+%28autocompleted%29" xr:uid="{53F233FE-791D-2E43-97E1-0E4B97109EFD}"/>
    <hyperlink ref="I2" r:id="rId38" display="https://www.mmdc.nl/static/site/search/?searchMode=advanced&amp;recordId=null&amp;selectedRecordId=null&amp;maximumRecords=15&amp;recordDisplayLevel=1&amp;startRecord=1&amp;showMap=1&amp;freetextsearch=ms.+130+E+9&amp;shelfmark=Type+in+query...+%28autocompleted%29&amp;author=Type+in+query...+%28autocompleted%29&amp;title=Type+in+query...+%28autocompleted%29&amp;startyear=Type+in+query&amp;endyear=Type+in+query&amp;alt-title=Type+in+query...+%28autocompleted%29&amp;incipit=Type+in+query&amp;annotation_contents=Type+in+query&amp;contains=null&amp;language=null&amp;language_original=null&amp;translator=Type+in+query...+%28autocompleted%29&amp;type=null&amp;keyword=Type+in+query&amp;person=Type+in+query...+%28autocompleted%29&amp;medium=null&amp;script=Type+in+query&amp;scribe=Type+in+query...+%28autocompleted%29&amp;binding=null&amp;binder=Type+in+query...+%28autocompleted%29&amp;region=null&amp;place=Type+in+query&amp;patron=Type+in+query...+%28autocompleted%29&amp;collection=Type+in+query...+%28autocompleted%29" xr:uid="{905A0007-AC40-D749-B428-7B4DB5F78B21}"/>
    <hyperlink ref="I16" r:id="rId39" display="https://www.mmdc.nl/static/site/search/?searchMode=advanced&amp;recordId=null&amp;selectedRecordId=null&amp;maximumRecords=15&amp;recordDisplayLevel=1&amp;startRecord=241&amp;showMap=1&amp;freetextsearch=CMD-NL+1&amp;shelfmark=Type+in+query...+%28autocompleted%29&amp;author=Type+in+query...+%28autocompleted%29&amp;title=Type+in+query...+%28autocompleted%29&amp;startyear=Type+in+query&amp;endyear=Type+in+query&amp;alt-title=Type+in+query...+%28autocompleted%29&amp;incipit=Type+in+query&amp;annotation_contents=Type+in+query&amp;contains=null&amp;language=null&amp;language_original=null&amp;translator=Type+in+query...+%28autocompleted%29&amp;type=null&amp;keyword=Type+in+query&amp;person=Type+in+query...+%28autocompleted%29&amp;medium=null&amp;script=Type+in+query&amp;scribe=Type+in+query...+%28autocompleted%29&amp;binding=null&amp;binder=Type+in+query...+%28autocompleted%29&amp;region=null&amp;place=Type+in+query&amp;patron=Type+in+query...+%28autocompleted%29&amp;collection=Type+in+query...+%28autocompleted%29" xr:uid="{6F8A3759-F0E4-F54C-93BE-2827D5F6C95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D4F82-EB8D-B046-887C-D4FC8D503612}">
  <dimension ref="A1:G29"/>
  <sheetViews>
    <sheetView workbookViewId="0">
      <selection activeCell="B7" sqref="B2:B7"/>
    </sheetView>
  </sheetViews>
  <sheetFormatPr baseColWidth="10" defaultRowHeight="16"/>
  <cols>
    <col min="1" max="1" width="36.5" bestFit="1" customWidth="1"/>
    <col min="2" max="2" width="18.83203125" customWidth="1"/>
  </cols>
  <sheetData>
    <row r="1" spans="1:7">
      <c r="A1" s="3" t="s">
        <v>7</v>
      </c>
      <c r="B1" s="3" t="s">
        <v>484</v>
      </c>
      <c r="C1" s="3" t="s">
        <v>9</v>
      </c>
      <c r="D1" s="3" t="s">
        <v>2475</v>
      </c>
      <c r="E1" s="3" t="s">
        <v>485</v>
      </c>
      <c r="F1" s="3" t="s">
        <v>2298</v>
      </c>
      <c r="G1" s="3" t="s">
        <v>1214</v>
      </c>
    </row>
    <row r="2" spans="1:7">
      <c r="A2" t="s">
        <v>2464</v>
      </c>
      <c r="B2">
        <v>1084</v>
      </c>
      <c r="C2" t="s">
        <v>5162</v>
      </c>
      <c r="D2" t="s">
        <v>2493</v>
      </c>
      <c r="E2" s="7" t="s">
        <v>2520</v>
      </c>
      <c r="G2" t="s">
        <v>2547</v>
      </c>
    </row>
    <row r="3" spans="1:7">
      <c r="A3" t="s">
        <v>2465</v>
      </c>
      <c r="B3" t="s">
        <v>2466</v>
      </c>
      <c r="C3" t="s">
        <v>5163</v>
      </c>
      <c r="D3" t="s">
        <v>2494</v>
      </c>
      <c r="E3" t="s">
        <v>2521</v>
      </c>
      <c r="G3" s="5" t="s">
        <v>2556</v>
      </c>
    </row>
    <row r="4" spans="1:7">
      <c r="A4" t="s">
        <v>2467</v>
      </c>
      <c r="B4">
        <v>1139</v>
      </c>
      <c r="D4" t="s">
        <v>2495</v>
      </c>
      <c r="E4" t="s">
        <v>2522</v>
      </c>
      <c r="G4" t="s">
        <v>2551</v>
      </c>
    </row>
    <row r="5" spans="1:7">
      <c r="A5" t="s">
        <v>2468</v>
      </c>
      <c r="B5">
        <v>1139</v>
      </c>
      <c r="D5" t="s">
        <v>2496</v>
      </c>
      <c r="E5" t="s">
        <v>2523</v>
      </c>
      <c r="G5" t="s">
        <v>2551</v>
      </c>
    </row>
    <row r="6" spans="1:7">
      <c r="A6" t="s">
        <v>2469</v>
      </c>
      <c r="B6">
        <v>1155</v>
      </c>
      <c r="D6" t="s">
        <v>2497</v>
      </c>
      <c r="E6" t="s">
        <v>2524</v>
      </c>
    </row>
    <row r="7" spans="1:7">
      <c r="A7" t="s">
        <v>2470</v>
      </c>
      <c r="B7">
        <v>1156</v>
      </c>
      <c r="D7" t="s">
        <v>2498</v>
      </c>
      <c r="E7" t="s">
        <v>2525</v>
      </c>
      <c r="G7" t="s">
        <v>2551</v>
      </c>
    </row>
    <row r="8" spans="1:7">
      <c r="A8" t="s">
        <v>2471</v>
      </c>
      <c r="B8">
        <v>1236</v>
      </c>
      <c r="D8" t="s">
        <v>2499</v>
      </c>
      <c r="E8" t="s">
        <v>2526</v>
      </c>
    </row>
    <row r="9" spans="1:7">
      <c r="A9" t="s">
        <v>2472</v>
      </c>
      <c r="B9" t="s">
        <v>2473</v>
      </c>
      <c r="D9" t="s">
        <v>2500</v>
      </c>
      <c r="E9" t="s">
        <v>2527</v>
      </c>
    </row>
    <row r="10" spans="1:7">
      <c r="A10" t="s">
        <v>2550</v>
      </c>
      <c r="B10">
        <v>1248</v>
      </c>
      <c r="D10" t="s">
        <v>2501</v>
      </c>
      <c r="E10" t="s">
        <v>2528</v>
      </c>
    </row>
    <row r="11" spans="1:7">
      <c r="A11" t="s">
        <v>2489</v>
      </c>
      <c r="B11">
        <v>1255</v>
      </c>
      <c r="D11" t="s">
        <v>2502</v>
      </c>
      <c r="E11" t="s">
        <v>2529</v>
      </c>
      <c r="G11" t="s">
        <v>2551</v>
      </c>
    </row>
    <row r="12" spans="1:7">
      <c r="A12" t="s">
        <v>2474</v>
      </c>
      <c r="B12">
        <v>1263</v>
      </c>
      <c r="D12" t="s">
        <v>2503</v>
      </c>
      <c r="E12" t="s">
        <v>2530</v>
      </c>
    </row>
    <row r="13" spans="1:7">
      <c r="A13" t="s">
        <v>2490</v>
      </c>
      <c r="B13">
        <v>1265</v>
      </c>
      <c r="D13" t="s">
        <v>2504</v>
      </c>
      <c r="E13" t="s">
        <v>2531</v>
      </c>
      <c r="G13" t="s">
        <v>2551</v>
      </c>
    </row>
    <row r="14" spans="1:7">
      <c r="A14" t="s">
        <v>2476</v>
      </c>
      <c r="B14">
        <v>1269</v>
      </c>
      <c r="C14" t="s">
        <v>5164</v>
      </c>
      <c r="D14" t="s">
        <v>2505</v>
      </c>
      <c r="E14" t="s">
        <v>2532</v>
      </c>
      <c r="G14" t="s">
        <v>2552</v>
      </c>
    </row>
    <row r="15" spans="1:7">
      <c r="A15" t="s">
        <v>5165</v>
      </c>
      <c r="B15">
        <v>1271</v>
      </c>
      <c r="D15" t="s">
        <v>2506</v>
      </c>
      <c r="E15" t="s">
        <v>2533</v>
      </c>
      <c r="G15" s="5" t="s">
        <v>5166</v>
      </c>
    </row>
    <row r="16" spans="1:7">
      <c r="A16" t="s">
        <v>2491</v>
      </c>
      <c r="B16">
        <v>1274</v>
      </c>
      <c r="D16" t="s">
        <v>2507</v>
      </c>
      <c r="E16" t="s">
        <v>2534</v>
      </c>
      <c r="G16" t="s">
        <v>2551</v>
      </c>
    </row>
    <row r="17" spans="1:7">
      <c r="A17" t="s">
        <v>2477</v>
      </c>
      <c r="B17">
        <v>1277</v>
      </c>
      <c r="D17" t="s">
        <v>2508</v>
      </c>
      <c r="E17" t="s">
        <v>2535</v>
      </c>
      <c r="G17" t="s">
        <v>2551</v>
      </c>
    </row>
    <row r="18" spans="1:7">
      <c r="A18" t="s">
        <v>2492</v>
      </c>
      <c r="B18">
        <v>1277</v>
      </c>
      <c r="D18" t="s">
        <v>2509</v>
      </c>
      <c r="E18" t="s">
        <v>2536</v>
      </c>
      <c r="G18" t="s">
        <v>2551</v>
      </c>
    </row>
    <row r="19" spans="1:7">
      <c r="A19" t="s">
        <v>2478</v>
      </c>
      <c r="B19">
        <v>1283</v>
      </c>
      <c r="D19" t="s">
        <v>2510</v>
      </c>
      <c r="E19" t="s">
        <v>2537</v>
      </c>
      <c r="G19" t="s">
        <v>2551</v>
      </c>
    </row>
    <row r="20" spans="1:7">
      <c r="A20" t="s">
        <v>2479</v>
      </c>
      <c r="B20">
        <v>1283</v>
      </c>
      <c r="C20" t="s">
        <v>5167</v>
      </c>
      <c r="D20" t="s">
        <v>2511</v>
      </c>
      <c r="E20" t="s">
        <v>2538</v>
      </c>
      <c r="G20" s="5" t="s">
        <v>2549</v>
      </c>
    </row>
    <row r="21" spans="1:7">
      <c r="A21" t="s">
        <v>2480</v>
      </c>
      <c r="B21">
        <v>1284</v>
      </c>
      <c r="D21" t="s">
        <v>2512</v>
      </c>
      <c r="E21" t="s">
        <v>2539</v>
      </c>
      <c r="G21" t="s">
        <v>2551</v>
      </c>
    </row>
    <row r="22" spans="1:7">
      <c r="A22" t="s">
        <v>2481</v>
      </c>
      <c r="B22">
        <v>1286</v>
      </c>
      <c r="D22" t="s">
        <v>2513</v>
      </c>
      <c r="E22" t="s">
        <v>2540</v>
      </c>
      <c r="G22" t="s">
        <v>2551</v>
      </c>
    </row>
    <row r="23" spans="1:7">
      <c r="A23" t="s">
        <v>2482</v>
      </c>
      <c r="B23">
        <v>1290</v>
      </c>
      <c r="D23" t="s">
        <v>2514</v>
      </c>
      <c r="E23" t="s">
        <v>2541</v>
      </c>
      <c r="G23" t="s">
        <v>2553</v>
      </c>
    </row>
    <row r="24" spans="1:7">
      <c r="A24" t="s">
        <v>2483</v>
      </c>
      <c r="B24">
        <v>1290</v>
      </c>
      <c r="D24" t="s">
        <v>2514</v>
      </c>
      <c r="E24" t="s">
        <v>2541</v>
      </c>
      <c r="G24" t="s">
        <v>2551</v>
      </c>
    </row>
    <row r="25" spans="1:7">
      <c r="A25" t="s">
        <v>2484</v>
      </c>
      <c r="B25">
        <v>1290</v>
      </c>
      <c r="C25" t="s">
        <v>5168</v>
      </c>
      <c r="D25" t="s">
        <v>2515</v>
      </c>
      <c r="E25" t="s">
        <v>2542</v>
      </c>
      <c r="G25" t="s">
        <v>2554</v>
      </c>
    </row>
    <row r="26" spans="1:7">
      <c r="A26" t="s">
        <v>2485</v>
      </c>
      <c r="B26">
        <v>1290</v>
      </c>
      <c r="D26" t="s">
        <v>2516</v>
      </c>
      <c r="E26" t="s">
        <v>2543</v>
      </c>
      <c r="G26" t="s">
        <v>2551</v>
      </c>
    </row>
    <row r="27" spans="1:7">
      <c r="A27" t="s">
        <v>2486</v>
      </c>
      <c r="B27">
        <v>1293</v>
      </c>
      <c r="C27" t="s">
        <v>1218</v>
      </c>
      <c r="D27" t="s">
        <v>2517</v>
      </c>
      <c r="E27" t="s">
        <v>2544</v>
      </c>
      <c r="G27" t="s">
        <v>2555</v>
      </c>
    </row>
    <row r="28" spans="1:7">
      <c r="A28" t="s">
        <v>2487</v>
      </c>
      <c r="B28">
        <v>1294</v>
      </c>
      <c r="C28" t="s">
        <v>5169</v>
      </c>
      <c r="D28" t="s">
        <v>2518</v>
      </c>
      <c r="E28" t="s">
        <v>2545</v>
      </c>
      <c r="G28" s="5" t="s">
        <v>2548</v>
      </c>
    </row>
    <row r="29" spans="1:7">
      <c r="A29" t="s">
        <v>2488</v>
      </c>
      <c r="B29">
        <v>1295</v>
      </c>
      <c r="C29" t="s">
        <v>5170</v>
      </c>
      <c r="D29" t="s">
        <v>2519</v>
      </c>
      <c r="E29" t="s">
        <v>2546</v>
      </c>
      <c r="G29" t="s">
        <v>2548</v>
      </c>
    </row>
  </sheetData>
  <hyperlinks>
    <hyperlink ref="G28" r:id="rId1" xr:uid="{F345F922-79BA-9449-9F50-49A301040EF2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5EA1E-CC55-F041-9967-4247812E3863}">
  <dimension ref="A1:G71"/>
  <sheetViews>
    <sheetView zoomScale="75" workbookViewId="0">
      <selection activeCell="E21" sqref="E21"/>
    </sheetView>
  </sheetViews>
  <sheetFormatPr baseColWidth="10" defaultRowHeight="16"/>
  <cols>
    <col min="1" max="1" width="79.5" style="11" bestFit="1" customWidth="1"/>
    <col min="2" max="2" width="24.33203125" bestFit="1" customWidth="1"/>
    <col min="5" max="5" width="15.6640625" bestFit="1" customWidth="1"/>
    <col min="6" max="6" width="64.6640625" bestFit="1" customWidth="1"/>
    <col min="7" max="7" width="91.5" bestFit="1" customWidth="1"/>
    <col min="8" max="8" width="33" bestFit="1" customWidth="1"/>
  </cols>
  <sheetData>
    <row r="1" spans="1:7">
      <c r="A1" s="12" t="s">
        <v>7</v>
      </c>
      <c r="B1" s="3" t="s">
        <v>484</v>
      </c>
      <c r="C1" s="3" t="s">
        <v>9</v>
      </c>
      <c r="D1" s="3" t="s">
        <v>2475</v>
      </c>
      <c r="E1" s="3" t="s">
        <v>485</v>
      </c>
      <c r="F1" s="3" t="s">
        <v>2298</v>
      </c>
      <c r="G1" s="3" t="s">
        <v>1214</v>
      </c>
    </row>
    <row r="2" spans="1:7">
      <c r="A2" s="11" t="s">
        <v>2248</v>
      </c>
      <c r="B2">
        <v>1180</v>
      </c>
      <c r="C2" t="s">
        <v>5642</v>
      </c>
      <c r="D2" t="s">
        <v>6061</v>
      </c>
      <c r="E2" t="s">
        <v>6075</v>
      </c>
      <c r="F2" s="5" t="s">
        <v>5608</v>
      </c>
      <c r="G2" s="5" t="s">
        <v>5609</v>
      </c>
    </row>
    <row r="3" spans="1:7">
      <c r="A3" s="4" t="s">
        <v>2249</v>
      </c>
      <c r="B3">
        <v>1287</v>
      </c>
      <c r="C3" t="s">
        <v>5641</v>
      </c>
      <c r="F3" s="5" t="s">
        <v>5648</v>
      </c>
      <c r="G3" t="s">
        <v>5649</v>
      </c>
    </row>
    <row r="4" spans="1:7">
      <c r="A4" s="4" t="s">
        <v>2250</v>
      </c>
      <c r="B4">
        <v>1162</v>
      </c>
      <c r="C4" t="s">
        <v>5645</v>
      </c>
      <c r="D4" t="s">
        <v>6059</v>
      </c>
      <c r="E4" t="s">
        <v>6036</v>
      </c>
      <c r="F4" s="5" t="s">
        <v>5646</v>
      </c>
      <c r="G4" t="s">
        <v>5647</v>
      </c>
    </row>
    <row r="5" spans="1:7">
      <c r="A5" s="4" t="s">
        <v>2251</v>
      </c>
      <c r="B5">
        <v>1205</v>
      </c>
      <c r="C5" t="s">
        <v>5642</v>
      </c>
      <c r="D5" t="s">
        <v>6066</v>
      </c>
      <c r="E5" t="s">
        <v>6037</v>
      </c>
      <c r="F5" s="5" t="s">
        <v>5643</v>
      </c>
      <c r="G5" t="s">
        <v>5644</v>
      </c>
    </row>
    <row r="6" spans="1:7">
      <c r="A6" s="4" t="s">
        <v>2252</v>
      </c>
      <c r="B6">
        <v>1223</v>
      </c>
      <c r="C6" t="s">
        <v>5641</v>
      </c>
      <c r="D6" t="s">
        <v>6067</v>
      </c>
      <c r="E6" t="s">
        <v>6021</v>
      </c>
      <c r="F6" s="5" t="s">
        <v>5639</v>
      </c>
      <c r="G6" t="s">
        <v>5640</v>
      </c>
    </row>
    <row r="7" spans="1:7">
      <c r="A7" s="4" t="s">
        <v>6136</v>
      </c>
      <c r="B7">
        <v>1285</v>
      </c>
      <c r="C7" t="s">
        <v>6045</v>
      </c>
      <c r="D7" t="s">
        <v>6070</v>
      </c>
      <c r="E7" t="s">
        <v>6128</v>
      </c>
      <c r="F7" s="4"/>
    </row>
    <row r="8" spans="1:7">
      <c r="A8" s="4" t="s">
        <v>6137</v>
      </c>
      <c r="B8" t="s">
        <v>6048</v>
      </c>
      <c r="C8" t="s">
        <v>5642</v>
      </c>
      <c r="D8" t="s">
        <v>6065</v>
      </c>
      <c r="E8" t="s">
        <v>6123</v>
      </c>
      <c r="F8" s="4"/>
    </row>
    <row r="9" spans="1:7">
      <c r="A9" s="4" t="s">
        <v>6138</v>
      </c>
      <c r="B9" t="s">
        <v>6040</v>
      </c>
      <c r="C9" t="s">
        <v>5719</v>
      </c>
      <c r="D9" t="s">
        <v>6056</v>
      </c>
      <c r="E9" t="s">
        <v>6118</v>
      </c>
      <c r="F9" s="4"/>
    </row>
    <row r="10" spans="1:7">
      <c r="A10" s="4" t="s">
        <v>6139</v>
      </c>
      <c r="B10" t="s">
        <v>6041</v>
      </c>
      <c r="C10" t="s">
        <v>5642</v>
      </c>
      <c r="D10" t="s">
        <v>5650</v>
      </c>
      <c r="E10" t="s">
        <v>6116</v>
      </c>
      <c r="F10" s="4"/>
    </row>
    <row r="11" spans="1:7">
      <c r="A11" s="4" t="s">
        <v>6140</v>
      </c>
      <c r="B11" t="s">
        <v>6047</v>
      </c>
      <c r="C11" t="s">
        <v>5642</v>
      </c>
      <c r="D11" t="s">
        <v>6068</v>
      </c>
      <c r="E11" t="s">
        <v>6124</v>
      </c>
      <c r="F11" s="4"/>
    </row>
    <row r="12" spans="1:7">
      <c r="A12" s="4" t="s">
        <v>6141</v>
      </c>
      <c r="B12">
        <v>1259</v>
      </c>
      <c r="C12" t="s">
        <v>5642</v>
      </c>
      <c r="D12" t="s">
        <v>6068</v>
      </c>
      <c r="E12" t="s">
        <v>6125</v>
      </c>
      <c r="F12" s="4"/>
    </row>
    <row r="13" spans="1:7">
      <c r="A13" s="4" t="s">
        <v>6150</v>
      </c>
      <c r="B13" t="s">
        <v>6040</v>
      </c>
      <c r="C13" t="s">
        <v>5719</v>
      </c>
      <c r="D13" t="s">
        <v>6057</v>
      </c>
      <c r="E13" t="s">
        <v>6120</v>
      </c>
      <c r="F13" s="4"/>
    </row>
    <row r="14" spans="1:7">
      <c r="A14" s="4" t="s">
        <v>6142</v>
      </c>
      <c r="B14" t="s">
        <v>6044</v>
      </c>
      <c r="C14" t="s">
        <v>5642</v>
      </c>
      <c r="D14" t="s">
        <v>6060</v>
      </c>
      <c r="E14" t="s">
        <v>6117</v>
      </c>
      <c r="F14" s="4"/>
    </row>
    <row r="15" spans="1:7">
      <c r="A15" s="4" t="s">
        <v>6143</v>
      </c>
      <c r="B15" t="s">
        <v>6039</v>
      </c>
      <c r="C15" t="s">
        <v>5642</v>
      </c>
      <c r="D15" t="s">
        <v>6055</v>
      </c>
      <c r="E15" t="s">
        <v>6115</v>
      </c>
    </row>
    <row r="16" spans="1:7">
      <c r="A16" s="4" t="s">
        <v>5612</v>
      </c>
      <c r="B16">
        <v>1296</v>
      </c>
      <c r="C16" t="s">
        <v>5613</v>
      </c>
      <c r="F16" s="5" t="s">
        <v>5610</v>
      </c>
      <c r="G16" t="s">
        <v>5611</v>
      </c>
    </row>
    <row r="17" spans="1:7">
      <c r="A17" s="4" t="s">
        <v>6151</v>
      </c>
      <c r="B17" t="s">
        <v>6043</v>
      </c>
      <c r="C17" t="s">
        <v>6054</v>
      </c>
      <c r="D17" t="s">
        <v>6072</v>
      </c>
      <c r="E17" t="s">
        <v>6130</v>
      </c>
      <c r="F17" s="4"/>
    </row>
    <row r="18" spans="1:7">
      <c r="A18" s="4" t="s">
        <v>2253</v>
      </c>
      <c r="B18">
        <v>1296</v>
      </c>
      <c r="C18" t="s">
        <v>6052</v>
      </c>
      <c r="D18" t="s">
        <v>5651</v>
      </c>
      <c r="E18" t="s">
        <v>6020</v>
      </c>
      <c r="F18" t="s">
        <v>5637</v>
      </c>
      <c r="G18" t="s">
        <v>5638</v>
      </c>
    </row>
    <row r="19" spans="1:7">
      <c r="A19" s="4" t="s">
        <v>6022</v>
      </c>
      <c r="B19">
        <v>1225</v>
      </c>
      <c r="C19" t="s">
        <v>6023</v>
      </c>
      <c r="D19" t="s">
        <v>6024</v>
      </c>
      <c r="E19" t="s">
        <v>6025</v>
      </c>
    </row>
    <row r="20" spans="1:7">
      <c r="A20" s="4" t="s">
        <v>2254</v>
      </c>
      <c r="B20">
        <v>1216</v>
      </c>
      <c r="C20" t="s">
        <v>5634</v>
      </c>
      <c r="D20" t="s">
        <v>5652</v>
      </c>
      <c r="E20" t="s">
        <v>6038</v>
      </c>
      <c r="F20" t="s">
        <v>5635</v>
      </c>
      <c r="G20" t="s">
        <v>5636</v>
      </c>
    </row>
    <row r="21" spans="1:7">
      <c r="A21" s="4" t="s">
        <v>2255</v>
      </c>
      <c r="B21">
        <v>1241</v>
      </c>
      <c r="C21" t="s">
        <v>5631</v>
      </c>
      <c r="F21" t="s">
        <v>5632</v>
      </c>
      <c r="G21" t="s">
        <v>5633</v>
      </c>
    </row>
    <row r="22" spans="1:7">
      <c r="A22" s="4" t="s">
        <v>2256</v>
      </c>
      <c r="B22">
        <v>1270</v>
      </c>
      <c r="C22" t="s">
        <v>6053</v>
      </c>
      <c r="F22" t="s">
        <v>5630</v>
      </c>
      <c r="G22" t="s">
        <v>5629</v>
      </c>
    </row>
    <row r="23" spans="1:7">
      <c r="A23" s="4" t="s">
        <v>2257</v>
      </c>
      <c r="B23">
        <v>1172</v>
      </c>
      <c r="C23" t="s">
        <v>5626</v>
      </c>
      <c r="D23" t="s">
        <v>5653</v>
      </c>
      <c r="E23" t="s">
        <v>6074</v>
      </c>
      <c r="F23" t="s">
        <v>5627</v>
      </c>
      <c r="G23" t="s">
        <v>5628</v>
      </c>
    </row>
    <row r="24" spans="1:7">
      <c r="A24" s="4" t="s">
        <v>6035</v>
      </c>
      <c r="B24">
        <v>1299</v>
      </c>
      <c r="D24" t="s">
        <v>6034</v>
      </c>
      <c r="E24" t="s">
        <v>6112</v>
      </c>
    </row>
    <row r="25" spans="1:7">
      <c r="A25" s="4" t="s">
        <v>6144</v>
      </c>
      <c r="B25" t="s">
        <v>6046</v>
      </c>
      <c r="D25" t="s">
        <v>6058</v>
      </c>
      <c r="E25" t="s">
        <v>6127</v>
      </c>
      <c r="F25" s="4"/>
    </row>
    <row r="26" spans="1:7">
      <c r="A26" s="4" t="s">
        <v>6145</v>
      </c>
      <c r="B26" t="s">
        <v>6042</v>
      </c>
      <c r="C26" t="s">
        <v>5732</v>
      </c>
      <c r="D26" t="s">
        <v>6062</v>
      </c>
      <c r="E26" t="s">
        <v>6119</v>
      </c>
      <c r="F26" s="4"/>
    </row>
    <row r="27" spans="1:7" ht="15" customHeight="1">
      <c r="A27" s="4" t="s">
        <v>6146</v>
      </c>
      <c r="B27" t="s">
        <v>6042</v>
      </c>
      <c r="C27" t="s">
        <v>6049</v>
      </c>
      <c r="D27" t="s">
        <v>6063</v>
      </c>
      <c r="E27" t="s">
        <v>6121</v>
      </c>
      <c r="F27" s="4"/>
    </row>
    <row r="28" spans="1:7" ht="15" customHeight="1">
      <c r="A28" s="4" t="s">
        <v>6147</v>
      </c>
      <c r="B28">
        <v>1197</v>
      </c>
      <c r="C28" t="s">
        <v>6050</v>
      </c>
      <c r="D28" t="s">
        <v>6064</v>
      </c>
      <c r="E28" t="s">
        <v>6122</v>
      </c>
      <c r="F28" s="4"/>
    </row>
    <row r="29" spans="1:7">
      <c r="A29" s="4" t="s">
        <v>6148</v>
      </c>
      <c r="B29">
        <v>1282</v>
      </c>
      <c r="C29" t="s">
        <v>6051</v>
      </c>
      <c r="D29" t="s">
        <v>6069</v>
      </c>
      <c r="E29" t="s">
        <v>6126</v>
      </c>
      <c r="F29" s="4"/>
    </row>
    <row r="30" spans="1:7">
      <c r="A30" s="4" t="s">
        <v>6149</v>
      </c>
      <c r="B30">
        <v>1293</v>
      </c>
      <c r="C30" t="s">
        <v>5730</v>
      </c>
      <c r="D30" t="s">
        <v>6071</v>
      </c>
      <c r="E30" t="s">
        <v>6129</v>
      </c>
      <c r="F30" s="4"/>
    </row>
    <row r="31" spans="1:7">
      <c r="A31" s="4" t="s">
        <v>6135</v>
      </c>
      <c r="B31" t="s">
        <v>6031</v>
      </c>
      <c r="C31" t="s">
        <v>5719</v>
      </c>
      <c r="D31" t="s">
        <v>6030</v>
      </c>
      <c r="E31" t="s">
        <v>6114</v>
      </c>
    </row>
    <row r="32" spans="1:7">
      <c r="A32" s="4" t="s">
        <v>6134</v>
      </c>
      <c r="B32" t="s">
        <v>6032</v>
      </c>
      <c r="C32" t="s">
        <v>5719</v>
      </c>
      <c r="D32" t="s">
        <v>6033</v>
      </c>
      <c r="E32" t="s">
        <v>6111</v>
      </c>
    </row>
    <row r="33" spans="1:7">
      <c r="A33" s="4" t="s">
        <v>6133</v>
      </c>
      <c r="B33" t="s">
        <v>6026</v>
      </c>
      <c r="C33" t="s">
        <v>5719</v>
      </c>
      <c r="D33" t="s">
        <v>6027</v>
      </c>
      <c r="E33" t="s">
        <v>6110</v>
      </c>
    </row>
    <row r="34" spans="1:7">
      <c r="A34" s="4" t="s">
        <v>6132</v>
      </c>
      <c r="B34" t="s">
        <v>6029</v>
      </c>
      <c r="C34" t="s">
        <v>5719</v>
      </c>
      <c r="D34" t="s">
        <v>6028</v>
      </c>
      <c r="E34" t="s">
        <v>6113</v>
      </c>
    </row>
    <row r="35" spans="1:7">
      <c r="A35" s="4" t="s">
        <v>6014</v>
      </c>
      <c r="B35">
        <v>1212</v>
      </c>
      <c r="C35" t="s">
        <v>5728</v>
      </c>
      <c r="D35" t="s">
        <v>5655</v>
      </c>
      <c r="E35" t="s">
        <v>6088</v>
      </c>
      <c r="F35" s="11"/>
    </row>
    <row r="36" spans="1:7">
      <c r="A36" s="4" t="s">
        <v>5737</v>
      </c>
      <c r="B36">
        <v>1134</v>
      </c>
      <c r="C36" t="s">
        <v>5723</v>
      </c>
      <c r="D36" t="s">
        <v>5655</v>
      </c>
      <c r="E36" t="s">
        <v>6080</v>
      </c>
      <c r="F36" s="11"/>
    </row>
    <row r="37" spans="1:7">
      <c r="A37" s="4" t="s">
        <v>5749</v>
      </c>
      <c r="B37">
        <v>1247</v>
      </c>
      <c r="C37" t="s">
        <v>4530</v>
      </c>
      <c r="D37" t="s">
        <v>5655</v>
      </c>
      <c r="E37" t="s">
        <v>6091</v>
      </c>
      <c r="F37" s="11"/>
    </row>
    <row r="38" spans="1:7">
      <c r="A38" s="4" t="s">
        <v>2258</v>
      </c>
      <c r="B38">
        <v>1279</v>
      </c>
      <c r="C38" t="s">
        <v>5623</v>
      </c>
      <c r="D38" t="s">
        <v>5654</v>
      </c>
      <c r="E38" t="s">
        <v>6097</v>
      </c>
      <c r="F38" s="5" t="s">
        <v>5625</v>
      </c>
      <c r="G38" t="s">
        <v>5624</v>
      </c>
    </row>
    <row r="39" spans="1:7">
      <c r="A39" s="4" t="s">
        <v>5736</v>
      </c>
      <c r="B39">
        <v>1094</v>
      </c>
      <c r="C39" t="s">
        <v>5720</v>
      </c>
      <c r="D39" t="s">
        <v>5655</v>
      </c>
      <c r="E39" t="s">
        <v>6079</v>
      </c>
      <c r="F39" s="11"/>
    </row>
    <row r="40" spans="1:7">
      <c r="A40" s="4" t="s">
        <v>2259</v>
      </c>
      <c r="B40">
        <v>1079</v>
      </c>
      <c r="C40" t="s">
        <v>5620</v>
      </c>
      <c r="D40" t="s">
        <v>5655</v>
      </c>
      <c r="E40" t="s">
        <v>6078</v>
      </c>
      <c r="F40" s="5" t="s">
        <v>5622</v>
      </c>
      <c r="G40" t="s">
        <v>5621</v>
      </c>
    </row>
    <row r="41" spans="1:7">
      <c r="A41" s="4" t="s">
        <v>5735</v>
      </c>
      <c r="B41" t="s">
        <v>5762</v>
      </c>
      <c r="C41" t="s">
        <v>5719</v>
      </c>
      <c r="D41" t="s">
        <v>5655</v>
      </c>
      <c r="E41" t="s">
        <v>6077</v>
      </c>
      <c r="F41" s="11"/>
    </row>
    <row r="42" spans="1:7">
      <c r="A42" s="4" t="s">
        <v>2260</v>
      </c>
      <c r="B42">
        <v>1299</v>
      </c>
      <c r="C42" t="s">
        <v>5619</v>
      </c>
      <c r="D42" t="s">
        <v>5655</v>
      </c>
      <c r="E42" t="s">
        <v>6103</v>
      </c>
      <c r="F42" s="5" t="s">
        <v>5617</v>
      </c>
      <c r="G42" t="s">
        <v>5618</v>
      </c>
    </row>
    <row r="43" spans="1:7">
      <c r="A43" s="4" t="s">
        <v>5750</v>
      </c>
      <c r="B43">
        <v>1251</v>
      </c>
      <c r="C43" t="s">
        <v>5730</v>
      </c>
      <c r="D43" t="s">
        <v>5655</v>
      </c>
      <c r="E43" t="s">
        <v>6092</v>
      </c>
      <c r="F43" s="11"/>
    </row>
    <row r="44" spans="1:7">
      <c r="A44" s="4" t="s">
        <v>5759</v>
      </c>
      <c r="B44">
        <v>1300</v>
      </c>
      <c r="C44" t="s">
        <v>6073</v>
      </c>
      <c r="D44" t="s">
        <v>5655</v>
      </c>
      <c r="E44" t="s">
        <v>6104</v>
      </c>
      <c r="F44" s="11"/>
    </row>
    <row r="45" spans="1:7">
      <c r="A45" s="4" t="s">
        <v>5744</v>
      </c>
      <c r="B45">
        <v>1304</v>
      </c>
      <c r="C45" t="s">
        <v>5725</v>
      </c>
      <c r="D45" t="s">
        <v>5655</v>
      </c>
      <c r="E45" t="s">
        <v>6107</v>
      </c>
      <c r="F45" s="11"/>
    </row>
    <row r="46" spans="1:7">
      <c r="A46" s="4" t="s">
        <v>5760</v>
      </c>
      <c r="B46" t="s">
        <v>5767</v>
      </c>
      <c r="C46" t="s">
        <v>4502</v>
      </c>
      <c r="D46" t="s">
        <v>5655</v>
      </c>
      <c r="E46" t="s">
        <v>6105</v>
      </c>
      <c r="F46" s="11"/>
    </row>
    <row r="47" spans="1:7">
      <c r="A47" s="4" t="s">
        <v>6019</v>
      </c>
      <c r="B47">
        <v>1280</v>
      </c>
      <c r="C47" t="s">
        <v>4549</v>
      </c>
      <c r="D47" t="s">
        <v>6015</v>
      </c>
      <c r="E47" t="s">
        <v>6109</v>
      </c>
    </row>
    <row r="48" spans="1:7">
      <c r="A48" s="4" t="s">
        <v>5757</v>
      </c>
      <c r="B48">
        <v>1289</v>
      </c>
      <c r="C48" t="s">
        <v>5722</v>
      </c>
      <c r="D48" t="s">
        <v>5655</v>
      </c>
      <c r="E48" t="s">
        <v>6100</v>
      </c>
      <c r="F48" s="11"/>
    </row>
    <row r="49" spans="1:7">
      <c r="A49" s="4" t="s">
        <v>5755</v>
      </c>
      <c r="B49">
        <v>1273</v>
      </c>
      <c r="C49" t="s">
        <v>5733</v>
      </c>
      <c r="D49" t="s">
        <v>5655</v>
      </c>
      <c r="E49" t="s">
        <v>6096</v>
      </c>
      <c r="F49" s="11"/>
    </row>
    <row r="50" spans="1:7">
      <c r="A50" s="4" t="s">
        <v>5758</v>
      </c>
      <c r="B50">
        <v>1290</v>
      </c>
      <c r="C50" t="s">
        <v>1444</v>
      </c>
      <c r="D50" t="s">
        <v>5655</v>
      </c>
      <c r="E50" t="s">
        <v>6101</v>
      </c>
      <c r="F50" s="11"/>
    </row>
    <row r="51" spans="1:7">
      <c r="A51" s="4" t="s">
        <v>2261</v>
      </c>
      <c r="B51">
        <v>1287</v>
      </c>
      <c r="C51" t="s">
        <v>5614</v>
      </c>
      <c r="D51" t="s">
        <v>5655</v>
      </c>
      <c r="E51" t="s">
        <v>6099</v>
      </c>
      <c r="F51" s="5" t="s">
        <v>5615</v>
      </c>
      <c r="G51" t="s">
        <v>5616</v>
      </c>
    </row>
    <row r="52" spans="1:7">
      <c r="A52" s="4" t="s">
        <v>5753</v>
      </c>
      <c r="B52">
        <v>1300</v>
      </c>
      <c r="C52" t="s">
        <v>5718</v>
      </c>
      <c r="D52" t="s">
        <v>5655</v>
      </c>
      <c r="E52" t="s">
        <v>6131</v>
      </c>
      <c r="F52" s="11"/>
    </row>
    <row r="53" spans="1:7">
      <c r="A53" s="4" t="s">
        <v>5740</v>
      </c>
      <c r="B53">
        <v>1143</v>
      </c>
      <c r="C53" t="s">
        <v>5724</v>
      </c>
      <c r="D53" t="s">
        <v>5655</v>
      </c>
      <c r="E53" t="s">
        <v>6083</v>
      </c>
      <c r="F53" s="11"/>
    </row>
    <row r="54" spans="1:7">
      <c r="A54" s="4" t="s">
        <v>5743</v>
      </c>
      <c r="B54">
        <v>1303</v>
      </c>
      <c r="C54" t="s">
        <v>5725</v>
      </c>
      <c r="D54" t="s">
        <v>5655</v>
      </c>
      <c r="E54" t="s">
        <v>6106</v>
      </c>
      <c r="F54" s="11"/>
    </row>
    <row r="55" spans="1:7">
      <c r="A55" s="4" t="s">
        <v>5746</v>
      </c>
      <c r="B55">
        <v>1181</v>
      </c>
      <c r="C55" t="s">
        <v>5721</v>
      </c>
      <c r="D55" t="s">
        <v>5655</v>
      </c>
      <c r="E55" t="s">
        <v>6086</v>
      </c>
      <c r="F55" s="11"/>
    </row>
    <row r="56" spans="1:7">
      <c r="A56" s="4" t="s">
        <v>5745</v>
      </c>
      <c r="B56" t="s">
        <v>5765</v>
      </c>
      <c r="C56" t="s">
        <v>5726</v>
      </c>
      <c r="D56" t="s">
        <v>5655</v>
      </c>
      <c r="E56" t="s">
        <v>6094</v>
      </c>
      <c r="F56" s="11"/>
    </row>
    <row r="57" spans="1:7">
      <c r="A57" s="4" t="s">
        <v>5745</v>
      </c>
      <c r="B57" t="s">
        <v>5766</v>
      </c>
      <c r="C57" t="s">
        <v>5726</v>
      </c>
      <c r="D57" t="s">
        <v>5655</v>
      </c>
      <c r="E57" t="s">
        <v>6102</v>
      </c>
      <c r="F57" s="11"/>
    </row>
    <row r="58" spans="1:7">
      <c r="A58" s="4" t="s">
        <v>5742</v>
      </c>
      <c r="B58" t="s">
        <v>5763</v>
      </c>
      <c r="C58" t="s">
        <v>5720</v>
      </c>
      <c r="D58" t="s">
        <v>5655</v>
      </c>
      <c r="E58" t="s">
        <v>6085</v>
      </c>
      <c r="F58" s="11"/>
    </row>
    <row r="59" spans="1:7">
      <c r="A59" s="4" t="s">
        <v>5747</v>
      </c>
      <c r="B59" t="s">
        <v>5717</v>
      </c>
      <c r="C59" t="s">
        <v>5727</v>
      </c>
      <c r="D59" t="s">
        <v>5655</v>
      </c>
      <c r="E59" t="s">
        <v>6087</v>
      </c>
      <c r="F59" s="11"/>
    </row>
    <row r="60" spans="1:7">
      <c r="A60" s="4" t="s">
        <v>5738</v>
      </c>
      <c r="B60">
        <v>1142</v>
      </c>
      <c r="C60" t="s">
        <v>5739</v>
      </c>
      <c r="D60" t="s">
        <v>5655</v>
      </c>
      <c r="E60" t="s">
        <v>6081</v>
      </c>
      <c r="F60" s="11"/>
    </row>
    <row r="61" spans="1:7">
      <c r="A61" s="4" t="s">
        <v>5738</v>
      </c>
      <c r="B61" t="s">
        <v>5716</v>
      </c>
      <c r="C61" t="s">
        <v>5739</v>
      </c>
      <c r="D61" t="s">
        <v>5655</v>
      </c>
      <c r="E61" t="s">
        <v>6082</v>
      </c>
      <c r="F61" s="11"/>
    </row>
    <row r="62" spans="1:7">
      <c r="A62" s="4" t="s">
        <v>5754</v>
      </c>
      <c r="B62">
        <v>1285</v>
      </c>
      <c r="C62" t="s">
        <v>5732</v>
      </c>
      <c r="D62" t="s">
        <v>5655</v>
      </c>
      <c r="E62" t="s">
        <v>6098</v>
      </c>
      <c r="F62" s="11"/>
    </row>
    <row r="63" spans="1:7">
      <c r="A63" s="4" t="s">
        <v>5741</v>
      </c>
      <c r="B63">
        <v>1175</v>
      </c>
      <c r="C63" t="s">
        <v>1444</v>
      </c>
      <c r="D63" t="s">
        <v>5655</v>
      </c>
      <c r="E63" t="s">
        <v>6084</v>
      </c>
      <c r="F63" s="11"/>
    </row>
    <row r="64" spans="1:7">
      <c r="A64" s="4" t="s">
        <v>5756</v>
      </c>
      <c r="B64">
        <v>1244</v>
      </c>
      <c r="C64" t="s">
        <v>5731</v>
      </c>
      <c r="D64" t="s">
        <v>5655</v>
      </c>
      <c r="E64" t="s">
        <v>6090</v>
      </c>
      <c r="F64" s="11"/>
    </row>
    <row r="65" spans="1:6">
      <c r="A65" s="4" t="s">
        <v>5756</v>
      </c>
      <c r="B65" t="s">
        <v>5764</v>
      </c>
      <c r="C65" t="s">
        <v>5641</v>
      </c>
      <c r="D65" t="s">
        <v>5655</v>
      </c>
      <c r="E65" t="s">
        <v>6095</v>
      </c>
      <c r="F65" s="11"/>
    </row>
    <row r="66" spans="1:6">
      <c r="A66" s="4" t="s">
        <v>6018</v>
      </c>
      <c r="B66" t="s">
        <v>6016</v>
      </c>
      <c r="C66" t="s">
        <v>6017</v>
      </c>
      <c r="D66" t="s">
        <v>6015</v>
      </c>
      <c r="E66" t="s">
        <v>6108</v>
      </c>
    </row>
    <row r="67" spans="1:6">
      <c r="A67" s="4" t="s">
        <v>5748</v>
      </c>
      <c r="B67">
        <v>1233</v>
      </c>
      <c r="C67" t="s">
        <v>5729</v>
      </c>
      <c r="D67" t="s">
        <v>5655</v>
      </c>
      <c r="E67" t="s">
        <v>6089</v>
      </c>
      <c r="F67" s="11"/>
    </row>
    <row r="68" spans="1:6">
      <c r="A68" s="4" t="s">
        <v>5734</v>
      </c>
      <c r="B68" t="s">
        <v>5761</v>
      </c>
      <c r="C68" t="s">
        <v>5719</v>
      </c>
      <c r="D68" t="s">
        <v>5655</v>
      </c>
      <c r="E68" t="s">
        <v>6076</v>
      </c>
      <c r="F68" s="11"/>
    </row>
    <row r="69" spans="1:6">
      <c r="A69" s="4" t="s">
        <v>5752</v>
      </c>
      <c r="B69">
        <v>1233</v>
      </c>
      <c r="C69" t="s">
        <v>5718</v>
      </c>
      <c r="D69" t="s">
        <v>5655</v>
      </c>
      <c r="E69" t="s">
        <v>6089</v>
      </c>
      <c r="F69" s="11"/>
    </row>
    <row r="70" spans="1:6">
      <c r="A70" s="4" t="s">
        <v>5751</v>
      </c>
      <c r="B70">
        <v>1263</v>
      </c>
      <c r="C70" t="s">
        <v>5731</v>
      </c>
      <c r="D70" t="s">
        <v>5655</v>
      </c>
      <c r="E70" t="s">
        <v>6093</v>
      </c>
      <c r="F70" s="11"/>
    </row>
    <row r="71" spans="1:6">
      <c r="F71" s="4"/>
    </row>
  </sheetData>
  <sortState xmlns:xlrd2="http://schemas.microsoft.com/office/spreadsheetml/2017/richdata2" ref="A2:G107">
    <sortCondition ref="A1:A107"/>
  </sortState>
  <phoneticPr fontId="2" type="noConversion"/>
  <hyperlinks>
    <hyperlink ref="A2" r:id="rId1" display="https://manuscripta.at/?ID=26856" xr:uid="{D2D37155-2284-B948-8C84-C9306D699A9C}"/>
    <hyperlink ref="A3" r:id="rId2" display="https://manuscripta.at/?ID=26062" xr:uid="{5A8CFD3F-425C-0146-BE10-8B41EC82048C}"/>
    <hyperlink ref="A4" r:id="rId3" display="https://manuscripta.at/?ID=26896" xr:uid="{1D19B2A2-F08E-A748-9F5F-B532527C9A28}"/>
    <hyperlink ref="A5" r:id="rId4" display="https://manuscripta.at/?ID=26937" xr:uid="{558307A7-9EEE-6E43-A9CB-1E642F89F31D}"/>
    <hyperlink ref="A6" r:id="rId5" display="https://manuscripta.at/?ID=26968" xr:uid="{820F8EC9-D75B-8043-A4E7-7520D501731F}"/>
    <hyperlink ref="A18" r:id="rId6" display="https://manuscripta.at/?ID=5978" xr:uid="{BC03789E-7D71-FF4C-84FD-967A69322F62}"/>
    <hyperlink ref="A20" r:id="rId7" display="https://manuscripta.at/?ID=6039" xr:uid="{2B8709DF-B015-E64E-8E1F-333770E12295}"/>
    <hyperlink ref="A21" r:id="rId8" display="https://manuscripta.at/?ID=7768" xr:uid="{5728C656-609E-414E-BB76-589FBEBFDCFD}"/>
    <hyperlink ref="A22" r:id="rId9" display="https://manuscripta.at/?ID=33981" xr:uid="{0E900ABF-1D6D-B94E-8242-D27671DA6579}"/>
    <hyperlink ref="A23" r:id="rId10" display="https://manuscripta.at/?ID=6165" xr:uid="{1D655E56-D5A8-2E46-8CD4-C824C425ECFA}"/>
    <hyperlink ref="F2" r:id="rId11" xr:uid="{7FB6E3D9-A572-7343-8247-29F4E7B53504}"/>
    <hyperlink ref="F16" r:id="rId12" xr:uid="{A8686F28-98B1-5D42-9CC0-AB372139BDF3}"/>
    <hyperlink ref="F6" r:id="rId13" xr:uid="{6CB261B7-D87C-174F-9627-2BB7324E431C}"/>
    <hyperlink ref="F5" r:id="rId14" xr:uid="{72E37B24-10D3-0E4A-B927-AEBBBDB31CBA}"/>
    <hyperlink ref="F4" r:id="rId15" xr:uid="{50FEB098-37BE-924E-9B58-E947E6CC6704}"/>
    <hyperlink ref="F3" r:id="rId16" xr:uid="{1EDBD64E-38D5-E743-AAFE-8B760394F149}"/>
    <hyperlink ref="F38" r:id="rId17" xr:uid="{59746C42-3BC4-2D45-8983-9E289507AFFD}"/>
    <hyperlink ref="F40" r:id="rId18" xr:uid="{6E7AB0BF-13BF-AA4A-B43C-48EADA51C390}"/>
    <hyperlink ref="F42" r:id="rId19" xr:uid="{9D6FAFB8-B74C-1144-AD9D-3AEF1C8731D1}"/>
    <hyperlink ref="F51" r:id="rId20" xr:uid="{AD0EBC3B-3D7D-704A-83C0-40956A73AFD3}"/>
    <hyperlink ref="A19" r:id="rId21" display="https://manuscripta.at/?ID=5978" xr:uid="{5B184401-864E-8A41-8A84-C47D1EE95ED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BBFA5-1734-0645-A173-1F3A36675282}">
  <dimension ref="A1:I5"/>
  <sheetViews>
    <sheetView workbookViewId="0">
      <selection activeCell="H18" sqref="H18"/>
    </sheetView>
  </sheetViews>
  <sheetFormatPr baseColWidth="10" defaultRowHeight="16"/>
  <cols>
    <col min="1" max="1" width="21.5" bestFit="1" customWidth="1"/>
    <col min="3" max="3" width="14.1640625" bestFit="1" customWidth="1"/>
  </cols>
  <sheetData>
    <row r="1" spans="1:9">
      <c r="A1" t="s">
        <v>6152</v>
      </c>
      <c r="B1" s="2" t="s">
        <v>226</v>
      </c>
      <c r="C1" s="2" t="s">
        <v>7</v>
      </c>
      <c r="D1" s="2" t="s">
        <v>8</v>
      </c>
      <c r="E1" s="2" t="s">
        <v>9</v>
      </c>
      <c r="F1" s="2" t="s">
        <v>381</v>
      </c>
      <c r="G1" s="2" t="s">
        <v>1213</v>
      </c>
      <c r="H1" s="2" t="s">
        <v>1214</v>
      </c>
      <c r="I1" s="2"/>
    </row>
    <row r="2" spans="1:9">
      <c r="A2" t="s">
        <v>6153</v>
      </c>
      <c r="B2" t="s">
        <v>1215</v>
      </c>
      <c r="C2" t="s">
        <v>1216</v>
      </c>
      <c r="D2">
        <v>996</v>
      </c>
      <c r="E2" t="s">
        <v>1218</v>
      </c>
      <c r="F2" t="s">
        <v>1217</v>
      </c>
      <c r="G2" t="s">
        <v>1219</v>
      </c>
      <c r="H2" t="s">
        <v>1237</v>
      </c>
    </row>
    <row r="3" spans="1:9">
      <c r="A3" t="s">
        <v>6154</v>
      </c>
      <c r="B3" t="s">
        <v>1220</v>
      </c>
      <c r="C3" t="s">
        <v>1221</v>
      </c>
      <c r="D3" t="s">
        <v>1224</v>
      </c>
      <c r="E3" t="s">
        <v>1225</v>
      </c>
      <c r="F3" t="s">
        <v>1226</v>
      </c>
      <c r="G3" t="s">
        <v>1223</v>
      </c>
      <c r="H3" t="s">
        <v>1222</v>
      </c>
    </row>
    <row r="4" spans="1:9">
      <c r="A4" t="s">
        <v>6155</v>
      </c>
      <c r="B4" t="s">
        <v>1227</v>
      </c>
      <c r="C4" t="s">
        <v>1228</v>
      </c>
      <c r="D4">
        <v>1298</v>
      </c>
      <c r="E4" t="s">
        <v>77</v>
      </c>
      <c r="F4" t="s">
        <v>1231</v>
      </c>
      <c r="G4" t="s">
        <v>1230</v>
      </c>
      <c r="H4" t="s">
        <v>1229</v>
      </c>
    </row>
    <row r="5" spans="1:9">
      <c r="A5" t="s">
        <v>6156</v>
      </c>
      <c r="B5" t="s">
        <v>1232</v>
      </c>
      <c r="C5" t="s">
        <v>1233</v>
      </c>
      <c r="D5">
        <v>1279</v>
      </c>
      <c r="E5" t="s">
        <v>104</v>
      </c>
      <c r="F5" t="s">
        <v>1234</v>
      </c>
      <c r="G5" t="s">
        <v>1236</v>
      </c>
      <c r="H5" t="s">
        <v>1235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D7FF-C090-384E-AB57-2D257F565327}">
  <dimension ref="A1:G99"/>
  <sheetViews>
    <sheetView workbookViewId="0">
      <selection activeCell="C18" sqref="C18"/>
    </sheetView>
  </sheetViews>
  <sheetFormatPr baseColWidth="10" defaultRowHeight="16"/>
  <cols>
    <col min="2" max="2" width="51.5" bestFit="1" customWidth="1"/>
    <col min="3" max="5" width="51.5" customWidth="1"/>
  </cols>
  <sheetData>
    <row r="1" spans="1:7">
      <c r="A1" s="2" t="s">
        <v>484</v>
      </c>
      <c r="B1" s="2" t="s">
        <v>7</v>
      </c>
      <c r="C1" s="2" t="s">
        <v>9</v>
      </c>
      <c r="D1" s="2" t="s">
        <v>2475</v>
      </c>
      <c r="E1" s="2" t="s">
        <v>485</v>
      </c>
      <c r="F1" s="2" t="s">
        <v>2298</v>
      </c>
      <c r="G1" s="2" t="s">
        <v>2299</v>
      </c>
    </row>
    <row r="2" spans="1:7">
      <c r="A2" t="s">
        <v>6159</v>
      </c>
      <c r="B2" t="s">
        <v>2355</v>
      </c>
      <c r="C2" t="s">
        <v>6158</v>
      </c>
      <c r="D2" t="s">
        <v>3793</v>
      </c>
      <c r="E2" t="s">
        <v>3793</v>
      </c>
      <c r="G2" s="5" t="s">
        <v>2356</v>
      </c>
    </row>
    <row r="3" spans="1:7">
      <c r="A3">
        <v>1286</v>
      </c>
      <c r="B3" t="s">
        <v>5800</v>
      </c>
      <c r="D3" t="s">
        <v>5802</v>
      </c>
      <c r="E3" t="s">
        <v>6004</v>
      </c>
    </row>
    <row r="4" spans="1:7">
      <c r="A4">
        <v>1236</v>
      </c>
      <c r="B4" t="s">
        <v>5798</v>
      </c>
      <c r="D4" t="s">
        <v>5795</v>
      </c>
      <c r="E4" t="s">
        <v>5830</v>
      </c>
    </row>
    <row r="5" spans="1:7">
      <c r="A5" t="s">
        <v>5796</v>
      </c>
      <c r="B5" t="s">
        <v>5799</v>
      </c>
      <c r="C5" t="s">
        <v>5801</v>
      </c>
      <c r="D5" t="s">
        <v>5797</v>
      </c>
      <c r="E5" t="s">
        <v>6003</v>
      </c>
    </row>
    <row r="6" spans="1:7">
      <c r="A6" s="4" t="s">
        <v>5819</v>
      </c>
      <c r="B6" t="s">
        <v>5831</v>
      </c>
      <c r="D6" s="4" t="s">
        <v>5891</v>
      </c>
      <c r="E6" t="s">
        <v>5947</v>
      </c>
    </row>
    <row r="7" spans="1:7">
      <c r="A7" s="4" t="s">
        <v>4375</v>
      </c>
      <c r="B7" t="s">
        <v>5832</v>
      </c>
      <c r="D7" s="4" t="s">
        <v>5892</v>
      </c>
      <c r="E7" s="13" t="s">
        <v>6001</v>
      </c>
    </row>
    <row r="8" spans="1:7">
      <c r="A8" s="4">
        <v>1279</v>
      </c>
      <c r="B8" t="s">
        <v>5833</v>
      </c>
      <c r="D8" s="4" t="s">
        <v>5893</v>
      </c>
      <c r="E8" t="s">
        <v>5948</v>
      </c>
    </row>
    <row r="9" spans="1:7">
      <c r="A9" s="4" t="s">
        <v>5815</v>
      </c>
      <c r="B9" t="s">
        <v>5834</v>
      </c>
      <c r="C9" t="s">
        <v>5835</v>
      </c>
      <c r="D9" s="4" t="s">
        <v>5894</v>
      </c>
      <c r="E9" t="s">
        <v>5949</v>
      </c>
    </row>
    <row r="10" spans="1:7">
      <c r="A10" s="4">
        <v>911</v>
      </c>
      <c r="B10" t="s">
        <v>5836</v>
      </c>
      <c r="D10" s="4" t="s">
        <v>5895</v>
      </c>
      <c r="E10" t="s">
        <v>6002</v>
      </c>
    </row>
    <row r="11" spans="1:7">
      <c r="A11" s="4" t="s">
        <v>5814</v>
      </c>
      <c r="B11" t="s">
        <v>5837</v>
      </c>
      <c r="D11" s="4" t="s">
        <v>5895</v>
      </c>
      <c r="E11" t="s">
        <v>6002</v>
      </c>
    </row>
    <row r="12" spans="1:7">
      <c r="A12" s="4">
        <v>1285</v>
      </c>
      <c r="B12" t="s">
        <v>5838</v>
      </c>
      <c r="D12" s="4" t="s">
        <v>5896</v>
      </c>
      <c r="E12" t="s">
        <v>5950</v>
      </c>
    </row>
    <row r="13" spans="1:7">
      <c r="A13" s="4">
        <v>1289</v>
      </c>
      <c r="B13" t="s">
        <v>5839</v>
      </c>
      <c r="D13" s="4" t="s">
        <v>5897</v>
      </c>
      <c r="E13" t="s">
        <v>5951</v>
      </c>
    </row>
    <row r="14" spans="1:7">
      <c r="A14">
        <v>1290</v>
      </c>
      <c r="B14" t="s">
        <v>6012</v>
      </c>
      <c r="C14" t="s">
        <v>6161</v>
      </c>
      <c r="D14" s="4" t="s">
        <v>3793</v>
      </c>
      <c r="E14" s="4" t="s">
        <v>3793</v>
      </c>
      <c r="G14" s="5" t="s">
        <v>2361</v>
      </c>
    </row>
    <row r="15" spans="1:7">
      <c r="A15">
        <v>1004</v>
      </c>
      <c r="B15" t="s">
        <v>5829</v>
      </c>
      <c r="C15" t="s">
        <v>6160</v>
      </c>
      <c r="D15" s="4" t="s">
        <v>5890</v>
      </c>
      <c r="E15" t="s">
        <v>5946</v>
      </c>
      <c r="F15" s="5" t="s">
        <v>2300</v>
      </c>
      <c r="G15" s="5" t="s">
        <v>2301</v>
      </c>
    </row>
    <row r="16" spans="1:7">
      <c r="A16" s="4">
        <v>1280</v>
      </c>
      <c r="B16" t="s">
        <v>5841</v>
      </c>
      <c r="D16" s="4" t="s">
        <v>5899</v>
      </c>
      <c r="E16" t="s">
        <v>5953</v>
      </c>
      <c r="G16" t="s">
        <v>2357</v>
      </c>
    </row>
    <row r="17" spans="1:7">
      <c r="A17" s="4">
        <v>1071</v>
      </c>
      <c r="B17" t="s">
        <v>5840</v>
      </c>
      <c r="D17" s="4" t="s">
        <v>5898</v>
      </c>
      <c r="E17" t="s">
        <v>5952</v>
      </c>
      <c r="G17" t="s">
        <v>2302</v>
      </c>
    </row>
    <row r="18" spans="1:7">
      <c r="A18" s="4" t="s">
        <v>5816</v>
      </c>
      <c r="B18" t="s">
        <v>5842</v>
      </c>
      <c r="D18" s="4" t="s">
        <v>5900</v>
      </c>
      <c r="E18" t="s">
        <v>5954</v>
      </c>
    </row>
    <row r="19" spans="1:7">
      <c r="A19" s="4" t="s">
        <v>5816</v>
      </c>
      <c r="B19" t="s">
        <v>5843</v>
      </c>
      <c r="D19" t="s">
        <v>5901</v>
      </c>
      <c r="E19" t="s">
        <v>5955</v>
      </c>
    </row>
    <row r="20" spans="1:7">
      <c r="A20" s="4" t="s">
        <v>5816</v>
      </c>
      <c r="B20" t="s">
        <v>5844</v>
      </c>
      <c r="D20" t="s">
        <v>5902</v>
      </c>
      <c r="E20" t="s">
        <v>5956</v>
      </c>
    </row>
    <row r="21" spans="1:7">
      <c r="A21" s="4">
        <v>1288</v>
      </c>
      <c r="B21" t="s">
        <v>5845</v>
      </c>
      <c r="D21" s="4" t="s">
        <v>5903</v>
      </c>
      <c r="E21" t="s">
        <v>5957</v>
      </c>
      <c r="G21" t="s">
        <v>2358</v>
      </c>
    </row>
    <row r="22" spans="1:7">
      <c r="A22" s="4" t="s">
        <v>5816</v>
      </c>
      <c r="B22" t="s">
        <v>5885</v>
      </c>
      <c r="D22" t="s">
        <v>5941</v>
      </c>
      <c r="E22" t="s">
        <v>5996</v>
      </c>
    </row>
    <row r="23" spans="1:7">
      <c r="A23" s="4" t="s">
        <v>5816</v>
      </c>
      <c r="B23" t="s">
        <v>5886</v>
      </c>
      <c r="D23" t="s">
        <v>5942</v>
      </c>
      <c r="E23" t="s">
        <v>5997</v>
      </c>
    </row>
    <row r="24" spans="1:7">
      <c r="A24" s="4" t="s">
        <v>5816</v>
      </c>
      <c r="B24" t="s">
        <v>5887</v>
      </c>
      <c r="D24" t="s">
        <v>5943</v>
      </c>
      <c r="E24" t="s">
        <v>5998</v>
      </c>
    </row>
    <row r="25" spans="1:7">
      <c r="A25" s="4" t="s">
        <v>5816</v>
      </c>
      <c r="B25" t="s">
        <v>5888</v>
      </c>
      <c r="D25" t="s">
        <v>5944</v>
      </c>
      <c r="E25" t="s">
        <v>5999</v>
      </c>
    </row>
    <row r="26" spans="1:7">
      <c r="A26" s="4" t="s">
        <v>5816</v>
      </c>
      <c r="B26" t="s">
        <v>5879</v>
      </c>
      <c r="D26" t="s">
        <v>5936</v>
      </c>
      <c r="E26" t="s">
        <v>5991</v>
      </c>
    </row>
    <row r="27" spans="1:7">
      <c r="A27" s="4">
        <v>1301</v>
      </c>
      <c r="B27" t="s">
        <v>5880</v>
      </c>
      <c r="D27" s="4" t="s">
        <v>5937</v>
      </c>
      <c r="E27" t="s">
        <v>5992</v>
      </c>
    </row>
    <row r="28" spans="1:7">
      <c r="A28" s="4" t="s">
        <v>5881</v>
      </c>
      <c r="B28" t="s">
        <v>5882</v>
      </c>
      <c r="D28" s="4" t="s">
        <v>5938</v>
      </c>
      <c r="E28" t="s">
        <v>5993</v>
      </c>
    </row>
    <row r="29" spans="1:7">
      <c r="A29" s="4" t="s">
        <v>5816</v>
      </c>
      <c r="B29" t="s">
        <v>5878</v>
      </c>
      <c r="D29" t="s">
        <v>5908</v>
      </c>
      <c r="E29" t="s">
        <v>5963</v>
      </c>
    </row>
    <row r="30" spans="1:7">
      <c r="A30" s="4" t="s">
        <v>5816</v>
      </c>
      <c r="B30" t="s">
        <v>5848</v>
      </c>
      <c r="D30" t="s">
        <v>5909</v>
      </c>
      <c r="E30" t="s">
        <v>5964</v>
      </c>
    </row>
    <row r="31" spans="1:7">
      <c r="A31" s="4" t="s">
        <v>5816</v>
      </c>
      <c r="B31" t="s">
        <v>5883</v>
      </c>
      <c r="D31" t="s">
        <v>5939</v>
      </c>
      <c r="E31" t="s">
        <v>5994</v>
      </c>
    </row>
    <row r="32" spans="1:7">
      <c r="A32" s="4" t="s">
        <v>5818</v>
      </c>
      <c r="B32" t="s">
        <v>5849</v>
      </c>
      <c r="D32" s="4" t="s">
        <v>5910</v>
      </c>
      <c r="E32" t="s">
        <v>5965</v>
      </c>
    </row>
    <row r="33" spans="1:5">
      <c r="A33" s="4" t="s">
        <v>5816</v>
      </c>
      <c r="B33" t="s">
        <v>5884</v>
      </c>
      <c r="D33" t="s">
        <v>5940</v>
      </c>
      <c r="E33" t="s">
        <v>5995</v>
      </c>
    </row>
    <row r="34" spans="1:5">
      <c r="A34" s="4" t="s">
        <v>5816</v>
      </c>
      <c r="B34" t="s">
        <v>5850</v>
      </c>
      <c r="D34" t="s">
        <v>5911</v>
      </c>
      <c r="E34" t="s">
        <v>5966</v>
      </c>
    </row>
    <row r="35" spans="1:5">
      <c r="A35" s="4" t="s">
        <v>5816</v>
      </c>
      <c r="B35" t="s">
        <v>5851</v>
      </c>
      <c r="D35" t="s">
        <v>5912</v>
      </c>
      <c r="E35" t="s">
        <v>5967</v>
      </c>
    </row>
    <row r="36" spans="1:5">
      <c r="A36" s="4" t="s">
        <v>5816</v>
      </c>
      <c r="B36" t="s">
        <v>5852</v>
      </c>
      <c r="D36" t="s">
        <v>5913</v>
      </c>
      <c r="E36" t="s">
        <v>5968</v>
      </c>
    </row>
    <row r="37" spans="1:5">
      <c r="A37" s="4" t="s">
        <v>5816</v>
      </c>
      <c r="B37" t="s">
        <v>5853</v>
      </c>
      <c r="D37" t="s">
        <v>5914</v>
      </c>
      <c r="E37" t="s">
        <v>5969</v>
      </c>
    </row>
    <row r="38" spans="1:5">
      <c r="A38" s="4" t="s">
        <v>5816</v>
      </c>
      <c r="B38" t="s">
        <v>5854</v>
      </c>
      <c r="D38" t="s">
        <v>5915</v>
      </c>
      <c r="E38" t="s">
        <v>5970</v>
      </c>
    </row>
    <row r="39" spans="1:5">
      <c r="A39" s="4" t="s">
        <v>5816</v>
      </c>
      <c r="B39" t="s">
        <v>5855</v>
      </c>
      <c r="D39" t="s">
        <v>5916</v>
      </c>
      <c r="E39" t="s">
        <v>5971</v>
      </c>
    </row>
    <row r="40" spans="1:5">
      <c r="A40" s="4" t="s">
        <v>5816</v>
      </c>
      <c r="B40" t="s">
        <v>5856</v>
      </c>
      <c r="D40" t="s">
        <v>5917</v>
      </c>
      <c r="E40" t="s">
        <v>5972</v>
      </c>
    </row>
    <row r="41" spans="1:5">
      <c r="A41" s="4" t="s">
        <v>5816</v>
      </c>
      <c r="B41" t="s">
        <v>5857</v>
      </c>
      <c r="D41" t="s">
        <v>5918</v>
      </c>
      <c r="E41" t="s">
        <v>5973</v>
      </c>
    </row>
    <row r="42" spans="1:5">
      <c r="A42" s="4" t="s">
        <v>5816</v>
      </c>
      <c r="B42" t="s">
        <v>5846</v>
      </c>
      <c r="D42" t="s">
        <v>5904</v>
      </c>
      <c r="E42" t="s">
        <v>5958</v>
      </c>
    </row>
    <row r="43" spans="1:5">
      <c r="A43" s="4" t="s">
        <v>5816</v>
      </c>
      <c r="B43" t="s">
        <v>5858</v>
      </c>
      <c r="D43" t="s">
        <v>5919</v>
      </c>
      <c r="E43" t="s">
        <v>5974</v>
      </c>
    </row>
    <row r="44" spans="1:5">
      <c r="A44" s="4" t="s">
        <v>5817</v>
      </c>
      <c r="B44" t="s">
        <v>5859</v>
      </c>
      <c r="D44" s="4" t="s">
        <v>5920</v>
      </c>
      <c r="E44" t="s">
        <v>5975</v>
      </c>
    </row>
    <row r="45" spans="1:5">
      <c r="A45" s="4" t="s">
        <v>5817</v>
      </c>
      <c r="B45" t="s">
        <v>5860</v>
      </c>
      <c r="D45" t="s">
        <v>5921</v>
      </c>
      <c r="E45" t="s">
        <v>5976</v>
      </c>
    </row>
    <row r="46" spans="1:5">
      <c r="A46" s="4" t="s">
        <v>207</v>
      </c>
      <c r="B46" t="s">
        <v>5861</v>
      </c>
      <c r="D46" s="4" t="s">
        <v>5922</v>
      </c>
      <c r="E46" t="s">
        <v>5977</v>
      </c>
    </row>
    <row r="47" spans="1:5">
      <c r="A47" s="4" t="s">
        <v>5816</v>
      </c>
      <c r="B47" t="s">
        <v>5876</v>
      </c>
      <c r="D47" t="s">
        <v>5905</v>
      </c>
      <c r="E47" t="s">
        <v>5960</v>
      </c>
    </row>
    <row r="48" spans="1:5">
      <c r="A48" s="4" t="s">
        <v>5816</v>
      </c>
      <c r="B48" t="s">
        <v>5875</v>
      </c>
      <c r="D48" t="s">
        <v>5905</v>
      </c>
      <c r="E48" t="s">
        <v>5959</v>
      </c>
    </row>
    <row r="49" spans="1:7">
      <c r="A49" s="4" t="s">
        <v>5816</v>
      </c>
      <c r="B49" t="s">
        <v>5862</v>
      </c>
      <c r="D49" t="s">
        <v>5923</v>
      </c>
      <c r="E49" t="s">
        <v>5978</v>
      </c>
    </row>
    <row r="50" spans="1:7">
      <c r="A50" s="4" t="s">
        <v>5816</v>
      </c>
      <c r="B50" t="s">
        <v>5863</v>
      </c>
      <c r="D50" t="s">
        <v>5924</v>
      </c>
      <c r="E50" t="s">
        <v>5979</v>
      </c>
    </row>
    <row r="51" spans="1:7">
      <c r="A51" s="4" t="s">
        <v>5816</v>
      </c>
      <c r="B51" t="s">
        <v>5864</v>
      </c>
      <c r="D51" t="s">
        <v>5925</v>
      </c>
      <c r="E51" t="s">
        <v>5980</v>
      </c>
    </row>
    <row r="52" spans="1:7">
      <c r="A52" s="4" t="s">
        <v>5816</v>
      </c>
      <c r="B52" t="s">
        <v>5865</v>
      </c>
      <c r="D52" t="s">
        <v>5926</v>
      </c>
      <c r="E52" t="s">
        <v>5981</v>
      </c>
    </row>
    <row r="53" spans="1:7">
      <c r="A53" s="4" t="s">
        <v>5816</v>
      </c>
      <c r="B53" t="s">
        <v>5847</v>
      </c>
      <c r="D53" t="s">
        <v>5906</v>
      </c>
      <c r="E53" t="s">
        <v>5961</v>
      </c>
    </row>
    <row r="54" spans="1:7">
      <c r="A54" s="4" t="s">
        <v>5816</v>
      </c>
      <c r="B54" t="s">
        <v>5866</v>
      </c>
      <c r="D54" t="s">
        <v>5927</v>
      </c>
      <c r="E54" t="s">
        <v>5982</v>
      </c>
    </row>
    <row r="55" spans="1:7">
      <c r="A55" s="4" t="s">
        <v>5816</v>
      </c>
      <c r="B55" t="s">
        <v>5867</v>
      </c>
      <c r="D55" t="s">
        <v>5928</v>
      </c>
      <c r="E55" t="s">
        <v>5983</v>
      </c>
    </row>
    <row r="56" spans="1:7">
      <c r="A56" s="4" t="s">
        <v>5820</v>
      </c>
      <c r="B56" t="s">
        <v>5868</v>
      </c>
      <c r="D56" s="4" t="s">
        <v>5929</v>
      </c>
      <c r="E56" t="s">
        <v>5984</v>
      </c>
    </row>
    <row r="57" spans="1:7">
      <c r="A57" s="4" t="s">
        <v>5817</v>
      </c>
      <c r="B57" t="s">
        <v>5869</v>
      </c>
      <c r="D57" t="s">
        <v>5930</v>
      </c>
      <c r="E57" t="s">
        <v>5985</v>
      </c>
    </row>
    <row r="58" spans="1:7">
      <c r="A58" s="4" t="s">
        <v>5822</v>
      </c>
      <c r="B58" t="s">
        <v>5870</v>
      </c>
      <c r="D58" s="4" t="s">
        <v>5931</v>
      </c>
      <c r="E58" t="s">
        <v>5986</v>
      </c>
    </row>
    <row r="59" spans="1:7">
      <c r="A59" s="4" t="s">
        <v>5816</v>
      </c>
      <c r="B59" t="s">
        <v>5871</v>
      </c>
      <c r="D59" t="s">
        <v>5932</v>
      </c>
      <c r="E59" t="s">
        <v>5987</v>
      </c>
    </row>
    <row r="60" spans="1:7">
      <c r="A60" s="4">
        <v>1277</v>
      </c>
      <c r="B60" t="s">
        <v>5872</v>
      </c>
      <c r="D60" s="4" t="s">
        <v>5933</v>
      </c>
      <c r="E60" t="s">
        <v>5988</v>
      </c>
    </row>
    <row r="61" spans="1:7">
      <c r="A61" s="4" t="s">
        <v>5816</v>
      </c>
      <c r="B61" t="s">
        <v>5873</v>
      </c>
      <c r="D61" t="s">
        <v>5934</v>
      </c>
      <c r="E61" t="s">
        <v>5989</v>
      </c>
    </row>
    <row r="62" spans="1:7">
      <c r="A62" s="4" t="s">
        <v>5816</v>
      </c>
      <c r="B62" t="s">
        <v>5874</v>
      </c>
      <c r="D62" t="s">
        <v>5935</v>
      </c>
      <c r="E62" t="s">
        <v>5990</v>
      </c>
    </row>
    <row r="63" spans="1:7">
      <c r="A63" s="4" t="s">
        <v>5111</v>
      </c>
      <c r="B63" t="s">
        <v>5877</v>
      </c>
      <c r="D63" s="4" t="s">
        <v>5907</v>
      </c>
      <c r="E63" t="s">
        <v>5962</v>
      </c>
    </row>
    <row r="64" spans="1:7">
      <c r="A64" t="s">
        <v>6162</v>
      </c>
      <c r="B64" t="s">
        <v>6013</v>
      </c>
      <c r="C64" t="s">
        <v>6158</v>
      </c>
      <c r="D64" t="s">
        <v>3793</v>
      </c>
      <c r="E64" t="s">
        <v>3793</v>
      </c>
      <c r="G64" t="s">
        <v>2354</v>
      </c>
    </row>
    <row r="65" spans="1:7">
      <c r="A65" s="4" t="s">
        <v>5821</v>
      </c>
      <c r="B65" t="s">
        <v>5889</v>
      </c>
      <c r="D65" s="4" t="s">
        <v>5945</v>
      </c>
      <c r="E65" t="s">
        <v>6000</v>
      </c>
    </row>
    <row r="66" spans="1:7">
      <c r="A66" t="s">
        <v>6163</v>
      </c>
      <c r="B66" t="s">
        <v>2350</v>
      </c>
      <c r="C66" t="s">
        <v>5813</v>
      </c>
      <c r="D66" t="s">
        <v>3793</v>
      </c>
      <c r="E66" t="s">
        <v>3793</v>
      </c>
      <c r="G66" t="s">
        <v>2351</v>
      </c>
    </row>
    <row r="67" spans="1:7">
      <c r="A67" t="s">
        <v>6163</v>
      </c>
      <c r="B67" t="s">
        <v>2352</v>
      </c>
      <c r="C67" t="s">
        <v>5813</v>
      </c>
      <c r="D67" t="s">
        <v>3793</v>
      </c>
      <c r="E67" t="s">
        <v>3793</v>
      </c>
      <c r="G67" t="s">
        <v>2353</v>
      </c>
    </row>
    <row r="68" spans="1:7">
      <c r="A68" t="s">
        <v>6163</v>
      </c>
      <c r="B68" t="s">
        <v>2309</v>
      </c>
      <c r="C68" t="s">
        <v>5813</v>
      </c>
      <c r="D68" t="s">
        <v>3793</v>
      </c>
      <c r="E68" t="s">
        <v>3793</v>
      </c>
      <c r="G68" t="s">
        <v>2310</v>
      </c>
    </row>
    <row r="69" spans="1:7">
      <c r="A69" t="s">
        <v>6163</v>
      </c>
      <c r="B69" t="s">
        <v>2303</v>
      </c>
      <c r="C69" t="s">
        <v>5813</v>
      </c>
      <c r="D69" t="s">
        <v>3793</v>
      </c>
      <c r="E69" t="s">
        <v>3793</v>
      </c>
      <c r="G69" s="5" t="s">
        <v>2304</v>
      </c>
    </row>
    <row r="70" spans="1:7">
      <c r="A70" t="s">
        <v>6163</v>
      </c>
      <c r="B70" t="s">
        <v>2311</v>
      </c>
      <c r="C70" t="s">
        <v>6164</v>
      </c>
      <c r="D70" t="s">
        <v>3793</v>
      </c>
      <c r="E70" t="s">
        <v>3793</v>
      </c>
      <c r="G70" t="s">
        <v>2312</v>
      </c>
    </row>
    <row r="71" spans="1:7">
      <c r="A71" t="s">
        <v>6163</v>
      </c>
      <c r="B71" t="s">
        <v>2313</v>
      </c>
      <c r="C71" t="s">
        <v>6164</v>
      </c>
      <c r="D71" t="s">
        <v>3793</v>
      </c>
      <c r="E71" t="s">
        <v>3793</v>
      </c>
      <c r="G71" t="s">
        <v>2314</v>
      </c>
    </row>
    <row r="72" spans="1:7">
      <c r="A72" t="s">
        <v>6163</v>
      </c>
      <c r="B72" t="s">
        <v>2315</v>
      </c>
      <c r="C72" t="s">
        <v>6164</v>
      </c>
      <c r="D72" t="s">
        <v>3793</v>
      </c>
      <c r="E72" t="s">
        <v>3793</v>
      </c>
      <c r="G72" t="s">
        <v>2316</v>
      </c>
    </row>
    <row r="73" spans="1:7">
      <c r="A73" t="s">
        <v>6163</v>
      </c>
      <c r="B73" t="s">
        <v>2317</v>
      </c>
      <c r="C73" t="s">
        <v>6164</v>
      </c>
      <c r="D73" t="s">
        <v>3793</v>
      </c>
      <c r="E73" t="s">
        <v>3793</v>
      </c>
      <c r="G73" s="5" t="s">
        <v>2318</v>
      </c>
    </row>
    <row r="74" spans="1:7">
      <c r="A74" t="s">
        <v>6163</v>
      </c>
      <c r="B74" t="s">
        <v>2319</v>
      </c>
      <c r="C74" t="s">
        <v>6164</v>
      </c>
      <c r="D74" t="s">
        <v>3793</v>
      </c>
      <c r="E74" t="s">
        <v>3793</v>
      </c>
      <c r="G74" t="str">
        <f>"https://www.e-codices.unifr.ch/en/searchresult/list/one/sbs/min00"&amp;F74</f>
        <v>https://www.e-codices.unifr.ch/en/searchresult/list/one/sbs/min00</v>
      </c>
    </row>
    <row r="75" spans="1:7">
      <c r="A75" t="s">
        <v>6163</v>
      </c>
      <c r="B75" t="s">
        <v>2320</v>
      </c>
      <c r="C75" t="s">
        <v>6164</v>
      </c>
      <c r="D75" t="s">
        <v>3793</v>
      </c>
      <c r="E75" t="s">
        <v>3793</v>
      </c>
      <c r="G75" t="s">
        <v>2321</v>
      </c>
    </row>
    <row r="76" spans="1:7">
      <c r="A76" t="s">
        <v>6163</v>
      </c>
      <c r="B76" t="s">
        <v>2305</v>
      </c>
      <c r="C76" t="s">
        <v>5813</v>
      </c>
      <c r="D76" t="s">
        <v>3793</v>
      </c>
      <c r="E76" t="s">
        <v>3793</v>
      </c>
      <c r="G76" t="s">
        <v>2306</v>
      </c>
    </row>
    <row r="77" spans="1:7">
      <c r="A77" t="s">
        <v>6163</v>
      </c>
      <c r="B77" t="s">
        <v>2322</v>
      </c>
      <c r="C77" t="s">
        <v>6164</v>
      </c>
      <c r="D77" t="s">
        <v>3793</v>
      </c>
      <c r="E77" t="s">
        <v>3793</v>
      </c>
      <c r="G77" t="s">
        <v>2323</v>
      </c>
    </row>
    <row r="78" spans="1:7">
      <c r="A78" t="s">
        <v>6163</v>
      </c>
      <c r="B78" t="s">
        <v>2324</v>
      </c>
      <c r="C78" t="s">
        <v>6164</v>
      </c>
      <c r="D78" t="s">
        <v>3793</v>
      </c>
      <c r="E78" t="s">
        <v>3793</v>
      </c>
      <c r="G78" t="s">
        <v>2325</v>
      </c>
    </row>
    <row r="79" spans="1:7">
      <c r="A79" t="s">
        <v>6163</v>
      </c>
      <c r="B79" t="s">
        <v>2326</v>
      </c>
      <c r="C79" t="s">
        <v>6164</v>
      </c>
      <c r="D79" t="s">
        <v>3793</v>
      </c>
      <c r="E79" t="s">
        <v>3793</v>
      </c>
      <c r="G79" t="s">
        <v>2327</v>
      </c>
    </row>
    <row r="80" spans="1:7">
      <c r="A80" t="s">
        <v>6163</v>
      </c>
      <c r="B80" t="s">
        <v>2328</v>
      </c>
      <c r="C80" t="s">
        <v>6164</v>
      </c>
      <c r="D80" t="s">
        <v>3793</v>
      </c>
      <c r="E80" t="s">
        <v>3793</v>
      </c>
      <c r="G80" t="s">
        <v>2329</v>
      </c>
    </row>
    <row r="81" spans="1:7">
      <c r="A81" t="s">
        <v>6163</v>
      </c>
      <c r="B81" t="s">
        <v>2330</v>
      </c>
      <c r="C81" t="s">
        <v>6164</v>
      </c>
      <c r="D81" t="s">
        <v>3793</v>
      </c>
      <c r="E81" t="s">
        <v>3793</v>
      </c>
      <c r="G81" t="s">
        <v>2331</v>
      </c>
    </row>
    <row r="82" spans="1:7">
      <c r="A82" t="s">
        <v>6163</v>
      </c>
      <c r="B82" t="s">
        <v>2307</v>
      </c>
      <c r="C82" t="s">
        <v>6164</v>
      </c>
      <c r="D82" t="s">
        <v>3793</v>
      </c>
      <c r="E82" t="s">
        <v>3793</v>
      </c>
      <c r="G82" t="s">
        <v>2308</v>
      </c>
    </row>
    <row r="83" spans="1:7">
      <c r="A83" t="s">
        <v>6163</v>
      </c>
      <c r="B83" t="s">
        <v>2332</v>
      </c>
      <c r="C83" t="s">
        <v>6164</v>
      </c>
      <c r="D83" t="s">
        <v>3793</v>
      </c>
      <c r="E83" t="s">
        <v>3793</v>
      </c>
      <c r="G83" t="s">
        <v>2333</v>
      </c>
    </row>
    <row r="84" spans="1:7">
      <c r="A84" t="s">
        <v>6163</v>
      </c>
      <c r="B84" t="s">
        <v>2334</v>
      </c>
      <c r="C84" t="s">
        <v>6164</v>
      </c>
      <c r="D84" t="s">
        <v>3793</v>
      </c>
      <c r="E84" t="s">
        <v>3793</v>
      </c>
      <c r="G84" t="s">
        <v>2335</v>
      </c>
    </row>
    <row r="85" spans="1:7">
      <c r="A85" t="s">
        <v>6163</v>
      </c>
      <c r="B85" t="s">
        <v>2336</v>
      </c>
      <c r="C85" t="s">
        <v>6164</v>
      </c>
      <c r="D85" t="s">
        <v>3793</v>
      </c>
      <c r="E85" t="s">
        <v>3793</v>
      </c>
      <c r="G85" t="s">
        <v>2337</v>
      </c>
    </row>
    <row r="86" spans="1:7">
      <c r="A86" t="s">
        <v>6163</v>
      </c>
      <c r="B86" t="s">
        <v>2338</v>
      </c>
      <c r="C86" t="s">
        <v>5813</v>
      </c>
      <c r="D86" t="s">
        <v>3793</v>
      </c>
      <c r="E86" t="s">
        <v>3793</v>
      </c>
      <c r="G86" t="s">
        <v>2339</v>
      </c>
    </row>
    <row r="87" spans="1:7">
      <c r="A87" t="s">
        <v>6163</v>
      </c>
      <c r="B87" t="s">
        <v>2340</v>
      </c>
      <c r="C87" t="s">
        <v>5813</v>
      </c>
      <c r="D87" t="s">
        <v>3793</v>
      </c>
      <c r="E87" t="s">
        <v>3793</v>
      </c>
      <c r="G87" t="s">
        <v>2341</v>
      </c>
    </row>
    <row r="88" spans="1:7">
      <c r="A88" t="s">
        <v>6163</v>
      </c>
      <c r="B88" t="s">
        <v>2342</v>
      </c>
      <c r="C88" t="s">
        <v>5813</v>
      </c>
      <c r="D88" t="s">
        <v>3793</v>
      </c>
      <c r="E88" t="s">
        <v>3793</v>
      </c>
      <c r="G88" t="s">
        <v>2343</v>
      </c>
    </row>
    <row r="89" spans="1:7">
      <c r="A89" t="s">
        <v>6163</v>
      </c>
      <c r="B89" t="s">
        <v>2344</v>
      </c>
      <c r="C89" t="s">
        <v>5813</v>
      </c>
      <c r="D89" t="s">
        <v>3793</v>
      </c>
      <c r="E89" t="s">
        <v>3793</v>
      </c>
      <c r="G89" t="s">
        <v>2345</v>
      </c>
    </row>
    <row r="90" spans="1:7">
      <c r="A90" t="s">
        <v>6163</v>
      </c>
      <c r="B90" t="s">
        <v>2346</v>
      </c>
      <c r="C90" t="s">
        <v>5813</v>
      </c>
      <c r="D90" t="s">
        <v>3793</v>
      </c>
      <c r="E90" t="s">
        <v>3793</v>
      </c>
      <c r="G90" t="s">
        <v>2347</v>
      </c>
    </row>
    <row r="91" spans="1:7">
      <c r="A91" t="s">
        <v>6163</v>
      </c>
      <c r="B91" t="s">
        <v>2348</v>
      </c>
      <c r="C91" t="s">
        <v>5813</v>
      </c>
      <c r="D91" t="s">
        <v>3793</v>
      </c>
      <c r="E91" t="s">
        <v>3793</v>
      </c>
      <c r="G91" t="s">
        <v>2349</v>
      </c>
    </row>
    <row r="92" spans="1:7">
      <c r="A92" t="s">
        <v>5803</v>
      </c>
      <c r="B92" t="s">
        <v>5807</v>
      </c>
      <c r="C92" t="s">
        <v>5773</v>
      </c>
      <c r="D92" t="s">
        <v>5823</v>
      </c>
      <c r="E92" t="s">
        <v>6006</v>
      </c>
    </row>
    <row r="93" spans="1:7">
      <c r="A93">
        <v>1303</v>
      </c>
      <c r="B93" t="s">
        <v>5805</v>
      </c>
      <c r="C93" t="s">
        <v>5806</v>
      </c>
      <c r="D93" t="s">
        <v>5828</v>
      </c>
      <c r="E93" t="s">
        <v>6005</v>
      </c>
    </row>
    <row r="94" spans="1:7">
      <c r="A94">
        <v>1288</v>
      </c>
      <c r="B94" t="s">
        <v>2359</v>
      </c>
      <c r="C94" t="s">
        <v>6165</v>
      </c>
      <c r="D94" t="s">
        <v>3793</v>
      </c>
      <c r="E94" t="s">
        <v>3793</v>
      </c>
      <c r="G94" t="s">
        <v>2360</v>
      </c>
    </row>
    <row r="95" spans="1:7">
      <c r="A95">
        <v>1260</v>
      </c>
      <c r="B95" t="s">
        <v>5808</v>
      </c>
      <c r="D95" t="s">
        <v>5826</v>
      </c>
      <c r="E95" t="s">
        <v>6007</v>
      </c>
    </row>
    <row r="96" spans="1:7">
      <c r="A96">
        <v>1273</v>
      </c>
      <c r="B96" t="s">
        <v>5810</v>
      </c>
      <c r="C96" t="s">
        <v>5811</v>
      </c>
      <c r="D96" t="s">
        <v>5827</v>
      </c>
      <c r="E96" t="s">
        <v>6009</v>
      </c>
    </row>
    <row r="97" spans="1:7">
      <c r="A97" t="s">
        <v>5804</v>
      </c>
      <c r="B97" t="s">
        <v>5809</v>
      </c>
      <c r="D97" t="s">
        <v>5825</v>
      </c>
      <c r="E97" t="s">
        <v>6008</v>
      </c>
    </row>
    <row r="98" spans="1:7">
      <c r="A98">
        <v>1292</v>
      </c>
      <c r="B98" t="s">
        <v>6011</v>
      </c>
      <c r="C98" t="s">
        <v>6166</v>
      </c>
      <c r="D98" t="s">
        <v>3793</v>
      </c>
      <c r="E98" t="s">
        <v>3793</v>
      </c>
      <c r="G98" t="s">
        <v>2362</v>
      </c>
    </row>
    <row r="99" spans="1:7">
      <c r="A99">
        <v>1253</v>
      </c>
      <c r="B99" t="s">
        <v>5812</v>
      </c>
      <c r="C99" t="s">
        <v>5813</v>
      </c>
      <c r="D99" t="s">
        <v>5824</v>
      </c>
      <c r="E99" t="s">
        <v>6010</v>
      </c>
    </row>
  </sheetData>
  <sortState xmlns:xlrd2="http://schemas.microsoft.com/office/spreadsheetml/2017/richdata2" ref="A2:G100">
    <sortCondition ref="B15:B100"/>
  </sortState>
  <hyperlinks>
    <hyperlink ref="F15" r:id="rId1" xr:uid="{9FFBD0F2-44E5-3445-8E26-90080A1A2282}"/>
    <hyperlink ref="G15" r:id="rId2" xr:uid="{9DF76E68-81D4-DF42-A13D-C62FCE54F94C}"/>
    <hyperlink ref="G69" r:id="rId3" xr:uid="{F25D5ECD-BC25-0642-A7C5-344069DC646E}"/>
    <hyperlink ref="G73" r:id="rId4" xr:uid="{C8B3FA9C-6CC7-824F-ACC4-B040AA6CE8BE}"/>
    <hyperlink ref="G2" r:id="rId5" xr:uid="{A9E09683-0DE7-2B4E-A7A2-F88D735FD94D}"/>
    <hyperlink ref="G14" r:id="rId6" xr:uid="{0C40B8FA-DFC2-9E4B-981E-FC559944C78E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9F19D-40E2-9948-AE82-494D25ACCA74}">
  <dimension ref="A1:G89"/>
  <sheetViews>
    <sheetView topLeftCell="A74" workbookViewId="0">
      <selection activeCell="D24" sqref="D24"/>
    </sheetView>
  </sheetViews>
  <sheetFormatPr baseColWidth="10" defaultRowHeight="16"/>
  <cols>
    <col min="1" max="1" width="69.1640625" customWidth="1"/>
    <col min="2" max="2" width="18.5" customWidth="1"/>
    <col min="4" max="5" width="32.33203125" customWidth="1"/>
  </cols>
  <sheetData>
    <row r="1" spans="1:7" s="2" customFormat="1">
      <c r="A1" s="2" t="s">
        <v>7</v>
      </c>
      <c r="B1" s="2" t="s">
        <v>9</v>
      </c>
      <c r="C1" s="2" t="s">
        <v>484</v>
      </c>
      <c r="D1" s="2" t="s">
        <v>2475</v>
      </c>
      <c r="E1" s="2" t="s">
        <v>485</v>
      </c>
      <c r="F1" s="2" t="s">
        <v>1214</v>
      </c>
      <c r="G1" s="2" t="s">
        <v>2298</v>
      </c>
    </row>
    <row r="2" spans="1:7">
      <c r="A2" t="s">
        <v>2363</v>
      </c>
      <c r="C2">
        <v>1072</v>
      </c>
      <c r="G2" t="s">
        <v>2364</v>
      </c>
    </row>
    <row r="3" spans="1:7">
      <c r="A3" t="s">
        <v>2450</v>
      </c>
      <c r="C3">
        <v>1227</v>
      </c>
      <c r="F3" t="s">
        <v>2451</v>
      </c>
    </row>
    <row r="4" spans="1:7">
      <c r="A4" t="s">
        <v>2452</v>
      </c>
      <c r="C4" t="s">
        <v>4541</v>
      </c>
      <c r="F4" t="s">
        <v>2453</v>
      </c>
    </row>
    <row r="5" spans="1:7">
      <c r="A5" t="s">
        <v>2454</v>
      </c>
      <c r="C5" t="s">
        <v>6169</v>
      </c>
      <c r="F5" s="5" t="s">
        <v>2455</v>
      </c>
    </row>
    <row r="6" spans="1:7">
      <c r="A6" t="s">
        <v>2456</v>
      </c>
      <c r="C6">
        <v>1280</v>
      </c>
      <c r="F6" s="5" t="s">
        <v>2457</v>
      </c>
    </row>
    <row r="7" spans="1:7">
      <c r="A7" t="s">
        <v>2458</v>
      </c>
      <c r="C7">
        <v>1295</v>
      </c>
      <c r="F7" s="5" t="s">
        <v>2459</v>
      </c>
    </row>
    <row r="8" spans="1:7">
      <c r="A8" t="s">
        <v>2460</v>
      </c>
      <c r="C8">
        <v>1295</v>
      </c>
      <c r="F8" s="5" t="s">
        <v>2461</v>
      </c>
    </row>
    <row r="9" spans="1:7">
      <c r="A9" t="s">
        <v>2462</v>
      </c>
      <c r="C9">
        <v>1005</v>
      </c>
      <c r="F9" s="5" t="s">
        <v>2463</v>
      </c>
    </row>
    <row r="10" spans="1:7">
      <c r="A10" t="s">
        <v>2753</v>
      </c>
      <c r="C10">
        <v>1152</v>
      </c>
      <c r="D10" t="s">
        <v>2754</v>
      </c>
      <c r="E10" t="s">
        <v>2801</v>
      </c>
    </row>
    <row r="11" spans="1:7">
      <c r="A11" t="s">
        <v>2766</v>
      </c>
      <c r="C11">
        <v>1180</v>
      </c>
      <c r="D11" t="s">
        <v>2755</v>
      </c>
      <c r="E11" t="s">
        <v>2802</v>
      </c>
    </row>
    <row r="12" spans="1:7">
      <c r="A12" t="s">
        <v>2767</v>
      </c>
      <c r="B12" t="s">
        <v>2756</v>
      </c>
      <c r="C12">
        <v>1199</v>
      </c>
      <c r="D12" t="s">
        <v>2777</v>
      </c>
      <c r="E12" t="s">
        <v>2803</v>
      </c>
    </row>
    <row r="13" spans="1:7">
      <c r="A13" t="s">
        <v>2768</v>
      </c>
      <c r="B13" t="s">
        <v>2758</v>
      </c>
      <c r="C13" t="s">
        <v>2757</v>
      </c>
      <c r="D13" t="s">
        <v>2777</v>
      </c>
      <c r="E13" t="s">
        <v>2804</v>
      </c>
    </row>
    <row r="14" spans="1:7">
      <c r="A14" t="s">
        <v>2769</v>
      </c>
      <c r="B14" t="s">
        <v>2760</v>
      </c>
      <c r="C14" t="s">
        <v>2759</v>
      </c>
      <c r="D14" t="s">
        <v>2778</v>
      </c>
      <c r="E14" t="s">
        <v>2805</v>
      </c>
    </row>
    <row r="15" spans="1:7">
      <c r="A15" t="s">
        <v>2799</v>
      </c>
      <c r="B15" t="s">
        <v>2761</v>
      </c>
      <c r="C15">
        <v>1203</v>
      </c>
      <c r="D15" t="s">
        <v>2779</v>
      </c>
      <c r="E15" t="s">
        <v>2806</v>
      </c>
    </row>
    <row r="16" spans="1:7">
      <c r="A16" t="s">
        <v>2798</v>
      </c>
      <c r="B16" t="s">
        <v>2761</v>
      </c>
      <c r="C16">
        <v>1243</v>
      </c>
      <c r="D16" t="s">
        <v>2779</v>
      </c>
      <c r="E16" t="s">
        <v>2807</v>
      </c>
    </row>
    <row r="17" spans="1:6">
      <c r="A17" t="s">
        <v>2770</v>
      </c>
      <c r="B17" t="s">
        <v>2761</v>
      </c>
      <c r="C17">
        <v>1254</v>
      </c>
      <c r="D17" t="s">
        <v>2779</v>
      </c>
      <c r="E17" t="s">
        <v>2808</v>
      </c>
    </row>
    <row r="18" spans="1:6">
      <c r="A18" t="s">
        <v>2771</v>
      </c>
      <c r="B18" t="s">
        <v>2762</v>
      </c>
      <c r="C18" t="s">
        <v>2800</v>
      </c>
      <c r="D18" t="s">
        <v>2780</v>
      </c>
      <c r="E18" t="s">
        <v>2809</v>
      </c>
    </row>
    <row r="19" spans="1:6">
      <c r="A19" t="s">
        <v>2772</v>
      </c>
      <c r="B19" t="s">
        <v>2763</v>
      </c>
      <c r="C19">
        <v>1268</v>
      </c>
      <c r="D19" t="s">
        <v>2781</v>
      </c>
      <c r="E19" t="s">
        <v>1444</v>
      </c>
    </row>
    <row r="20" spans="1:6">
      <c r="A20" t="s">
        <v>2773</v>
      </c>
      <c r="C20" t="s">
        <v>2764</v>
      </c>
      <c r="D20" t="s">
        <v>2781</v>
      </c>
      <c r="E20" t="s">
        <v>1444</v>
      </c>
    </row>
    <row r="21" spans="1:6">
      <c r="A21" t="s">
        <v>2774</v>
      </c>
      <c r="B21" t="s">
        <v>2765</v>
      </c>
      <c r="C21">
        <v>1291</v>
      </c>
      <c r="D21" t="s">
        <v>2782</v>
      </c>
      <c r="E21" t="s">
        <v>2810</v>
      </c>
    </row>
    <row r="22" spans="1:6">
      <c r="A22" t="s">
        <v>2775</v>
      </c>
      <c r="B22" t="s">
        <v>2761</v>
      </c>
      <c r="C22">
        <v>1303</v>
      </c>
      <c r="D22" t="s">
        <v>2783</v>
      </c>
      <c r="E22" t="s">
        <v>1444</v>
      </c>
      <c r="F22" t="str">
        <f>IF(E22&lt;&gt;"","Udine Tav "&amp;E22,"")</f>
        <v/>
      </c>
    </row>
    <row r="23" spans="1:6">
      <c r="A23" t="s">
        <v>2776</v>
      </c>
      <c r="B23" t="s">
        <v>2761</v>
      </c>
      <c r="C23">
        <v>1304</v>
      </c>
      <c r="D23" t="s">
        <v>2783</v>
      </c>
      <c r="E23" t="s">
        <v>1444</v>
      </c>
      <c r="F23" t="str">
        <f>IF(E23&lt;&gt;"","Udine Tav "&amp;E23,"")</f>
        <v/>
      </c>
    </row>
    <row r="24" spans="1:6">
      <c r="A24" t="s">
        <v>2784</v>
      </c>
      <c r="C24">
        <v>1263</v>
      </c>
      <c r="E24" t="s">
        <v>5768</v>
      </c>
    </row>
    <row r="25" spans="1:6">
      <c r="A25" t="s">
        <v>2785</v>
      </c>
      <c r="B25" t="s">
        <v>2787</v>
      </c>
      <c r="C25" t="s">
        <v>2786</v>
      </c>
      <c r="D25">
        <v>1</v>
      </c>
      <c r="E25" t="s">
        <v>2788</v>
      </c>
    </row>
    <row r="26" spans="1:6">
      <c r="A26" t="s">
        <v>2789</v>
      </c>
      <c r="B26" t="s">
        <v>2787</v>
      </c>
      <c r="C26">
        <v>1103</v>
      </c>
      <c r="D26">
        <v>2</v>
      </c>
      <c r="E26" t="s">
        <v>2790</v>
      </c>
    </row>
    <row r="27" spans="1:6">
      <c r="A27" t="s">
        <v>2791</v>
      </c>
      <c r="B27" t="s">
        <v>2787</v>
      </c>
      <c r="C27">
        <v>1132</v>
      </c>
      <c r="E27" t="s">
        <v>2820</v>
      </c>
    </row>
    <row r="28" spans="1:6">
      <c r="A28" t="s">
        <v>2794</v>
      </c>
      <c r="B28" t="s">
        <v>2792</v>
      </c>
      <c r="C28" t="s">
        <v>2793</v>
      </c>
      <c r="E28">
        <v>1</v>
      </c>
    </row>
    <row r="29" spans="1:6">
      <c r="A29" t="s">
        <v>2795</v>
      </c>
      <c r="B29" t="s">
        <v>2796</v>
      </c>
      <c r="C29" t="s">
        <v>2797</v>
      </c>
      <c r="E29">
        <v>3</v>
      </c>
    </row>
    <row r="30" spans="1:6">
      <c r="A30" t="s">
        <v>2811</v>
      </c>
      <c r="B30" t="s">
        <v>2812</v>
      </c>
      <c r="C30" t="s">
        <v>2813</v>
      </c>
      <c r="E30" t="s">
        <v>2819</v>
      </c>
    </row>
    <row r="31" spans="1:6">
      <c r="A31" t="s">
        <v>2814</v>
      </c>
      <c r="B31" t="s">
        <v>2812</v>
      </c>
      <c r="C31" t="s">
        <v>2813</v>
      </c>
      <c r="E31" t="s">
        <v>2818</v>
      </c>
    </row>
    <row r="32" spans="1:6">
      <c r="A32" t="s">
        <v>2815</v>
      </c>
      <c r="B32" t="s">
        <v>2812</v>
      </c>
      <c r="C32" t="s">
        <v>2816</v>
      </c>
      <c r="E32" t="s">
        <v>2817</v>
      </c>
    </row>
    <row r="33" spans="1:5">
      <c r="A33" t="s">
        <v>2821</v>
      </c>
      <c r="C33" t="s">
        <v>2822</v>
      </c>
      <c r="E33" t="s">
        <v>2823</v>
      </c>
    </row>
    <row r="34" spans="1:5">
      <c r="A34" t="s">
        <v>2824</v>
      </c>
      <c r="C34" t="s">
        <v>2825</v>
      </c>
      <c r="E34" t="s">
        <v>2826</v>
      </c>
    </row>
    <row r="35" spans="1:5">
      <c r="A35" t="s">
        <v>2827</v>
      </c>
      <c r="C35" t="s">
        <v>2828</v>
      </c>
      <c r="E35" t="s">
        <v>2829</v>
      </c>
    </row>
    <row r="36" spans="1:5">
      <c r="A36" t="s">
        <v>2830</v>
      </c>
      <c r="B36" t="s">
        <v>2831</v>
      </c>
      <c r="C36">
        <v>1290</v>
      </c>
      <c r="E36" t="s">
        <v>2832</v>
      </c>
    </row>
    <row r="37" spans="1:5">
      <c r="A37" t="s">
        <v>2833</v>
      </c>
      <c r="C37">
        <v>1295</v>
      </c>
      <c r="E37" t="s">
        <v>2834</v>
      </c>
    </row>
    <row r="38" spans="1:5">
      <c r="A38" t="s">
        <v>2835</v>
      </c>
      <c r="C38" t="s">
        <v>2836</v>
      </c>
      <c r="E38" t="s">
        <v>2837</v>
      </c>
    </row>
    <row r="39" spans="1:5">
      <c r="A39" t="s">
        <v>2853</v>
      </c>
      <c r="B39" t="s">
        <v>2838</v>
      </c>
      <c r="C39">
        <v>1259</v>
      </c>
      <c r="D39" t="s">
        <v>2841</v>
      </c>
      <c r="E39" t="s">
        <v>2843</v>
      </c>
    </row>
    <row r="40" spans="1:5">
      <c r="A40" t="s">
        <v>2854</v>
      </c>
      <c r="C40" t="s">
        <v>2839</v>
      </c>
      <c r="D40" t="s">
        <v>6168</v>
      </c>
      <c r="E40" t="s">
        <v>2844</v>
      </c>
    </row>
    <row r="41" spans="1:5">
      <c r="A41" t="s">
        <v>2855</v>
      </c>
      <c r="C41" t="s">
        <v>2839</v>
      </c>
      <c r="D41" t="s">
        <v>6168</v>
      </c>
      <c r="E41" t="s">
        <v>2844</v>
      </c>
    </row>
    <row r="42" spans="1:5">
      <c r="A42" t="s">
        <v>2856</v>
      </c>
      <c r="C42" t="s">
        <v>2839</v>
      </c>
      <c r="D42" t="s">
        <v>6168</v>
      </c>
      <c r="E42" t="s">
        <v>2844</v>
      </c>
    </row>
    <row r="43" spans="1:5">
      <c r="A43" t="s">
        <v>2857</v>
      </c>
      <c r="C43">
        <v>1294</v>
      </c>
      <c r="D43" t="s">
        <v>2840</v>
      </c>
      <c r="E43" t="s">
        <v>2845</v>
      </c>
    </row>
    <row r="44" spans="1:5">
      <c r="A44" t="s">
        <v>2858</v>
      </c>
      <c r="C44">
        <v>1303</v>
      </c>
      <c r="D44" t="s">
        <v>2842</v>
      </c>
      <c r="E44" t="s">
        <v>2846</v>
      </c>
    </row>
    <row r="45" spans="1:5">
      <c r="A45" t="s">
        <v>2848</v>
      </c>
      <c r="C45">
        <v>1248</v>
      </c>
      <c r="D45" t="s">
        <v>2847</v>
      </c>
      <c r="E45" t="s">
        <v>2851</v>
      </c>
    </row>
    <row r="46" spans="1:5">
      <c r="A46" t="s">
        <v>2849</v>
      </c>
      <c r="C46">
        <v>1281</v>
      </c>
      <c r="D46" t="s">
        <v>2850</v>
      </c>
      <c r="E46" t="s">
        <v>2852</v>
      </c>
    </row>
    <row r="47" spans="1:5">
      <c r="A47" t="s">
        <v>2859</v>
      </c>
      <c r="C47">
        <v>1235</v>
      </c>
      <c r="D47" t="s">
        <v>2860</v>
      </c>
      <c r="E47" t="s">
        <v>2861</v>
      </c>
    </row>
    <row r="48" spans="1:5">
      <c r="A48" t="s">
        <v>2862</v>
      </c>
      <c r="C48">
        <v>1104</v>
      </c>
      <c r="D48" t="s">
        <v>2863</v>
      </c>
      <c r="E48" t="s">
        <v>2864</v>
      </c>
    </row>
    <row r="49" spans="1:5">
      <c r="A49" t="s">
        <v>2865</v>
      </c>
      <c r="C49">
        <v>1233</v>
      </c>
      <c r="D49" t="s">
        <v>2866</v>
      </c>
      <c r="E49" t="s">
        <v>2867</v>
      </c>
    </row>
    <row r="50" spans="1:5">
      <c r="A50" t="s">
        <v>2868</v>
      </c>
      <c r="B50" t="s">
        <v>2869</v>
      </c>
      <c r="C50">
        <v>1278</v>
      </c>
      <c r="D50" t="s">
        <v>2870</v>
      </c>
      <c r="E50" t="s">
        <v>2871</v>
      </c>
    </row>
    <row r="51" spans="1:5">
      <c r="A51" t="s">
        <v>2872</v>
      </c>
      <c r="B51" t="s">
        <v>2873</v>
      </c>
      <c r="C51">
        <v>1247</v>
      </c>
      <c r="D51" t="s">
        <v>2875</v>
      </c>
      <c r="E51" t="s">
        <v>2876</v>
      </c>
    </row>
    <row r="52" spans="1:5">
      <c r="A52" t="s">
        <v>2877</v>
      </c>
      <c r="B52" t="s">
        <v>2878</v>
      </c>
      <c r="C52">
        <v>1259</v>
      </c>
      <c r="D52" t="s">
        <v>2874</v>
      </c>
      <c r="E52" t="s">
        <v>2879</v>
      </c>
    </row>
    <row r="53" spans="1:5">
      <c r="A53" t="s">
        <v>2880</v>
      </c>
      <c r="B53" t="s">
        <v>2881</v>
      </c>
      <c r="C53">
        <v>1293</v>
      </c>
      <c r="D53" t="s">
        <v>2882</v>
      </c>
      <c r="E53" t="s">
        <v>2883</v>
      </c>
    </row>
    <row r="54" spans="1:5">
      <c r="A54" t="s">
        <v>2884</v>
      </c>
      <c r="C54">
        <v>1224</v>
      </c>
      <c r="D54" t="s">
        <v>6167</v>
      </c>
      <c r="E54" t="s">
        <v>2885</v>
      </c>
    </row>
    <row r="55" spans="1:5">
      <c r="A55" t="s">
        <v>2887</v>
      </c>
      <c r="B55" t="s">
        <v>2888</v>
      </c>
      <c r="C55">
        <v>1283</v>
      </c>
      <c r="D55" t="s">
        <v>6167</v>
      </c>
      <c r="E55" t="s">
        <v>2886</v>
      </c>
    </row>
    <row r="56" spans="1:5">
      <c r="A56" t="s">
        <v>2889</v>
      </c>
      <c r="C56">
        <v>1285</v>
      </c>
      <c r="D56" t="s">
        <v>2890</v>
      </c>
      <c r="E56" t="s">
        <v>2891</v>
      </c>
    </row>
    <row r="57" spans="1:5">
      <c r="A57" t="s">
        <v>2892</v>
      </c>
      <c r="B57" t="s">
        <v>2893</v>
      </c>
      <c r="C57">
        <v>1296</v>
      </c>
      <c r="D57" t="s">
        <v>2894</v>
      </c>
      <c r="E57" t="s">
        <v>2895</v>
      </c>
    </row>
    <row r="58" spans="1:5">
      <c r="A58" t="s">
        <v>2896</v>
      </c>
      <c r="B58" t="s">
        <v>2897</v>
      </c>
      <c r="C58">
        <v>1297</v>
      </c>
      <c r="D58" t="s">
        <v>2898</v>
      </c>
      <c r="E58" t="s">
        <v>2899</v>
      </c>
    </row>
    <row r="59" spans="1:5">
      <c r="A59" t="s">
        <v>2900</v>
      </c>
      <c r="C59">
        <v>1202</v>
      </c>
      <c r="D59" t="s">
        <v>2901</v>
      </c>
      <c r="E59" t="s">
        <v>2902</v>
      </c>
    </row>
    <row r="60" spans="1:5">
      <c r="A60" t="s">
        <v>2906</v>
      </c>
      <c r="B60" t="s">
        <v>2903</v>
      </c>
      <c r="C60">
        <v>1264</v>
      </c>
      <c r="D60" t="s">
        <v>2904</v>
      </c>
      <c r="E60" t="s">
        <v>2905</v>
      </c>
    </row>
    <row r="61" spans="1:5">
      <c r="A61" t="s">
        <v>2907</v>
      </c>
      <c r="B61" t="s">
        <v>2908</v>
      </c>
      <c r="C61">
        <v>1293</v>
      </c>
      <c r="D61" t="s">
        <v>2909</v>
      </c>
      <c r="E61" t="s">
        <v>2910</v>
      </c>
    </row>
    <row r="62" spans="1:5">
      <c r="A62" t="s">
        <v>2913</v>
      </c>
      <c r="C62">
        <v>1283</v>
      </c>
      <c r="D62" t="s">
        <v>2911</v>
      </c>
      <c r="E62" t="s">
        <v>2912</v>
      </c>
    </row>
    <row r="63" spans="1:5">
      <c r="A63" t="s">
        <v>2914</v>
      </c>
      <c r="B63" t="s">
        <v>2915</v>
      </c>
      <c r="C63">
        <v>1303</v>
      </c>
      <c r="D63" t="s">
        <v>2916</v>
      </c>
      <c r="E63" t="s">
        <v>2917</v>
      </c>
    </row>
    <row r="64" spans="1:5">
      <c r="A64" t="s">
        <v>2918</v>
      </c>
      <c r="B64" t="s">
        <v>2919</v>
      </c>
      <c r="C64">
        <v>1224</v>
      </c>
      <c r="D64" t="s">
        <v>2920</v>
      </c>
      <c r="E64" t="s">
        <v>2921</v>
      </c>
    </row>
    <row r="65" spans="1:5">
      <c r="A65" t="s">
        <v>2922</v>
      </c>
      <c r="B65" t="s">
        <v>2923</v>
      </c>
      <c r="C65">
        <v>1259</v>
      </c>
      <c r="D65" t="s">
        <v>2924</v>
      </c>
      <c r="E65" t="s">
        <v>2925</v>
      </c>
    </row>
    <row r="66" spans="1:5">
      <c r="A66" t="s">
        <v>2926</v>
      </c>
      <c r="C66">
        <v>1304</v>
      </c>
      <c r="D66" t="s">
        <v>2927</v>
      </c>
      <c r="E66" t="s">
        <v>2928</v>
      </c>
    </row>
    <row r="67" spans="1:5">
      <c r="A67" t="s">
        <v>2929</v>
      </c>
      <c r="B67" t="s">
        <v>2930</v>
      </c>
      <c r="C67">
        <v>1305</v>
      </c>
      <c r="D67" t="s">
        <v>2931</v>
      </c>
      <c r="E67" t="s">
        <v>2932</v>
      </c>
    </row>
    <row r="68" spans="1:5">
      <c r="A68" t="s">
        <v>2933</v>
      </c>
      <c r="B68" t="s">
        <v>2934</v>
      </c>
      <c r="C68">
        <v>1170</v>
      </c>
      <c r="D68" t="s">
        <v>2935</v>
      </c>
      <c r="E68" t="s">
        <v>2936</v>
      </c>
    </row>
    <row r="69" spans="1:5">
      <c r="A69" t="s">
        <v>2937</v>
      </c>
      <c r="B69" t="s">
        <v>2938</v>
      </c>
      <c r="C69">
        <v>1259</v>
      </c>
      <c r="D69" t="s">
        <v>2939</v>
      </c>
      <c r="E69" t="s">
        <v>2940</v>
      </c>
    </row>
    <row r="70" spans="1:5">
      <c r="A70" t="s">
        <v>2941</v>
      </c>
      <c r="B70" t="s">
        <v>2942</v>
      </c>
      <c r="C70">
        <v>1290</v>
      </c>
      <c r="D70" t="s">
        <v>2943</v>
      </c>
      <c r="E70" t="s">
        <v>2944</v>
      </c>
    </row>
    <row r="71" spans="1:5">
      <c r="A71" t="s">
        <v>2945</v>
      </c>
      <c r="B71" t="s">
        <v>2946</v>
      </c>
      <c r="C71">
        <v>1181</v>
      </c>
      <c r="D71" t="s">
        <v>2947</v>
      </c>
      <c r="E71" t="s">
        <v>2948</v>
      </c>
    </row>
    <row r="72" spans="1:5">
      <c r="A72" t="s">
        <v>2949</v>
      </c>
      <c r="C72">
        <v>1284</v>
      </c>
      <c r="D72" t="s">
        <v>2950</v>
      </c>
      <c r="E72" t="s">
        <v>2951</v>
      </c>
    </row>
    <row r="73" spans="1:5">
      <c r="A73" t="s">
        <v>2952</v>
      </c>
      <c r="B73" t="s">
        <v>2953</v>
      </c>
      <c r="C73">
        <v>1075</v>
      </c>
      <c r="D73" t="s">
        <v>2954</v>
      </c>
      <c r="E73" t="s">
        <v>2955</v>
      </c>
    </row>
    <row r="74" spans="1:5">
      <c r="A74" t="s">
        <v>2956</v>
      </c>
      <c r="C74">
        <v>1298</v>
      </c>
      <c r="D74" t="s">
        <v>2957</v>
      </c>
      <c r="E74" t="s">
        <v>2958</v>
      </c>
    </row>
    <row r="75" spans="1:5">
      <c r="A75" t="s">
        <v>2959</v>
      </c>
      <c r="C75">
        <v>1296</v>
      </c>
      <c r="D75" t="s">
        <v>2960</v>
      </c>
      <c r="E75" t="s">
        <v>2961</v>
      </c>
    </row>
    <row r="76" spans="1:5">
      <c r="A76" s="4" t="s">
        <v>2963</v>
      </c>
      <c r="C76" s="4">
        <v>1174</v>
      </c>
      <c r="D76" t="s">
        <v>2972</v>
      </c>
      <c r="E76" t="s">
        <v>2971</v>
      </c>
    </row>
    <row r="77" spans="1:5">
      <c r="A77" s="4" t="s">
        <v>2965</v>
      </c>
      <c r="B77" t="s">
        <v>2962</v>
      </c>
      <c r="C77" s="4">
        <v>1250</v>
      </c>
      <c r="D77" t="s">
        <v>2973</v>
      </c>
      <c r="E77" t="s">
        <v>2974</v>
      </c>
    </row>
    <row r="78" spans="1:5">
      <c r="A78" s="4" t="s">
        <v>2966</v>
      </c>
      <c r="B78" t="s">
        <v>2962</v>
      </c>
      <c r="C78" s="4">
        <v>1251</v>
      </c>
      <c r="D78" t="s">
        <v>2975</v>
      </c>
      <c r="E78" t="s">
        <v>2976</v>
      </c>
    </row>
    <row r="79" spans="1:5">
      <c r="A79" s="4" t="s">
        <v>2967</v>
      </c>
      <c r="B79" t="s">
        <v>2962</v>
      </c>
      <c r="C79" s="4">
        <v>1252</v>
      </c>
      <c r="D79" t="s">
        <v>2977</v>
      </c>
      <c r="E79" t="s">
        <v>2978</v>
      </c>
    </row>
    <row r="80" spans="1:5">
      <c r="A80" s="4" t="s">
        <v>2968</v>
      </c>
      <c r="B80" t="s">
        <v>2962</v>
      </c>
      <c r="C80" s="4">
        <v>1252</v>
      </c>
      <c r="D80" t="s">
        <v>2979</v>
      </c>
      <c r="E80" t="s">
        <v>2980</v>
      </c>
    </row>
    <row r="81" spans="1:5">
      <c r="A81" s="4" t="s">
        <v>2969</v>
      </c>
      <c r="C81" s="4">
        <v>1287</v>
      </c>
      <c r="D81" t="s">
        <v>2981</v>
      </c>
      <c r="E81" t="s">
        <v>2982</v>
      </c>
    </row>
    <row r="82" spans="1:5">
      <c r="A82" s="4" t="s">
        <v>2964</v>
      </c>
      <c r="B82" t="s">
        <v>2762</v>
      </c>
      <c r="C82" s="4">
        <v>1293</v>
      </c>
      <c r="D82" t="s">
        <v>2983</v>
      </c>
      <c r="E82" t="s">
        <v>2984</v>
      </c>
    </row>
    <row r="83" spans="1:5">
      <c r="A83" s="4" t="s">
        <v>2985</v>
      </c>
      <c r="B83" t="s">
        <v>2970</v>
      </c>
      <c r="C83" s="4">
        <v>1244</v>
      </c>
      <c r="D83" t="s">
        <v>2989</v>
      </c>
      <c r="E83" t="s">
        <v>2992</v>
      </c>
    </row>
    <row r="84" spans="1:5">
      <c r="A84" t="s">
        <v>2986</v>
      </c>
      <c r="B84" t="s">
        <v>2988</v>
      </c>
      <c r="C84" s="4">
        <v>1271</v>
      </c>
      <c r="D84" t="s">
        <v>2990</v>
      </c>
      <c r="E84" t="s">
        <v>2993</v>
      </c>
    </row>
    <row r="85" spans="1:5">
      <c r="A85" t="s">
        <v>2987</v>
      </c>
      <c r="C85" s="4">
        <v>1285</v>
      </c>
      <c r="D85" t="s">
        <v>2991</v>
      </c>
      <c r="E85" t="s">
        <v>2994</v>
      </c>
    </row>
    <row r="86" spans="1:5">
      <c r="A86" s="4" t="s">
        <v>2995</v>
      </c>
      <c r="C86" s="4">
        <v>1125</v>
      </c>
      <c r="D86" t="s">
        <v>2996</v>
      </c>
      <c r="E86" t="s">
        <v>2997</v>
      </c>
    </row>
    <row r="87" spans="1:5">
      <c r="A87" s="4" t="s">
        <v>2998</v>
      </c>
      <c r="B87" t="s">
        <v>2999</v>
      </c>
      <c r="C87" s="4">
        <v>1297</v>
      </c>
      <c r="D87" t="s">
        <v>3000</v>
      </c>
      <c r="E87" t="s">
        <v>3001</v>
      </c>
    </row>
    <row r="88" spans="1:5">
      <c r="A88" s="4" t="s">
        <v>3003</v>
      </c>
      <c r="B88" t="s">
        <v>3002</v>
      </c>
      <c r="C88" s="4">
        <v>1235</v>
      </c>
      <c r="D88" t="s">
        <v>3004</v>
      </c>
      <c r="E88" t="s">
        <v>3005</v>
      </c>
    </row>
    <row r="89" spans="1:5">
      <c r="A89" s="4" t="s">
        <v>3006</v>
      </c>
      <c r="C89" s="4">
        <v>1298</v>
      </c>
      <c r="D89" t="s">
        <v>3007</v>
      </c>
      <c r="E89" t="s">
        <v>3008</v>
      </c>
    </row>
  </sheetData>
  <phoneticPr fontId="2" type="noConversion"/>
  <hyperlinks>
    <hyperlink ref="F5" r:id="rId1" xr:uid="{20A5E35D-5D9E-9041-A4D9-37F27832B84D}"/>
    <hyperlink ref="F6" r:id="rId2" xr:uid="{B9527D37-08CB-2A4E-B7E5-5C617DBA1EE0}"/>
    <hyperlink ref="F7" r:id="rId3" xr:uid="{83D9F3F0-3931-6645-ACDC-672A31A96660}"/>
    <hyperlink ref="F8" r:id="rId4" xr:uid="{7F9D5F64-8CE9-A140-9FEC-04F5C9890860}"/>
    <hyperlink ref="F9" r:id="rId5" xr:uid="{8978A6D1-DCFB-F848-BAB8-E216309B52B4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C7B34-6C9D-264E-AAEF-6E6FB45DDEFD}">
  <dimension ref="A1:G61"/>
  <sheetViews>
    <sheetView topLeftCell="A20" workbookViewId="0">
      <selection activeCell="A42" sqref="A42"/>
    </sheetView>
  </sheetViews>
  <sheetFormatPr baseColWidth="10" defaultRowHeight="16"/>
  <cols>
    <col min="1" max="1" width="58.5" bestFit="1" customWidth="1"/>
  </cols>
  <sheetData>
    <row r="1" spans="1:7">
      <c r="A1" s="3" t="s">
        <v>7</v>
      </c>
      <c r="B1" s="3" t="s">
        <v>484</v>
      </c>
      <c r="C1" s="3" t="s">
        <v>9</v>
      </c>
      <c r="D1" s="3" t="s">
        <v>2475</v>
      </c>
      <c r="E1" s="3" t="s">
        <v>485</v>
      </c>
      <c r="F1" s="3" t="s">
        <v>2298</v>
      </c>
      <c r="G1" s="3" t="s">
        <v>1214</v>
      </c>
    </row>
    <row r="2" spans="1:7">
      <c r="A2" t="s">
        <v>2442</v>
      </c>
      <c r="B2">
        <v>1249</v>
      </c>
      <c r="C2" t="s">
        <v>5769</v>
      </c>
      <c r="G2" s="5" t="s">
        <v>2443</v>
      </c>
    </row>
    <row r="3" spans="1:7">
      <c r="A3" t="s">
        <v>2440</v>
      </c>
      <c r="B3">
        <v>1249</v>
      </c>
      <c r="C3" t="s">
        <v>5770</v>
      </c>
      <c r="G3" s="5" t="s">
        <v>2441</v>
      </c>
    </row>
    <row r="4" spans="1:7">
      <c r="A4" t="s">
        <v>2438</v>
      </c>
      <c r="B4">
        <v>909</v>
      </c>
      <c r="C4" t="s">
        <v>5771</v>
      </c>
      <c r="G4" s="5" t="s">
        <v>2439</v>
      </c>
    </row>
    <row r="5" spans="1:7">
      <c r="A5" t="s">
        <v>2430</v>
      </c>
      <c r="B5">
        <v>1021</v>
      </c>
      <c r="C5" t="s">
        <v>5772</v>
      </c>
      <c r="G5" s="5" t="s">
        <v>2431</v>
      </c>
    </row>
    <row r="6" spans="1:7">
      <c r="A6" t="s">
        <v>2428</v>
      </c>
      <c r="B6">
        <v>1001</v>
      </c>
      <c r="C6" t="s">
        <v>5773</v>
      </c>
      <c r="G6" s="5" t="s">
        <v>2429</v>
      </c>
    </row>
    <row r="7" spans="1:7">
      <c r="A7" t="s">
        <v>2448</v>
      </c>
      <c r="B7">
        <v>1132</v>
      </c>
      <c r="C7" t="s">
        <v>5774</v>
      </c>
      <c r="G7" s="5" t="s">
        <v>2449</v>
      </c>
    </row>
    <row r="8" spans="1:7">
      <c r="A8" t="s">
        <v>2434</v>
      </c>
      <c r="B8">
        <v>1289</v>
      </c>
      <c r="C8" t="s">
        <v>5775</v>
      </c>
      <c r="G8" s="5" t="s">
        <v>2435</v>
      </c>
    </row>
    <row r="9" spans="1:7">
      <c r="A9" t="s">
        <v>2398</v>
      </c>
      <c r="B9">
        <v>1276</v>
      </c>
      <c r="C9" t="s">
        <v>5776</v>
      </c>
      <c r="G9" s="5" t="s">
        <v>2399</v>
      </c>
    </row>
    <row r="10" spans="1:7">
      <c r="A10" t="s">
        <v>2396</v>
      </c>
      <c r="B10">
        <v>1025</v>
      </c>
      <c r="C10" t="s">
        <v>5771</v>
      </c>
      <c r="G10" s="5" t="s">
        <v>2397</v>
      </c>
    </row>
    <row r="11" spans="1:7">
      <c r="A11" t="s">
        <v>2426</v>
      </c>
      <c r="B11">
        <v>1288</v>
      </c>
      <c r="C11" t="s">
        <v>5777</v>
      </c>
      <c r="G11" s="5" t="s">
        <v>2427</v>
      </c>
    </row>
    <row r="12" spans="1:7">
      <c r="A12" t="s">
        <v>2420</v>
      </c>
      <c r="B12">
        <v>1260</v>
      </c>
      <c r="C12" t="s">
        <v>5777</v>
      </c>
      <c r="G12" s="5" t="s">
        <v>2421</v>
      </c>
    </row>
    <row r="13" spans="1:7">
      <c r="A13" t="s">
        <v>2370</v>
      </c>
      <c r="B13">
        <v>1175</v>
      </c>
      <c r="C13" t="s">
        <v>5694</v>
      </c>
      <c r="G13" s="5" t="s">
        <v>2365</v>
      </c>
    </row>
    <row r="14" spans="1:7">
      <c r="A14" t="s">
        <v>2369</v>
      </c>
      <c r="B14" t="s">
        <v>5778</v>
      </c>
      <c r="C14" t="s">
        <v>5779</v>
      </c>
      <c r="G14" s="5" t="s">
        <v>2366</v>
      </c>
    </row>
    <row r="15" spans="1:7">
      <c r="A15" t="s">
        <v>2368</v>
      </c>
      <c r="B15" t="s">
        <v>5780</v>
      </c>
      <c r="C15" t="s">
        <v>5694</v>
      </c>
      <c r="G15" s="5" t="s">
        <v>2367</v>
      </c>
    </row>
    <row r="16" spans="1:7">
      <c r="A16" t="s">
        <v>2446</v>
      </c>
      <c r="B16" t="s">
        <v>5781</v>
      </c>
      <c r="C16" t="s">
        <v>5782</v>
      </c>
      <c r="G16" s="5" t="s">
        <v>2447</v>
      </c>
    </row>
    <row r="17" spans="1:7">
      <c r="A17" t="s">
        <v>2386</v>
      </c>
      <c r="B17">
        <v>1268</v>
      </c>
      <c r="G17" s="5" t="s">
        <v>2387</v>
      </c>
    </row>
    <row r="18" spans="1:7">
      <c r="A18" t="s">
        <v>2402</v>
      </c>
      <c r="B18">
        <v>1214</v>
      </c>
      <c r="G18" s="5" t="s">
        <v>2403</v>
      </c>
    </row>
    <row r="19" spans="1:7">
      <c r="A19" t="s">
        <v>2406</v>
      </c>
      <c r="B19">
        <v>1169</v>
      </c>
      <c r="C19" t="s">
        <v>5783</v>
      </c>
      <c r="G19" s="5" t="s">
        <v>2407</v>
      </c>
    </row>
    <row r="20" spans="1:7">
      <c r="A20" t="s">
        <v>2432</v>
      </c>
      <c r="B20">
        <v>1292</v>
      </c>
      <c r="C20" t="s">
        <v>5775</v>
      </c>
      <c r="G20" s="5" t="s">
        <v>2433</v>
      </c>
    </row>
    <row r="21" spans="1:7">
      <c r="A21" t="s">
        <v>2412</v>
      </c>
      <c r="B21">
        <v>1133</v>
      </c>
      <c r="G21" s="5" t="s">
        <v>2413</v>
      </c>
    </row>
    <row r="22" spans="1:7">
      <c r="A22" t="s">
        <v>2400</v>
      </c>
      <c r="B22">
        <v>1219</v>
      </c>
      <c r="G22" s="5" t="s">
        <v>2401</v>
      </c>
    </row>
    <row r="23" spans="1:7">
      <c r="A23" t="s">
        <v>2394</v>
      </c>
      <c r="B23">
        <v>1218</v>
      </c>
      <c r="G23" s="5" t="s">
        <v>2395</v>
      </c>
    </row>
    <row r="24" spans="1:7">
      <c r="A24" t="s">
        <v>2408</v>
      </c>
      <c r="B24">
        <v>1226</v>
      </c>
      <c r="G24" s="5" t="s">
        <v>2409</v>
      </c>
    </row>
    <row r="25" spans="1:7">
      <c r="A25" t="s">
        <v>2404</v>
      </c>
      <c r="B25">
        <v>1271</v>
      </c>
      <c r="G25" s="5" t="s">
        <v>2405</v>
      </c>
    </row>
    <row r="26" spans="1:7">
      <c r="A26" t="s">
        <v>2390</v>
      </c>
      <c r="B26">
        <v>1201</v>
      </c>
      <c r="G26" s="5" t="s">
        <v>2391</v>
      </c>
    </row>
    <row r="27" spans="1:7">
      <c r="A27" t="s">
        <v>2384</v>
      </c>
      <c r="B27">
        <v>1240</v>
      </c>
      <c r="C27" t="s">
        <v>5784</v>
      </c>
      <c r="G27" s="5" t="s">
        <v>2385</v>
      </c>
    </row>
    <row r="28" spans="1:7">
      <c r="A28" t="s">
        <v>2382</v>
      </c>
      <c r="B28" t="s">
        <v>5785</v>
      </c>
      <c r="C28" t="s">
        <v>5786</v>
      </c>
      <c r="G28" s="5" t="s">
        <v>2383</v>
      </c>
    </row>
    <row r="29" spans="1:7">
      <c r="A29" t="s">
        <v>2379</v>
      </c>
      <c r="B29">
        <v>1282</v>
      </c>
      <c r="C29" t="s">
        <v>5786</v>
      </c>
      <c r="G29" s="5" t="s">
        <v>2378</v>
      </c>
    </row>
    <row r="30" spans="1:7">
      <c r="A30" t="s">
        <v>2444</v>
      </c>
      <c r="B30">
        <v>1295</v>
      </c>
      <c r="C30" t="s">
        <v>5620</v>
      </c>
      <c r="G30" s="5" t="s">
        <v>2445</v>
      </c>
    </row>
    <row r="31" spans="1:7">
      <c r="A31" t="s">
        <v>2416</v>
      </c>
      <c r="B31">
        <v>1279</v>
      </c>
      <c r="C31" t="s">
        <v>4502</v>
      </c>
      <c r="G31" s="5" t="s">
        <v>2417</v>
      </c>
    </row>
    <row r="32" spans="1:7">
      <c r="A32" t="s">
        <v>2418</v>
      </c>
      <c r="B32">
        <v>1241</v>
      </c>
      <c r="C32" t="s">
        <v>5787</v>
      </c>
      <c r="G32" s="5" t="s">
        <v>2419</v>
      </c>
    </row>
    <row r="33" spans="1:7">
      <c r="A33" t="s">
        <v>2388</v>
      </c>
      <c r="B33">
        <v>1282</v>
      </c>
      <c r="C33" t="s">
        <v>4502</v>
      </c>
      <c r="G33" s="5" t="s">
        <v>2389</v>
      </c>
    </row>
    <row r="34" spans="1:7">
      <c r="A34" t="s">
        <v>2414</v>
      </c>
      <c r="B34">
        <v>1165</v>
      </c>
      <c r="C34" t="s">
        <v>5788</v>
      </c>
      <c r="G34" s="5" t="s">
        <v>2415</v>
      </c>
    </row>
    <row r="35" spans="1:7">
      <c r="A35" t="s">
        <v>2410</v>
      </c>
      <c r="B35">
        <v>1296</v>
      </c>
      <c r="C35" t="s">
        <v>5789</v>
      </c>
      <c r="G35" s="5" t="s">
        <v>2411</v>
      </c>
    </row>
    <row r="36" spans="1:7">
      <c r="A36" t="s">
        <v>2392</v>
      </c>
      <c r="B36">
        <v>1297</v>
      </c>
      <c r="C36" t="s">
        <v>5789</v>
      </c>
      <c r="G36" s="5" t="s">
        <v>2393</v>
      </c>
    </row>
    <row r="37" spans="1:7">
      <c r="A37" t="s">
        <v>2422</v>
      </c>
      <c r="B37" t="s">
        <v>5790</v>
      </c>
      <c r="C37" t="s">
        <v>5791</v>
      </c>
      <c r="G37" s="5" t="s">
        <v>2423</v>
      </c>
    </row>
    <row r="38" spans="1:7">
      <c r="A38" t="s">
        <v>2424</v>
      </c>
      <c r="B38">
        <v>1281</v>
      </c>
      <c r="C38" t="s">
        <v>5792</v>
      </c>
      <c r="G38" s="5" t="s">
        <v>2425</v>
      </c>
    </row>
    <row r="39" spans="1:7">
      <c r="A39" t="s">
        <v>2436</v>
      </c>
      <c r="B39">
        <v>1250</v>
      </c>
      <c r="C39" t="s">
        <v>5793</v>
      </c>
      <c r="G39" s="5" t="s">
        <v>2437</v>
      </c>
    </row>
    <row r="40" spans="1:7">
      <c r="A40" t="s">
        <v>2381</v>
      </c>
      <c r="B40" t="s">
        <v>4354</v>
      </c>
      <c r="C40" t="s">
        <v>5794</v>
      </c>
      <c r="G40" s="5" t="s">
        <v>2380</v>
      </c>
    </row>
    <row r="41" spans="1:7">
      <c r="A41" t="s">
        <v>5656</v>
      </c>
      <c r="B41">
        <v>1295</v>
      </c>
      <c r="C41" t="s">
        <v>5657</v>
      </c>
      <c r="D41" t="s">
        <v>5665</v>
      </c>
      <c r="E41" t="s">
        <v>5666</v>
      </c>
      <c r="F41" t="s">
        <v>5658</v>
      </c>
    </row>
    <row r="42" spans="1:7">
      <c r="A42" t="s">
        <v>5711</v>
      </c>
      <c r="B42" t="s">
        <v>46</v>
      </c>
      <c r="C42" t="s">
        <v>5659</v>
      </c>
      <c r="D42" t="s">
        <v>9163</v>
      </c>
      <c r="E42" t="s">
        <v>9164</v>
      </c>
    </row>
    <row r="43" spans="1:7">
      <c r="A43" t="s">
        <v>5712</v>
      </c>
      <c r="B43" t="s">
        <v>5660</v>
      </c>
      <c r="C43" t="s">
        <v>5662</v>
      </c>
      <c r="D43" t="s">
        <v>9163</v>
      </c>
      <c r="E43" t="s">
        <v>9165</v>
      </c>
    </row>
    <row r="44" spans="1:7">
      <c r="A44" t="s">
        <v>5713</v>
      </c>
      <c r="B44">
        <v>1147</v>
      </c>
      <c r="C44" t="s">
        <v>5663</v>
      </c>
      <c r="D44" t="s">
        <v>9163</v>
      </c>
      <c r="E44" t="s">
        <v>9166</v>
      </c>
    </row>
    <row r="45" spans="1:7">
      <c r="A45" t="s">
        <v>5714</v>
      </c>
      <c r="B45">
        <v>1163</v>
      </c>
      <c r="C45" t="s">
        <v>5664</v>
      </c>
      <c r="D45" t="s">
        <v>9163</v>
      </c>
      <c r="E45" t="s">
        <v>9167</v>
      </c>
    </row>
    <row r="46" spans="1:7">
      <c r="A46" t="s">
        <v>5715</v>
      </c>
      <c r="B46" t="s">
        <v>4849</v>
      </c>
      <c r="C46" t="s">
        <v>5661</v>
      </c>
      <c r="D46" t="s">
        <v>9163</v>
      </c>
      <c r="E46" t="s">
        <v>9168</v>
      </c>
    </row>
    <row r="47" spans="1:7">
      <c r="A47" t="s">
        <v>5675</v>
      </c>
      <c r="B47">
        <v>970</v>
      </c>
      <c r="C47" t="s">
        <v>5668</v>
      </c>
      <c r="D47" t="s">
        <v>5667</v>
      </c>
      <c r="E47" t="s">
        <v>5669</v>
      </c>
    </row>
    <row r="48" spans="1:7">
      <c r="A48" t="s">
        <v>5676</v>
      </c>
      <c r="B48">
        <v>1246</v>
      </c>
      <c r="C48" t="s">
        <v>5668</v>
      </c>
      <c r="D48" t="s">
        <v>5667</v>
      </c>
      <c r="E48" t="s">
        <v>5670</v>
      </c>
    </row>
    <row r="49" spans="1:5">
      <c r="A49" t="s">
        <v>5677</v>
      </c>
      <c r="B49">
        <v>1246</v>
      </c>
      <c r="C49" t="s">
        <v>5668</v>
      </c>
      <c r="D49" t="s">
        <v>5667</v>
      </c>
      <c r="E49" t="s">
        <v>5672</v>
      </c>
    </row>
    <row r="50" spans="1:5">
      <c r="A50" t="s">
        <v>5678</v>
      </c>
      <c r="B50">
        <v>1261</v>
      </c>
      <c r="C50" t="s">
        <v>104</v>
      </c>
      <c r="D50" t="s">
        <v>5667</v>
      </c>
      <c r="E50" t="s">
        <v>5671</v>
      </c>
    </row>
    <row r="51" spans="1:5">
      <c r="A51" t="s">
        <v>5679</v>
      </c>
      <c r="B51">
        <v>1303</v>
      </c>
      <c r="C51" t="s">
        <v>5673</v>
      </c>
      <c r="D51" t="s">
        <v>5667</v>
      </c>
      <c r="E51" t="s">
        <v>5674</v>
      </c>
    </row>
    <row r="52" spans="1:5">
      <c r="A52" t="s">
        <v>5681</v>
      </c>
      <c r="B52" t="s">
        <v>5683</v>
      </c>
      <c r="C52" t="s">
        <v>5682</v>
      </c>
      <c r="D52" t="s">
        <v>5680</v>
      </c>
      <c r="E52" t="s">
        <v>5684</v>
      </c>
    </row>
    <row r="53" spans="1:5">
      <c r="A53" t="s">
        <v>5687</v>
      </c>
      <c r="B53">
        <v>1284</v>
      </c>
      <c r="C53" t="s">
        <v>5685</v>
      </c>
      <c r="D53" t="s">
        <v>5680</v>
      </c>
      <c r="E53" t="s">
        <v>5686</v>
      </c>
    </row>
    <row r="54" spans="1:5">
      <c r="A54" t="s">
        <v>5698</v>
      </c>
      <c r="B54" t="s">
        <v>5688</v>
      </c>
      <c r="C54" t="s">
        <v>5689</v>
      </c>
      <c r="D54" t="s">
        <v>5690</v>
      </c>
      <c r="E54" t="s">
        <v>5691</v>
      </c>
    </row>
    <row r="55" spans="1:5">
      <c r="A55" t="s">
        <v>5699</v>
      </c>
      <c r="B55" t="s">
        <v>5688</v>
      </c>
      <c r="C55" t="s">
        <v>5689</v>
      </c>
      <c r="D55" t="s">
        <v>5690</v>
      </c>
      <c r="E55" t="s">
        <v>5692</v>
      </c>
    </row>
    <row r="56" spans="1:5">
      <c r="A56" t="s">
        <v>5700</v>
      </c>
      <c r="B56" t="s">
        <v>5688</v>
      </c>
      <c r="C56" t="s">
        <v>5689</v>
      </c>
      <c r="D56" t="s">
        <v>5690</v>
      </c>
      <c r="E56" t="s">
        <v>5693</v>
      </c>
    </row>
    <row r="57" spans="1:5">
      <c r="A57" t="s">
        <v>5701</v>
      </c>
      <c r="B57">
        <v>1172</v>
      </c>
      <c r="C57" t="s">
        <v>5694</v>
      </c>
      <c r="D57" t="s">
        <v>5690</v>
      </c>
      <c r="E57" t="s">
        <v>5695</v>
      </c>
    </row>
    <row r="58" spans="1:5">
      <c r="A58" t="s">
        <v>5702</v>
      </c>
      <c r="B58" t="s">
        <v>5696</v>
      </c>
      <c r="D58" t="s">
        <v>5690</v>
      </c>
      <c r="E58" t="s">
        <v>5697</v>
      </c>
    </row>
    <row r="59" spans="1:5">
      <c r="A59" t="s">
        <v>5703</v>
      </c>
      <c r="B59">
        <v>1172</v>
      </c>
      <c r="C59" t="s">
        <v>5706</v>
      </c>
      <c r="D59" t="s">
        <v>5704</v>
      </c>
      <c r="E59" t="s">
        <v>5705</v>
      </c>
    </row>
    <row r="60" spans="1:5">
      <c r="A60" t="s">
        <v>5707</v>
      </c>
      <c r="B60">
        <v>1274</v>
      </c>
      <c r="D60" t="s">
        <v>5704</v>
      </c>
      <c r="E60" t="s">
        <v>5708</v>
      </c>
    </row>
    <row r="61" spans="1:5">
      <c r="A61" t="s">
        <v>5709</v>
      </c>
      <c r="B61">
        <v>1285</v>
      </c>
      <c r="D61" t="s">
        <v>5704</v>
      </c>
      <c r="E61" t="s">
        <v>5710</v>
      </c>
    </row>
  </sheetData>
  <sortState xmlns:xlrd2="http://schemas.microsoft.com/office/spreadsheetml/2017/richdata2" ref="A2:B40">
    <sortCondition ref="A6:A40"/>
  </sortState>
  <phoneticPr fontId="2" type="noConversion"/>
  <hyperlinks>
    <hyperlink ref="G27" r:id="rId1" xr:uid="{9EA6C9F4-7507-574F-9FD9-E65451BF2393}"/>
    <hyperlink ref="G4" r:id="rId2" xr:uid="{90F93232-2B4D-5043-841B-1F7B246F40AC}"/>
    <hyperlink ref="G34" r:id="rId3" xr:uid="{EFDECD41-9E02-644E-AFCE-35C005972E6F}"/>
    <hyperlink ref="G2" r:id="rId4" xr:uid="{5F0799B3-DEFB-C546-89FC-3CCCA8B6CFAC}"/>
    <hyperlink ref="G3" r:id="rId5" xr:uid="{748FD753-3144-874A-A552-FEFB7464F182}"/>
    <hyperlink ref="G5" r:id="rId6" xr:uid="{6A9E07E5-9D23-B24C-A04F-747F2B3046A9}"/>
    <hyperlink ref="G6" r:id="rId7" xr:uid="{ADB71430-A6DC-1742-8F59-F1EC2CD16C8B}"/>
    <hyperlink ref="G7" r:id="rId8" xr:uid="{00A74DC8-9111-3649-B8CF-AD0452C446DF}"/>
    <hyperlink ref="G12" r:id="rId9" xr:uid="{2621D03B-ED6A-2E4D-B868-71A124693724}"/>
    <hyperlink ref="G8" r:id="rId10" xr:uid="{6F79A5BF-FCB3-AA46-B5AE-C3E2D0855216}"/>
    <hyperlink ref="G9" r:id="rId11" xr:uid="{E9C6330D-EEB0-3C4D-B739-C9F855478C35}"/>
    <hyperlink ref="G10" r:id="rId12" xr:uid="{4CF672BE-03FA-9642-B53C-A75C4F7D8E54}"/>
    <hyperlink ref="G11" r:id="rId13" xr:uid="{048B9120-CF8A-7249-BF4E-E8C57AD15FB1}"/>
    <hyperlink ref="G13" r:id="rId14" xr:uid="{5C687231-6B36-DD4E-A51A-7698CFA094DC}"/>
    <hyperlink ref="G14" r:id="rId15" xr:uid="{6798A15E-69E4-2948-9C3A-179E11868D95}"/>
    <hyperlink ref="G15" r:id="rId16" xr:uid="{5E43A839-D15D-A442-A320-16E498CF118F}"/>
    <hyperlink ref="G16" r:id="rId17" xr:uid="{E7550AC9-36C0-4A45-B097-329C2A200099}"/>
    <hyperlink ref="G17" r:id="rId18" xr:uid="{2BF53F6E-30DD-EA43-9F8A-4C0BD8F40365}"/>
    <hyperlink ref="G18" r:id="rId19" xr:uid="{CA05CECC-D981-2344-B70B-E73AA2C18265}"/>
    <hyperlink ref="G19" r:id="rId20" xr:uid="{EAFD834D-BEF7-2842-9876-4120325E54FA}"/>
    <hyperlink ref="G20" r:id="rId21" xr:uid="{360FF1E4-FB27-8748-94F8-9C42CF3E53D8}"/>
    <hyperlink ref="G21" r:id="rId22" xr:uid="{F25CA3F9-F40E-EE4D-9C20-E1631F44AF6F}"/>
    <hyperlink ref="G22" r:id="rId23" xr:uid="{4709757D-8145-794E-8EDF-0D522245DEFC}"/>
    <hyperlink ref="G23" r:id="rId24" xr:uid="{14217AE0-22FC-AC44-9D64-23DE0A914B15}"/>
    <hyperlink ref="G24" r:id="rId25" xr:uid="{33298726-17F8-B140-AF4F-E2D3C33385BD}"/>
    <hyperlink ref="G25" r:id="rId26" xr:uid="{38B8C983-4A7E-C348-9052-963334B3827A}"/>
    <hyperlink ref="G26" r:id="rId27" xr:uid="{480F3DDF-FC68-1C45-A047-5A727137AC76}"/>
    <hyperlink ref="G28" r:id="rId28" xr:uid="{2ECF70F5-12A2-9F4D-B6A2-CD9ACF808CE4}"/>
    <hyperlink ref="G29" r:id="rId29" xr:uid="{5BEAAE41-595D-6A45-99C3-EC7984AB55AD}"/>
    <hyperlink ref="G30" r:id="rId30" xr:uid="{8C36FF84-504F-FB43-9BFE-217F9F43967D}"/>
    <hyperlink ref="G31" r:id="rId31" xr:uid="{20ED0500-FF8A-BD4B-B9F1-84129E478CBA}"/>
    <hyperlink ref="G32" r:id="rId32" xr:uid="{48B8282C-647B-2346-90F4-E86ECF52E7F1}"/>
    <hyperlink ref="G33" r:id="rId33" xr:uid="{437D2834-8059-3743-B01A-A394BA69100B}"/>
    <hyperlink ref="G35" r:id="rId34" xr:uid="{AEE75D7B-F5A4-2C4D-9191-6DB96E0C0559}"/>
    <hyperlink ref="G36" r:id="rId35" xr:uid="{C33F77F6-3D26-0A49-90DC-D830CC6CC9FA}"/>
    <hyperlink ref="G37" r:id="rId36" xr:uid="{3A928627-6857-3B4B-93D5-62CDFD8E0286}"/>
    <hyperlink ref="G38" r:id="rId37" xr:uid="{15A0B535-8D5F-B84F-AAFF-539BCA768AA2}"/>
    <hyperlink ref="G39" r:id="rId38" xr:uid="{F49E43AE-81FC-894D-AFDB-4CB6578402E1}"/>
    <hyperlink ref="G40" r:id="rId39" xr:uid="{2B7D24C1-0CF2-384B-AB46-21385E71972C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3D837-EECE-9540-AAC6-E0CCF068C8CF}">
  <sheetPr filterMode="1"/>
  <dimension ref="A1:AA1450"/>
  <sheetViews>
    <sheetView zoomScale="78" zoomScaleNormal="65" workbookViewId="0">
      <selection activeCell="D1463" sqref="D1463"/>
    </sheetView>
  </sheetViews>
  <sheetFormatPr baseColWidth="10" defaultRowHeight="16"/>
  <cols>
    <col min="1" max="1" width="86.6640625" bestFit="1" customWidth="1"/>
    <col min="2" max="2" width="27.5" bestFit="1" customWidth="1"/>
    <col min="5" max="5" width="18.33203125" customWidth="1"/>
    <col min="8" max="8" width="18" bestFit="1" customWidth="1"/>
    <col min="9" max="9" width="12.6640625" bestFit="1" customWidth="1"/>
    <col min="18" max="19" width="10.83203125" style="16"/>
    <col min="20" max="20" width="50.5" customWidth="1"/>
  </cols>
  <sheetData>
    <row r="1" spans="1:25">
      <c r="A1" s="3" t="s">
        <v>7</v>
      </c>
      <c r="B1" s="3" t="s">
        <v>484</v>
      </c>
      <c r="C1" s="3" t="s">
        <v>8657</v>
      </c>
      <c r="D1" s="3" t="s">
        <v>8054</v>
      </c>
      <c r="E1" s="3" t="s">
        <v>9</v>
      </c>
      <c r="F1" s="3" t="s">
        <v>2475</v>
      </c>
      <c r="G1" s="3"/>
      <c r="H1" s="3" t="s">
        <v>485</v>
      </c>
      <c r="I1" s="3" t="s">
        <v>8927</v>
      </c>
      <c r="J1" s="3" t="s">
        <v>2298</v>
      </c>
      <c r="K1" s="3" t="s">
        <v>1214</v>
      </c>
      <c r="L1" s="3" t="s">
        <v>6170</v>
      </c>
      <c r="M1" s="3" t="s">
        <v>5579</v>
      </c>
      <c r="N1" s="3" t="s">
        <v>6281</v>
      </c>
      <c r="O1" s="3" t="s">
        <v>6282</v>
      </c>
      <c r="P1" s="3" t="s">
        <v>6283</v>
      </c>
      <c r="Q1" s="3" t="s">
        <v>6284</v>
      </c>
      <c r="R1" s="15" t="s">
        <v>8056</v>
      </c>
      <c r="S1" s="15" t="s">
        <v>8057</v>
      </c>
      <c r="T1" s="3" t="s">
        <v>7733</v>
      </c>
      <c r="U1" s="3" t="s">
        <v>8053</v>
      </c>
      <c r="V1" s="3" t="s">
        <v>8653</v>
      </c>
      <c r="W1" s="3" t="s">
        <v>6282</v>
      </c>
      <c r="X1" s="3" t="s">
        <v>8658</v>
      </c>
      <c r="Y1" s="18" t="s">
        <v>6170</v>
      </c>
    </row>
    <row r="2" spans="1:25" hidden="1">
      <c r="A2" t="s">
        <v>2794</v>
      </c>
      <c r="B2" t="s">
        <v>2793</v>
      </c>
      <c r="C2">
        <v>985</v>
      </c>
      <c r="D2">
        <v>10</v>
      </c>
      <c r="E2" t="s">
        <v>2792</v>
      </c>
      <c r="H2">
        <v>1</v>
      </c>
      <c r="J2" t="s">
        <v>8668</v>
      </c>
      <c r="L2">
        <f t="shared" ref="L2:L65" si="0">IF(M2&lt;&gt;"",1,0)</f>
        <v>1</v>
      </c>
      <c r="M2" t="s">
        <v>6896</v>
      </c>
      <c r="N2" t="s">
        <v>6293</v>
      </c>
      <c r="O2" t="s">
        <v>3995</v>
      </c>
      <c r="P2" t="s">
        <v>6894</v>
      </c>
      <c r="Q2" t="s">
        <v>6895</v>
      </c>
      <c r="R2" s="16" t="s">
        <v>6894</v>
      </c>
      <c r="S2" s="16" t="s">
        <v>6895</v>
      </c>
      <c r="T2" t="s">
        <v>8019</v>
      </c>
      <c r="U2">
        <v>0</v>
      </c>
      <c r="V2" t="s">
        <v>8654</v>
      </c>
      <c r="W2" t="s">
        <v>3995</v>
      </c>
      <c r="X2" t="s">
        <v>8664</v>
      </c>
      <c r="Y2">
        <f t="shared" ref="Y2:Y65" si="1">IF(OR(V2="Loc",V2="IIIF"),1,0)</f>
        <v>1</v>
      </c>
    </row>
    <row r="3" spans="1:25" hidden="1">
      <c r="A3" t="s">
        <v>2795</v>
      </c>
      <c r="B3" t="s">
        <v>2797</v>
      </c>
      <c r="C3">
        <v>1065</v>
      </c>
      <c r="D3">
        <v>11</v>
      </c>
      <c r="E3" t="s">
        <v>2796</v>
      </c>
      <c r="H3">
        <v>3</v>
      </c>
      <c r="J3" t="s">
        <v>8668</v>
      </c>
      <c r="L3">
        <f t="shared" si="0"/>
        <v>1</v>
      </c>
      <c r="M3" t="s">
        <v>6699</v>
      </c>
      <c r="N3" t="s">
        <v>6700</v>
      </c>
      <c r="O3" t="s">
        <v>6700</v>
      </c>
      <c r="P3" t="s">
        <v>6701</v>
      </c>
      <c r="Q3" t="s">
        <v>6702</v>
      </c>
      <c r="R3" s="16" t="s">
        <v>8642</v>
      </c>
      <c r="S3" s="16" t="s">
        <v>6702</v>
      </c>
      <c r="T3" t="s">
        <v>8019</v>
      </c>
      <c r="U3">
        <v>0</v>
      </c>
      <c r="V3" t="s">
        <v>8654</v>
      </c>
      <c r="W3" t="s">
        <v>6700</v>
      </c>
      <c r="X3" t="s">
        <v>8664</v>
      </c>
      <c r="Y3">
        <f t="shared" si="1"/>
        <v>1</v>
      </c>
    </row>
    <row r="4" spans="1:25" hidden="1">
      <c r="A4" t="s">
        <v>2772</v>
      </c>
      <c r="B4">
        <v>1268</v>
      </c>
      <c r="C4">
        <v>1268</v>
      </c>
      <c r="D4">
        <v>13</v>
      </c>
      <c r="E4" t="s">
        <v>2763</v>
      </c>
      <c r="F4" t="s">
        <v>2781</v>
      </c>
      <c r="H4" t="s">
        <v>1444</v>
      </c>
      <c r="J4" t="s">
        <v>8668</v>
      </c>
      <c r="L4">
        <f t="shared" si="0"/>
        <v>1</v>
      </c>
      <c r="M4" t="s">
        <v>6810</v>
      </c>
      <c r="N4" t="s">
        <v>6291</v>
      </c>
      <c r="O4" t="s">
        <v>3995</v>
      </c>
      <c r="P4" t="s">
        <v>6811</v>
      </c>
      <c r="Q4" t="s">
        <v>6715</v>
      </c>
      <c r="R4" s="16" t="s">
        <v>8525</v>
      </c>
      <c r="S4" s="16" t="s">
        <v>8230</v>
      </c>
      <c r="T4" t="s">
        <v>2772</v>
      </c>
      <c r="U4">
        <v>0</v>
      </c>
      <c r="V4" t="s">
        <v>8654</v>
      </c>
      <c r="W4" t="s">
        <v>3995</v>
      </c>
      <c r="X4" t="s">
        <v>3092</v>
      </c>
      <c r="Y4">
        <f t="shared" si="1"/>
        <v>1</v>
      </c>
    </row>
    <row r="5" spans="1:25" hidden="1">
      <c r="A5" t="s">
        <v>2773</v>
      </c>
      <c r="B5" t="s">
        <v>2764</v>
      </c>
      <c r="C5">
        <v>1286</v>
      </c>
      <c r="D5">
        <v>13</v>
      </c>
      <c r="E5" t="s">
        <v>1444</v>
      </c>
      <c r="F5" t="s">
        <v>2781</v>
      </c>
      <c r="H5" t="s">
        <v>1444</v>
      </c>
      <c r="J5" t="s">
        <v>8668</v>
      </c>
      <c r="L5">
        <f t="shared" si="0"/>
        <v>0</v>
      </c>
      <c r="R5" s="16" t="s">
        <v>8064</v>
      </c>
      <c r="S5" s="16" t="s">
        <v>8064</v>
      </c>
      <c r="T5" t="s">
        <v>2773</v>
      </c>
      <c r="U5">
        <v>0</v>
      </c>
      <c r="V5" t="s">
        <v>8655</v>
      </c>
      <c r="X5" t="s">
        <v>3092</v>
      </c>
      <c r="Y5">
        <f t="shared" si="1"/>
        <v>0</v>
      </c>
    </row>
    <row r="6" spans="1:25" hidden="1">
      <c r="A6" s="4" t="s">
        <v>2255</v>
      </c>
      <c r="B6">
        <v>1241</v>
      </c>
      <c r="C6">
        <v>1241</v>
      </c>
      <c r="D6">
        <v>13</v>
      </c>
      <c r="E6" t="s">
        <v>5631</v>
      </c>
      <c r="F6" t="s">
        <v>3141</v>
      </c>
      <c r="H6" t="s">
        <v>3141</v>
      </c>
      <c r="J6" t="s">
        <v>5632</v>
      </c>
      <c r="K6" t="s">
        <v>5633</v>
      </c>
      <c r="L6">
        <f t="shared" si="0"/>
        <v>1</v>
      </c>
      <c r="M6" t="s">
        <v>5631</v>
      </c>
      <c r="N6" t="s">
        <v>6291</v>
      </c>
      <c r="O6" t="s">
        <v>3995</v>
      </c>
      <c r="P6" t="s">
        <v>6676</v>
      </c>
      <c r="Q6" t="s">
        <v>6677</v>
      </c>
      <c r="R6" s="16" t="s">
        <v>8391</v>
      </c>
      <c r="S6" s="16" t="s">
        <v>8095</v>
      </c>
      <c r="T6" s="4" t="s">
        <v>2255</v>
      </c>
      <c r="U6">
        <v>1</v>
      </c>
      <c r="V6" t="s">
        <v>8656</v>
      </c>
      <c r="W6" t="s">
        <v>3995</v>
      </c>
      <c r="X6" t="s">
        <v>3141</v>
      </c>
      <c r="Y6">
        <f t="shared" si="1"/>
        <v>1</v>
      </c>
    </row>
    <row r="7" spans="1:25" hidden="1">
      <c r="A7" s="4" t="s">
        <v>2256</v>
      </c>
      <c r="B7">
        <v>1270</v>
      </c>
      <c r="C7">
        <v>1270</v>
      </c>
      <c r="D7">
        <v>13</v>
      </c>
      <c r="E7" t="s">
        <v>6053</v>
      </c>
      <c r="F7" t="s">
        <v>3141</v>
      </c>
      <c r="H7" t="s">
        <v>3141</v>
      </c>
      <c r="J7" t="s">
        <v>5630</v>
      </c>
      <c r="K7" t="s">
        <v>5629</v>
      </c>
      <c r="L7">
        <f t="shared" si="0"/>
        <v>1</v>
      </c>
      <c r="M7" t="s">
        <v>6053</v>
      </c>
      <c r="N7" t="s">
        <v>6324</v>
      </c>
      <c r="O7" t="s">
        <v>11</v>
      </c>
      <c r="P7" t="s">
        <v>6668</v>
      </c>
      <c r="Q7" t="s">
        <v>6669</v>
      </c>
      <c r="R7" s="16" t="s">
        <v>8378</v>
      </c>
      <c r="S7" s="16" t="s">
        <v>8082</v>
      </c>
      <c r="T7" s="4" t="s">
        <v>2256</v>
      </c>
      <c r="U7">
        <v>1</v>
      </c>
      <c r="V7" t="s">
        <v>8656</v>
      </c>
      <c r="W7" t="s">
        <v>11</v>
      </c>
      <c r="X7" t="s">
        <v>3141</v>
      </c>
      <c r="Y7">
        <f t="shared" si="1"/>
        <v>1</v>
      </c>
    </row>
    <row r="8" spans="1:25" hidden="1">
      <c r="A8" s="4" t="s">
        <v>2249</v>
      </c>
      <c r="B8">
        <v>1287</v>
      </c>
      <c r="C8">
        <v>1287</v>
      </c>
      <c r="D8">
        <v>13</v>
      </c>
      <c r="E8" t="s">
        <v>5641</v>
      </c>
      <c r="F8" t="s">
        <v>3141</v>
      </c>
      <c r="H8" t="s">
        <v>3141</v>
      </c>
      <c r="J8" s="5" t="s">
        <v>5648</v>
      </c>
      <c r="K8" t="s">
        <v>5649</v>
      </c>
      <c r="L8">
        <f t="shared" si="0"/>
        <v>0</v>
      </c>
      <c r="R8" s="16" t="s">
        <v>8064</v>
      </c>
      <c r="S8" s="16" t="s">
        <v>8064</v>
      </c>
      <c r="T8" s="4" t="s">
        <v>2249</v>
      </c>
      <c r="U8">
        <v>1</v>
      </c>
      <c r="V8" t="s">
        <v>8655</v>
      </c>
      <c r="X8" t="s">
        <v>3141</v>
      </c>
      <c r="Y8">
        <f t="shared" si="1"/>
        <v>0</v>
      </c>
    </row>
    <row r="9" spans="1:25" hidden="1">
      <c r="A9" s="4" t="s">
        <v>5612</v>
      </c>
      <c r="B9">
        <v>1296</v>
      </c>
      <c r="C9">
        <v>1296</v>
      </c>
      <c r="D9">
        <v>13</v>
      </c>
      <c r="E9" t="s">
        <v>5613</v>
      </c>
      <c r="F9" t="s">
        <v>3141</v>
      </c>
      <c r="H9" t="s">
        <v>3141</v>
      </c>
      <c r="J9" s="5" t="s">
        <v>5610</v>
      </c>
      <c r="K9" t="s">
        <v>5611</v>
      </c>
      <c r="L9">
        <f t="shared" si="0"/>
        <v>1</v>
      </c>
      <c r="M9" t="s">
        <v>5613</v>
      </c>
      <c r="N9" t="s">
        <v>6428</v>
      </c>
      <c r="O9" t="s">
        <v>6429</v>
      </c>
      <c r="P9">
        <v>145051</v>
      </c>
      <c r="Q9">
        <v>460569</v>
      </c>
      <c r="R9" s="16" t="s">
        <v>8526</v>
      </c>
      <c r="S9" s="16" t="s">
        <v>8231</v>
      </c>
      <c r="T9" s="4" t="s">
        <v>5612</v>
      </c>
      <c r="U9">
        <v>1</v>
      </c>
      <c r="V9" t="s">
        <v>8656</v>
      </c>
      <c r="W9" t="s">
        <v>6429</v>
      </c>
      <c r="X9" t="s">
        <v>3141</v>
      </c>
      <c r="Y9">
        <f t="shared" si="1"/>
        <v>1</v>
      </c>
    </row>
    <row r="10" spans="1:25" hidden="1">
      <c r="A10" s="4" t="s">
        <v>5734</v>
      </c>
      <c r="B10" t="s">
        <v>5761</v>
      </c>
      <c r="C10">
        <v>974</v>
      </c>
      <c r="D10">
        <v>10</v>
      </c>
      <c r="E10" t="s">
        <v>5719</v>
      </c>
      <c r="F10" t="s">
        <v>5655</v>
      </c>
      <c r="H10" t="s">
        <v>6076</v>
      </c>
      <c r="J10" t="s">
        <v>8668</v>
      </c>
      <c r="K10" s="11"/>
      <c r="L10">
        <f t="shared" si="0"/>
        <v>1</v>
      </c>
      <c r="M10" t="s">
        <v>5719</v>
      </c>
      <c r="N10" t="s">
        <v>5719</v>
      </c>
      <c r="O10" t="s">
        <v>6288</v>
      </c>
      <c r="P10" t="s">
        <v>6808</v>
      </c>
      <c r="Q10" t="s">
        <v>6809</v>
      </c>
      <c r="R10" s="16" t="s">
        <v>6808</v>
      </c>
      <c r="S10" s="16" t="s">
        <v>6809</v>
      </c>
      <c r="T10" s="4" t="s">
        <v>5734</v>
      </c>
      <c r="U10">
        <v>0</v>
      </c>
      <c r="V10" t="s">
        <v>8654</v>
      </c>
      <c r="W10" t="s">
        <v>6288</v>
      </c>
      <c r="X10" t="s">
        <v>3141</v>
      </c>
      <c r="Y10">
        <f t="shared" si="1"/>
        <v>1</v>
      </c>
    </row>
    <row r="11" spans="1:25" hidden="1">
      <c r="A11" s="4" t="s">
        <v>5735</v>
      </c>
      <c r="B11" t="s">
        <v>5762</v>
      </c>
      <c r="C11">
        <v>1007</v>
      </c>
      <c r="D11">
        <v>11</v>
      </c>
      <c r="E11" t="s">
        <v>5719</v>
      </c>
      <c r="F11" t="s">
        <v>5655</v>
      </c>
      <c r="H11" t="s">
        <v>6077</v>
      </c>
      <c r="J11" t="s">
        <v>8668</v>
      </c>
      <c r="K11" s="11"/>
      <c r="L11">
        <f t="shared" si="0"/>
        <v>1</v>
      </c>
      <c r="M11" t="s">
        <v>5719</v>
      </c>
      <c r="N11" t="s">
        <v>5719</v>
      </c>
      <c r="O11" t="s">
        <v>6288</v>
      </c>
      <c r="P11" t="s">
        <v>6808</v>
      </c>
      <c r="Q11" t="s">
        <v>6809</v>
      </c>
      <c r="R11" s="16" t="s">
        <v>6808</v>
      </c>
      <c r="S11" s="16" t="s">
        <v>6809</v>
      </c>
      <c r="T11" s="4" t="s">
        <v>5735</v>
      </c>
      <c r="U11">
        <v>0</v>
      </c>
      <c r="V11" t="s">
        <v>8654</v>
      </c>
      <c r="W11" t="s">
        <v>6288</v>
      </c>
      <c r="X11" t="s">
        <v>3141</v>
      </c>
      <c r="Y11">
        <f t="shared" si="1"/>
        <v>1</v>
      </c>
    </row>
    <row r="12" spans="1:25" hidden="1">
      <c r="A12" s="4" t="s">
        <v>2259</v>
      </c>
      <c r="B12">
        <v>1079</v>
      </c>
      <c r="C12">
        <v>1079</v>
      </c>
      <c r="D12">
        <v>11</v>
      </c>
      <c r="E12" t="s">
        <v>5620</v>
      </c>
      <c r="F12" t="s">
        <v>5655</v>
      </c>
      <c r="H12" t="s">
        <v>6078</v>
      </c>
      <c r="J12" t="s">
        <v>5621</v>
      </c>
      <c r="K12" s="5" t="s">
        <v>5622</v>
      </c>
      <c r="L12">
        <f t="shared" si="0"/>
        <v>1</v>
      </c>
      <c r="M12" t="s">
        <v>5620</v>
      </c>
      <c r="N12" t="s">
        <v>6291</v>
      </c>
      <c r="O12" t="s">
        <v>3995</v>
      </c>
      <c r="P12">
        <v>120970</v>
      </c>
      <c r="Q12">
        <v>490150</v>
      </c>
      <c r="R12" s="16" t="s">
        <v>8525</v>
      </c>
      <c r="S12" s="16" t="s">
        <v>8230</v>
      </c>
      <c r="T12" s="4" t="s">
        <v>2259</v>
      </c>
      <c r="U12">
        <v>1</v>
      </c>
      <c r="V12" t="s">
        <v>8656</v>
      </c>
      <c r="W12" t="s">
        <v>3995</v>
      </c>
      <c r="X12" t="s">
        <v>3141</v>
      </c>
      <c r="Y12">
        <f t="shared" si="1"/>
        <v>1</v>
      </c>
    </row>
    <row r="13" spans="1:25" hidden="1">
      <c r="A13" s="4" t="s">
        <v>5736</v>
      </c>
      <c r="B13">
        <v>1094</v>
      </c>
      <c r="C13">
        <v>1094</v>
      </c>
      <c r="D13">
        <v>11</v>
      </c>
      <c r="E13" t="s">
        <v>5720</v>
      </c>
      <c r="F13" t="s">
        <v>5655</v>
      </c>
      <c r="H13" t="s">
        <v>6079</v>
      </c>
      <c r="J13" s="5" t="s">
        <v>9098</v>
      </c>
      <c r="K13" s="11"/>
      <c r="L13">
        <f t="shared" si="0"/>
        <v>1</v>
      </c>
      <c r="M13" t="s">
        <v>5720</v>
      </c>
      <c r="N13" t="s">
        <v>6427</v>
      </c>
      <c r="O13" t="s">
        <v>6288</v>
      </c>
      <c r="P13" t="s">
        <v>6639</v>
      </c>
      <c r="Q13" t="s">
        <v>6640</v>
      </c>
      <c r="R13" s="16" t="s">
        <v>8530</v>
      </c>
      <c r="S13" s="16" t="s">
        <v>8235</v>
      </c>
      <c r="T13" s="4" t="s">
        <v>5736</v>
      </c>
      <c r="U13">
        <v>1</v>
      </c>
      <c r="V13" t="s">
        <v>8654</v>
      </c>
      <c r="W13" t="s">
        <v>6288</v>
      </c>
      <c r="X13" t="s">
        <v>3141</v>
      </c>
      <c r="Y13">
        <f t="shared" si="1"/>
        <v>1</v>
      </c>
    </row>
    <row r="14" spans="1:25" hidden="1">
      <c r="A14" s="4" t="s">
        <v>5737</v>
      </c>
      <c r="B14">
        <v>1134</v>
      </c>
      <c r="C14">
        <v>1134</v>
      </c>
      <c r="D14">
        <v>12</v>
      </c>
      <c r="E14" t="s">
        <v>5723</v>
      </c>
      <c r="F14" t="s">
        <v>5655</v>
      </c>
      <c r="H14" t="s">
        <v>6080</v>
      </c>
      <c r="J14" t="s">
        <v>8668</v>
      </c>
      <c r="K14" s="11"/>
      <c r="L14">
        <f t="shared" si="0"/>
        <v>1</v>
      </c>
      <c r="M14" t="s">
        <v>5723</v>
      </c>
      <c r="N14" t="s">
        <v>6427</v>
      </c>
      <c r="O14" t="s">
        <v>6288</v>
      </c>
      <c r="P14" t="s">
        <v>6860</v>
      </c>
      <c r="Q14" t="s">
        <v>6861</v>
      </c>
      <c r="R14" s="16" t="s">
        <v>8529</v>
      </c>
      <c r="S14" s="16" t="s">
        <v>8234</v>
      </c>
      <c r="T14" s="4" t="s">
        <v>5737</v>
      </c>
      <c r="U14">
        <v>0</v>
      </c>
      <c r="V14" t="s">
        <v>8654</v>
      </c>
      <c r="W14" t="s">
        <v>6288</v>
      </c>
      <c r="X14" t="s">
        <v>3141</v>
      </c>
      <c r="Y14">
        <f t="shared" si="1"/>
        <v>1</v>
      </c>
    </row>
    <row r="15" spans="1:25" hidden="1">
      <c r="A15" s="4" t="s">
        <v>5738</v>
      </c>
      <c r="B15">
        <v>1142</v>
      </c>
      <c r="C15">
        <v>1142</v>
      </c>
      <c r="D15">
        <v>12</v>
      </c>
      <c r="E15" t="s">
        <v>5739</v>
      </c>
      <c r="F15" t="s">
        <v>5655</v>
      </c>
      <c r="H15" t="s">
        <v>6081</v>
      </c>
      <c r="J15" s="5" t="s">
        <v>9099</v>
      </c>
      <c r="K15" s="11"/>
      <c r="L15">
        <f t="shared" si="0"/>
        <v>1</v>
      </c>
      <c r="M15" t="s">
        <v>6426</v>
      </c>
      <c r="N15" t="s">
        <v>6427</v>
      </c>
      <c r="O15" t="s">
        <v>6288</v>
      </c>
      <c r="P15">
        <v>141990</v>
      </c>
      <c r="Q15">
        <v>480970</v>
      </c>
      <c r="R15" s="16" t="s">
        <v>8533</v>
      </c>
      <c r="S15" s="16" t="s">
        <v>8238</v>
      </c>
      <c r="T15" s="4" t="s">
        <v>5738</v>
      </c>
      <c r="U15">
        <v>1</v>
      </c>
      <c r="V15" t="s">
        <v>8654</v>
      </c>
      <c r="W15" t="s">
        <v>6288</v>
      </c>
      <c r="X15" t="s">
        <v>3141</v>
      </c>
      <c r="Y15">
        <f t="shared" si="1"/>
        <v>1</v>
      </c>
    </row>
    <row r="16" spans="1:25" hidden="1">
      <c r="A16" s="4" t="s">
        <v>5738</v>
      </c>
      <c r="B16" t="s">
        <v>5716</v>
      </c>
      <c r="C16">
        <v>1216</v>
      </c>
      <c r="D16">
        <v>13</v>
      </c>
      <c r="E16" t="s">
        <v>5739</v>
      </c>
      <c r="F16" t="s">
        <v>5655</v>
      </c>
      <c r="H16" t="s">
        <v>6082</v>
      </c>
      <c r="J16" s="5" t="s">
        <v>9099</v>
      </c>
      <c r="K16" s="11"/>
      <c r="L16">
        <f t="shared" si="0"/>
        <v>1</v>
      </c>
      <c r="M16" t="s">
        <v>6426</v>
      </c>
      <c r="N16" t="s">
        <v>6427</v>
      </c>
      <c r="O16" t="s">
        <v>6288</v>
      </c>
      <c r="P16">
        <v>141990</v>
      </c>
      <c r="Q16">
        <v>480970</v>
      </c>
      <c r="R16" s="16" t="s">
        <v>8533</v>
      </c>
      <c r="S16" s="16" t="s">
        <v>8238</v>
      </c>
      <c r="T16" s="4" t="s">
        <v>5738</v>
      </c>
      <c r="U16">
        <v>1</v>
      </c>
      <c r="V16" t="s">
        <v>8654</v>
      </c>
      <c r="W16" t="s">
        <v>6288</v>
      </c>
      <c r="X16" t="s">
        <v>3141</v>
      </c>
      <c r="Y16">
        <f t="shared" si="1"/>
        <v>1</v>
      </c>
    </row>
    <row r="17" spans="1:25" hidden="1">
      <c r="A17" s="4" t="s">
        <v>5740</v>
      </c>
      <c r="B17">
        <v>1143</v>
      </c>
      <c r="C17">
        <v>1143</v>
      </c>
      <c r="D17">
        <v>12</v>
      </c>
      <c r="E17" t="s">
        <v>5724</v>
      </c>
      <c r="F17" t="s">
        <v>5655</v>
      </c>
      <c r="H17" t="s">
        <v>6083</v>
      </c>
      <c r="J17" t="s">
        <v>8668</v>
      </c>
      <c r="L17">
        <f t="shared" si="0"/>
        <v>0</v>
      </c>
      <c r="R17" s="16" t="s">
        <v>8064</v>
      </c>
      <c r="S17" s="16" t="s">
        <v>8064</v>
      </c>
      <c r="T17" s="4" t="s">
        <v>5740</v>
      </c>
      <c r="U17">
        <v>0</v>
      </c>
      <c r="V17" t="s">
        <v>8655</v>
      </c>
      <c r="X17" t="s">
        <v>3141</v>
      </c>
      <c r="Y17">
        <f t="shared" si="1"/>
        <v>0</v>
      </c>
    </row>
    <row r="18" spans="1:25" hidden="1">
      <c r="A18" s="4" t="s">
        <v>5741</v>
      </c>
      <c r="B18">
        <v>1175</v>
      </c>
      <c r="C18">
        <v>1175</v>
      </c>
      <c r="D18">
        <v>12</v>
      </c>
      <c r="E18" t="s">
        <v>1444</v>
      </c>
      <c r="F18" t="s">
        <v>5655</v>
      </c>
      <c r="H18" t="s">
        <v>6084</v>
      </c>
      <c r="J18" t="s">
        <v>8668</v>
      </c>
      <c r="K18" s="11"/>
      <c r="L18">
        <f t="shared" si="0"/>
        <v>0</v>
      </c>
      <c r="R18" s="16" t="s">
        <v>8064</v>
      </c>
      <c r="S18" s="16" t="s">
        <v>8064</v>
      </c>
      <c r="T18" s="4" t="s">
        <v>5741</v>
      </c>
      <c r="U18">
        <v>0</v>
      </c>
      <c r="V18" t="s">
        <v>8655</v>
      </c>
      <c r="X18" t="s">
        <v>3141</v>
      </c>
      <c r="Y18">
        <f t="shared" si="1"/>
        <v>0</v>
      </c>
    </row>
    <row r="19" spans="1:25" hidden="1">
      <c r="A19" s="4" t="s">
        <v>5742</v>
      </c>
      <c r="B19" t="s">
        <v>5763</v>
      </c>
      <c r="C19">
        <v>1181</v>
      </c>
      <c r="D19">
        <v>12</v>
      </c>
      <c r="E19" t="s">
        <v>5720</v>
      </c>
      <c r="F19" t="s">
        <v>5655</v>
      </c>
      <c r="H19" t="s">
        <v>6085</v>
      </c>
      <c r="J19" s="5" t="s">
        <v>9100</v>
      </c>
      <c r="K19" s="11"/>
      <c r="L19">
        <f t="shared" si="0"/>
        <v>1</v>
      </c>
      <c r="M19" t="s">
        <v>5720</v>
      </c>
      <c r="N19" t="s">
        <v>6427</v>
      </c>
      <c r="O19" t="s">
        <v>6288</v>
      </c>
      <c r="P19" t="s">
        <v>6639</v>
      </c>
      <c r="Q19" t="s">
        <v>6640</v>
      </c>
      <c r="R19" s="16" t="s">
        <v>8530</v>
      </c>
      <c r="S19" s="16" t="s">
        <v>8235</v>
      </c>
      <c r="T19" s="4" t="s">
        <v>5742</v>
      </c>
      <c r="U19">
        <v>1</v>
      </c>
      <c r="V19" t="s">
        <v>8654</v>
      </c>
      <c r="W19" t="s">
        <v>6288</v>
      </c>
      <c r="X19" t="s">
        <v>3141</v>
      </c>
      <c r="Y19">
        <f t="shared" si="1"/>
        <v>1</v>
      </c>
    </row>
    <row r="20" spans="1:25" hidden="1">
      <c r="A20" s="4" t="s">
        <v>5746</v>
      </c>
      <c r="B20">
        <v>1181</v>
      </c>
      <c r="C20">
        <v>1181</v>
      </c>
      <c r="D20">
        <v>12</v>
      </c>
      <c r="E20" t="s">
        <v>5721</v>
      </c>
      <c r="F20" t="s">
        <v>5655</v>
      </c>
      <c r="H20" t="s">
        <v>6086</v>
      </c>
      <c r="J20" t="s">
        <v>8668</v>
      </c>
      <c r="K20" s="11"/>
      <c r="L20">
        <f t="shared" si="0"/>
        <v>1</v>
      </c>
      <c r="M20" t="s">
        <v>5721</v>
      </c>
      <c r="N20" t="s">
        <v>6427</v>
      </c>
      <c r="O20" t="s">
        <v>6288</v>
      </c>
      <c r="P20" t="s">
        <v>6544</v>
      </c>
      <c r="Q20" t="s">
        <v>6545</v>
      </c>
      <c r="R20" s="16" t="s">
        <v>8535</v>
      </c>
      <c r="S20" s="16" t="s">
        <v>8240</v>
      </c>
      <c r="T20" s="4" t="s">
        <v>5746</v>
      </c>
      <c r="U20">
        <v>0</v>
      </c>
      <c r="V20" t="s">
        <v>8654</v>
      </c>
      <c r="W20" t="s">
        <v>6288</v>
      </c>
      <c r="X20" t="s">
        <v>3141</v>
      </c>
      <c r="Y20">
        <f t="shared" si="1"/>
        <v>1</v>
      </c>
    </row>
    <row r="21" spans="1:25" hidden="1">
      <c r="A21" s="4" t="s">
        <v>5747</v>
      </c>
      <c r="B21" t="s">
        <v>5717</v>
      </c>
      <c r="C21">
        <v>1197</v>
      </c>
      <c r="D21">
        <v>12</v>
      </c>
      <c r="E21" t="s">
        <v>5727</v>
      </c>
      <c r="F21" t="s">
        <v>5655</v>
      </c>
      <c r="H21" t="s">
        <v>6087</v>
      </c>
      <c r="J21" s="5" t="s">
        <v>9101</v>
      </c>
      <c r="K21" s="11"/>
      <c r="L21">
        <f t="shared" si="0"/>
        <v>1</v>
      </c>
      <c r="M21" t="s">
        <v>5727</v>
      </c>
      <c r="N21" t="s">
        <v>6427</v>
      </c>
      <c r="O21" t="s">
        <v>6288</v>
      </c>
      <c r="P21">
        <v>139640</v>
      </c>
      <c r="Q21">
        <v>480360</v>
      </c>
      <c r="R21" s="16" t="s">
        <v>8532</v>
      </c>
      <c r="S21" s="16" t="s">
        <v>8237</v>
      </c>
      <c r="T21" s="4" t="s">
        <v>5747</v>
      </c>
      <c r="U21">
        <v>1</v>
      </c>
      <c r="V21" t="s">
        <v>8654</v>
      </c>
      <c r="W21" t="s">
        <v>6288</v>
      </c>
      <c r="X21" t="s">
        <v>3141</v>
      </c>
      <c r="Y21">
        <f t="shared" si="1"/>
        <v>1</v>
      </c>
    </row>
    <row r="22" spans="1:25" hidden="1">
      <c r="A22" s="4" t="s">
        <v>6014</v>
      </c>
      <c r="B22">
        <v>1212</v>
      </c>
      <c r="C22">
        <v>1212</v>
      </c>
      <c r="D22">
        <v>13</v>
      </c>
      <c r="E22" t="s">
        <v>5728</v>
      </c>
      <c r="F22" t="s">
        <v>5655</v>
      </c>
      <c r="H22" t="s">
        <v>6088</v>
      </c>
      <c r="J22" t="s">
        <v>8668</v>
      </c>
      <c r="L22">
        <f t="shared" si="0"/>
        <v>0</v>
      </c>
      <c r="R22" s="16" t="s">
        <v>8064</v>
      </c>
      <c r="S22" s="16" t="s">
        <v>8064</v>
      </c>
      <c r="T22" s="4" t="s">
        <v>6014</v>
      </c>
      <c r="U22">
        <v>0</v>
      </c>
      <c r="V22" t="s">
        <v>8655</v>
      </c>
      <c r="X22" t="s">
        <v>3141</v>
      </c>
      <c r="Y22">
        <f t="shared" si="1"/>
        <v>0</v>
      </c>
    </row>
    <row r="23" spans="1:25" hidden="1">
      <c r="A23" s="4" t="s">
        <v>5748</v>
      </c>
      <c r="B23">
        <v>1233</v>
      </c>
      <c r="C23">
        <v>1233</v>
      </c>
      <c r="D23">
        <v>13</v>
      </c>
      <c r="E23" t="s">
        <v>5729</v>
      </c>
      <c r="F23" t="s">
        <v>5655</v>
      </c>
      <c r="H23" t="s">
        <v>6089</v>
      </c>
      <c r="J23" s="5" t="s">
        <v>8785</v>
      </c>
      <c r="K23" s="11"/>
      <c r="L23">
        <f t="shared" si="0"/>
        <v>0</v>
      </c>
      <c r="R23" s="16" t="s">
        <v>8064</v>
      </c>
      <c r="S23" s="16" t="s">
        <v>8064</v>
      </c>
      <c r="T23" s="4" t="s">
        <v>5748</v>
      </c>
      <c r="U23">
        <v>1</v>
      </c>
      <c r="V23" t="s">
        <v>8655</v>
      </c>
      <c r="X23" t="s">
        <v>3141</v>
      </c>
      <c r="Y23">
        <f t="shared" si="1"/>
        <v>0</v>
      </c>
    </row>
    <row r="24" spans="1:25" hidden="1">
      <c r="A24" s="4" t="s">
        <v>5752</v>
      </c>
      <c r="B24">
        <v>1233</v>
      </c>
      <c r="C24">
        <v>1233</v>
      </c>
      <c r="D24">
        <v>13</v>
      </c>
      <c r="E24" t="s">
        <v>5718</v>
      </c>
      <c r="F24" t="s">
        <v>5655</v>
      </c>
      <c r="H24" t="s">
        <v>6089</v>
      </c>
      <c r="J24" s="5" t="s">
        <v>9102</v>
      </c>
      <c r="K24" s="11"/>
      <c r="L24">
        <f t="shared" si="0"/>
        <v>1</v>
      </c>
      <c r="M24" t="s">
        <v>6953</v>
      </c>
      <c r="N24" t="s">
        <v>6954</v>
      </c>
      <c r="O24" t="s">
        <v>6288</v>
      </c>
      <c r="P24" t="s">
        <v>6955</v>
      </c>
      <c r="Q24" t="s">
        <v>6956</v>
      </c>
      <c r="R24" s="16" t="s">
        <v>6955</v>
      </c>
      <c r="S24" s="16" t="s">
        <v>6956</v>
      </c>
      <c r="T24" s="4" t="s">
        <v>5752</v>
      </c>
      <c r="U24">
        <v>1</v>
      </c>
      <c r="V24" t="s">
        <v>8654</v>
      </c>
      <c r="W24" t="s">
        <v>6288</v>
      </c>
      <c r="X24" t="s">
        <v>3141</v>
      </c>
      <c r="Y24">
        <f t="shared" si="1"/>
        <v>1</v>
      </c>
    </row>
    <row r="25" spans="1:25" hidden="1">
      <c r="A25" s="4" t="s">
        <v>5756</v>
      </c>
      <c r="B25">
        <v>1244</v>
      </c>
      <c r="C25">
        <v>1244</v>
      </c>
      <c r="D25">
        <v>13</v>
      </c>
      <c r="E25" t="s">
        <v>5731</v>
      </c>
      <c r="F25" t="s">
        <v>5655</v>
      </c>
      <c r="H25" t="s">
        <v>6090</v>
      </c>
      <c r="J25" s="5" t="s">
        <v>8787</v>
      </c>
      <c r="K25" s="11" t="s">
        <v>8786</v>
      </c>
      <c r="L25">
        <f t="shared" si="0"/>
        <v>0</v>
      </c>
      <c r="R25" s="16" t="s">
        <v>8064</v>
      </c>
      <c r="S25" s="16" t="s">
        <v>8064</v>
      </c>
      <c r="T25" s="4" t="s">
        <v>5756</v>
      </c>
      <c r="U25">
        <v>1</v>
      </c>
      <c r="V25" t="s">
        <v>8655</v>
      </c>
      <c r="X25" t="s">
        <v>3141</v>
      </c>
      <c r="Y25">
        <f t="shared" si="1"/>
        <v>0</v>
      </c>
    </row>
    <row r="26" spans="1:25" hidden="1">
      <c r="A26" s="4" t="s">
        <v>5749</v>
      </c>
      <c r="B26">
        <v>1247</v>
      </c>
      <c r="C26">
        <v>1247</v>
      </c>
      <c r="D26">
        <v>13</v>
      </c>
      <c r="E26" t="s">
        <v>4530</v>
      </c>
      <c r="F26" t="s">
        <v>5655</v>
      </c>
      <c r="H26" t="s">
        <v>6091</v>
      </c>
      <c r="J26" t="s">
        <v>8668</v>
      </c>
      <c r="K26" s="11"/>
      <c r="L26">
        <f t="shared" si="0"/>
        <v>1</v>
      </c>
      <c r="M26" t="s">
        <v>4502</v>
      </c>
      <c r="N26" t="s">
        <v>6456</v>
      </c>
      <c r="O26" t="s">
        <v>104</v>
      </c>
      <c r="P26">
        <v>23522</v>
      </c>
      <c r="Q26">
        <v>488566</v>
      </c>
      <c r="R26" s="16" t="s">
        <v>8364</v>
      </c>
      <c r="S26" s="16" t="s">
        <v>8069</v>
      </c>
      <c r="T26" s="4" t="s">
        <v>5749</v>
      </c>
      <c r="U26">
        <v>0</v>
      </c>
      <c r="V26" t="s">
        <v>8654</v>
      </c>
      <c r="W26" t="s">
        <v>104</v>
      </c>
      <c r="X26" t="s">
        <v>3141</v>
      </c>
      <c r="Y26">
        <f t="shared" si="1"/>
        <v>1</v>
      </c>
    </row>
    <row r="27" spans="1:25" hidden="1">
      <c r="A27" s="4" t="s">
        <v>5750</v>
      </c>
      <c r="B27">
        <v>1251</v>
      </c>
      <c r="C27">
        <v>1251</v>
      </c>
      <c r="D27">
        <v>13</v>
      </c>
      <c r="E27" t="s">
        <v>5730</v>
      </c>
      <c r="F27" t="s">
        <v>5655</v>
      </c>
      <c r="H27" t="s">
        <v>6092</v>
      </c>
      <c r="J27" s="5" t="s">
        <v>9103</v>
      </c>
      <c r="K27" s="11"/>
      <c r="L27">
        <f t="shared" si="0"/>
        <v>1</v>
      </c>
      <c r="M27" t="s">
        <v>5719</v>
      </c>
      <c r="N27" t="s">
        <v>5719</v>
      </c>
      <c r="O27" t="s">
        <v>6288</v>
      </c>
      <c r="P27" t="s">
        <v>6808</v>
      </c>
      <c r="Q27" t="s">
        <v>6809</v>
      </c>
      <c r="R27" s="16" t="s">
        <v>6808</v>
      </c>
      <c r="S27" s="16" t="s">
        <v>6809</v>
      </c>
      <c r="T27" s="4" t="s">
        <v>5750</v>
      </c>
      <c r="U27">
        <v>1</v>
      </c>
      <c r="V27" t="s">
        <v>8654</v>
      </c>
      <c r="W27" t="s">
        <v>6288</v>
      </c>
      <c r="X27" t="s">
        <v>3141</v>
      </c>
      <c r="Y27">
        <f t="shared" si="1"/>
        <v>1</v>
      </c>
    </row>
    <row r="28" spans="1:25" hidden="1">
      <c r="A28" s="4" t="s">
        <v>5751</v>
      </c>
      <c r="B28">
        <v>1263</v>
      </c>
      <c r="C28">
        <v>1263</v>
      </c>
      <c r="D28">
        <v>13</v>
      </c>
      <c r="E28" t="s">
        <v>5731</v>
      </c>
      <c r="F28" t="s">
        <v>5655</v>
      </c>
      <c r="H28" t="s">
        <v>6093</v>
      </c>
      <c r="J28" t="s">
        <v>8668</v>
      </c>
      <c r="K28" s="11"/>
      <c r="L28">
        <f t="shared" si="0"/>
        <v>0</v>
      </c>
      <c r="R28" s="16" t="s">
        <v>8064</v>
      </c>
      <c r="S28" s="16" t="s">
        <v>8064</v>
      </c>
      <c r="T28" s="4" t="s">
        <v>5751</v>
      </c>
      <c r="U28">
        <v>0</v>
      </c>
      <c r="V28" t="s">
        <v>8655</v>
      </c>
      <c r="X28" t="s">
        <v>3141</v>
      </c>
      <c r="Y28">
        <f t="shared" si="1"/>
        <v>0</v>
      </c>
    </row>
    <row r="29" spans="1:25" hidden="1">
      <c r="A29" s="4" t="s">
        <v>8790</v>
      </c>
      <c r="B29" t="s">
        <v>8789</v>
      </c>
      <c r="C29">
        <v>1268</v>
      </c>
      <c r="D29">
        <v>13</v>
      </c>
      <c r="E29" t="s">
        <v>5726</v>
      </c>
      <c r="F29" t="s">
        <v>5655</v>
      </c>
      <c r="H29" t="s">
        <v>6094</v>
      </c>
      <c r="J29" s="5" t="s">
        <v>8788</v>
      </c>
      <c r="K29" s="11"/>
      <c r="L29">
        <f t="shared" si="0"/>
        <v>0</v>
      </c>
      <c r="R29" s="16" t="s">
        <v>8064</v>
      </c>
      <c r="S29" s="16" t="s">
        <v>8064</v>
      </c>
      <c r="T29" s="4" t="s">
        <v>5745</v>
      </c>
      <c r="U29">
        <v>1</v>
      </c>
      <c r="V29" t="s">
        <v>8655</v>
      </c>
      <c r="X29" t="s">
        <v>3141</v>
      </c>
      <c r="Y29">
        <f t="shared" si="1"/>
        <v>0</v>
      </c>
    </row>
    <row r="30" spans="1:25" hidden="1">
      <c r="A30" s="4" t="s">
        <v>5756</v>
      </c>
      <c r="B30" t="s">
        <v>5764</v>
      </c>
      <c r="C30">
        <v>1268</v>
      </c>
      <c r="D30">
        <v>13</v>
      </c>
      <c r="E30" t="s">
        <v>5641</v>
      </c>
      <c r="F30" t="s">
        <v>5655</v>
      </c>
      <c r="H30" t="s">
        <v>6095</v>
      </c>
      <c r="J30" s="5" t="s">
        <v>8787</v>
      </c>
      <c r="K30" s="11"/>
      <c r="L30">
        <f t="shared" si="0"/>
        <v>0</v>
      </c>
      <c r="R30" s="16" t="s">
        <v>8064</v>
      </c>
      <c r="S30" s="16" t="s">
        <v>8064</v>
      </c>
      <c r="T30" s="4" t="s">
        <v>5756</v>
      </c>
      <c r="U30">
        <v>1</v>
      </c>
      <c r="V30" t="s">
        <v>8655</v>
      </c>
      <c r="X30" t="s">
        <v>3141</v>
      </c>
      <c r="Y30">
        <f t="shared" si="1"/>
        <v>0</v>
      </c>
    </row>
    <row r="31" spans="1:25" hidden="1">
      <c r="A31" s="4" t="s">
        <v>5755</v>
      </c>
      <c r="B31">
        <v>1273</v>
      </c>
      <c r="C31">
        <v>1273</v>
      </c>
      <c r="D31">
        <v>13</v>
      </c>
      <c r="E31" t="s">
        <v>5733</v>
      </c>
      <c r="F31" t="s">
        <v>5655</v>
      </c>
      <c r="H31" t="s">
        <v>6096</v>
      </c>
      <c r="J31" s="5" t="s">
        <v>8793</v>
      </c>
      <c r="K31" s="11"/>
      <c r="L31">
        <f t="shared" si="0"/>
        <v>0</v>
      </c>
      <c r="R31" s="16" t="s">
        <v>8064</v>
      </c>
      <c r="S31" s="16" t="s">
        <v>8064</v>
      </c>
      <c r="T31" s="4" t="s">
        <v>5755</v>
      </c>
      <c r="U31">
        <v>1</v>
      </c>
      <c r="V31" t="s">
        <v>8655</v>
      </c>
      <c r="X31" t="s">
        <v>3141</v>
      </c>
      <c r="Y31">
        <f t="shared" si="1"/>
        <v>0</v>
      </c>
    </row>
    <row r="32" spans="1:25" hidden="1">
      <c r="A32" s="4" t="s">
        <v>2258</v>
      </c>
      <c r="B32">
        <v>1279</v>
      </c>
      <c r="C32">
        <v>1279</v>
      </c>
      <c r="D32">
        <v>13</v>
      </c>
      <c r="E32" t="s">
        <v>5623</v>
      </c>
      <c r="F32" t="s">
        <v>5654</v>
      </c>
      <c r="H32" t="s">
        <v>6097</v>
      </c>
      <c r="J32" s="5" t="s">
        <v>5625</v>
      </c>
      <c r="K32" t="s">
        <v>5624</v>
      </c>
      <c r="L32">
        <f t="shared" si="0"/>
        <v>1</v>
      </c>
      <c r="M32" t="s">
        <v>5623</v>
      </c>
      <c r="N32" t="s">
        <v>6665</v>
      </c>
      <c r="O32" t="s">
        <v>11</v>
      </c>
      <c r="P32" t="s">
        <v>6666</v>
      </c>
      <c r="Q32" t="s">
        <v>6667</v>
      </c>
      <c r="R32" s="16" t="s">
        <v>8536</v>
      </c>
      <c r="S32" s="16" t="s">
        <v>8241</v>
      </c>
      <c r="T32" s="4" t="s">
        <v>2258</v>
      </c>
      <c r="U32">
        <v>1</v>
      </c>
      <c r="V32" t="s">
        <v>8656</v>
      </c>
      <c r="W32" t="s">
        <v>11</v>
      </c>
      <c r="X32" t="s">
        <v>3141</v>
      </c>
      <c r="Y32">
        <f t="shared" si="1"/>
        <v>1</v>
      </c>
    </row>
    <row r="33" spans="1:25" hidden="1">
      <c r="A33" s="4" t="s">
        <v>5754</v>
      </c>
      <c r="B33">
        <v>1285</v>
      </c>
      <c r="C33">
        <v>1285</v>
      </c>
      <c r="D33">
        <v>13</v>
      </c>
      <c r="E33" t="s">
        <v>5732</v>
      </c>
      <c r="F33" t="s">
        <v>5655</v>
      </c>
      <c r="H33" t="s">
        <v>6098</v>
      </c>
      <c r="J33" t="s">
        <v>8668</v>
      </c>
      <c r="K33" s="11"/>
      <c r="L33">
        <f t="shared" si="0"/>
        <v>1</v>
      </c>
      <c r="M33" t="s">
        <v>5732</v>
      </c>
      <c r="N33" t="s">
        <v>6287</v>
      </c>
      <c r="O33" t="s">
        <v>6288</v>
      </c>
      <c r="P33" t="s">
        <v>6926</v>
      </c>
      <c r="Q33" t="s">
        <v>6927</v>
      </c>
      <c r="R33" s="16" t="s">
        <v>8527</v>
      </c>
      <c r="S33" s="16" t="s">
        <v>8232</v>
      </c>
      <c r="T33" s="4" t="s">
        <v>5754</v>
      </c>
      <c r="U33">
        <v>0</v>
      </c>
      <c r="V33" t="s">
        <v>8654</v>
      </c>
      <c r="W33" t="s">
        <v>6288</v>
      </c>
      <c r="X33" t="s">
        <v>3141</v>
      </c>
      <c r="Y33">
        <f t="shared" si="1"/>
        <v>1</v>
      </c>
    </row>
    <row r="34" spans="1:25" hidden="1">
      <c r="A34" s="4" t="s">
        <v>2261</v>
      </c>
      <c r="B34">
        <v>1287</v>
      </c>
      <c r="C34">
        <v>1287</v>
      </c>
      <c r="D34">
        <v>13</v>
      </c>
      <c r="E34" t="s">
        <v>5614</v>
      </c>
      <c r="F34" t="s">
        <v>5655</v>
      </c>
      <c r="H34" t="s">
        <v>6099</v>
      </c>
      <c r="J34" s="5" t="s">
        <v>5615</v>
      </c>
      <c r="K34" t="s">
        <v>5616</v>
      </c>
      <c r="L34">
        <f t="shared" si="0"/>
        <v>1</v>
      </c>
      <c r="M34" t="s">
        <v>5614</v>
      </c>
      <c r="N34" t="s">
        <v>6625</v>
      </c>
      <c r="O34" t="s">
        <v>104</v>
      </c>
      <c r="P34" t="s">
        <v>6626</v>
      </c>
      <c r="Q34" t="s">
        <v>6627</v>
      </c>
      <c r="R34" s="16" t="s">
        <v>8531</v>
      </c>
      <c r="S34" s="16" t="s">
        <v>8236</v>
      </c>
      <c r="T34" s="4" t="s">
        <v>2261</v>
      </c>
      <c r="U34">
        <v>1</v>
      </c>
      <c r="V34" t="s">
        <v>8656</v>
      </c>
      <c r="W34" t="s">
        <v>104</v>
      </c>
      <c r="X34" t="s">
        <v>3141</v>
      </c>
      <c r="Y34">
        <f t="shared" si="1"/>
        <v>1</v>
      </c>
    </row>
    <row r="35" spans="1:25" hidden="1">
      <c r="A35" s="4" t="s">
        <v>5757</v>
      </c>
      <c r="B35">
        <v>1289</v>
      </c>
      <c r="C35">
        <v>1289</v>
      </c>
      <c r="D35">
        <v>13</v>
      </c>
      <c r="E35" t="s">
        <v>5722</v>
      </c>
      <c r="F35" t="s">
        <v>5655</v>
      </c>
      <c r="H35" t="s">
        <v>6100</v>
      </c>
      <c r="J35" t="s">
        <v>8668</v>
      </c>
      <c r="K35" s="11"/>
      <c r="L35">
        <f t="shared" si="0"/>
        <v>1</v>
      </c>
      <c r="M35" t="s">
        <v>5722</v>
      </c>
      <c r="N35" t="s">
        <v>6295</v>
      </c>
      <c r="O35" t="s">
        <v>11</v>
      </c>
      <c r="P35" t="s">
        <v>6881</v>
      </c>
      <c r="Q35" t="s">
        <v>6882</v>
      </c>
      <c r="R35" s="16" t="s">
        <v>8528</v>
      </c>
      <c r="S35" s="16" t="s">
        <v>8233</v>
      </c>
      <c r="T35" s="4" t="s">
        <v>5757</v>
      </c>
      <c r="U35">
        <v>0</v>
      </c>
      <c r="V35" t="s">
        <v>8654</v>
      </c>
      <c r="W35" t="s">
        <v>11</v>
      </c>
      <c r="X35" t="s">
        <v>3141</v>
      </c>
      <c r="Y35">
        <f t="shared" si="1"/>
        <v>1</v>
      </c>
    </row>
    <row r="36" spans="1:25" hidden="1">
      <c r="A36" s="4" t="s">
        <v>5758</v>
      </c>
      <c r="B36">
        <v>1290</v>
      </c>
      <c r="C36">
        <v>1290</v>
      </c>
      <c r="D36">
        <v>13</v>
      </c>
      <c r="E36" t="s">
        <v>1444</v>
      </c>
      <c r="F36" t="s">
        <v>5655</v>
      </c>
      <c r="H36" t="s">
        <v>6101</v>
      </c>
      <c r="J36" t="s">
        <v>8668</v>
      </c>
      <c r="K36" s="11"/>
      <c r="L36">
        <f t="shared" si="0"/>
        <v>0</v>
      </c>
      <c r="R36" s="16" t="s">
        <v>8064</v>
      </c>
      <c r="S36" s="16" t="s">
        <v>8064</v>
      </c>
      <c r="T36" s="4" t="s">
        <v>5758</v>
      </c>
      <c r="U36">
        <v>0</v>
      </c>
      <c r="V36" t="s">
        <v>8655</v>
      </c>
      <c r="X36" t="s">
        <v>3141</v>
      </c>
      <c r="Y36">
        <f t="shared" si="1"/>
        <v>0</v>
      </c>
    </row>
    <row r="37" spans="1:25" hidden="1">
      <c r="A37" s="4" t="s">
        <v>8791</v>
      </c>
      <c r="B37" t="s">
        <v>8792</v>
      </c>
      <c r="C37">
        <v>1297</v>
      </c>
      <c r="D37">
        <v>13</v>
      </c>
      <c r="E37" t="s">
        <v>5726</v>
      </c>
      <c r="F37" t="s">
        <v>5655</v>
      </c>
      <c r="H37" t="s">
        <v>6102</v>
      </c>
      <c r="J37" s="5" t="s">
        <v>8788</v>
      </c>
      <c r="K37" s="11"/>
      <c r="L37">
        <f t="shared" si="0"/>
        <v>0</v>
      </c>
      <c r="R37" s="16" t="s">
        <v>8064</v>
      </c>
      <c r="S37" s="16" t="s">
        <v>8064</v>
      </c>
      <c r="T37" s="4" t="s">
        <v>5745</v>
      </c>
      <c r="U37">
        <v>1</v>
      </c>
      <c r="V37" t="s">
        <v>8655</v>
      </c>
      <c r="X37" t="s">
        <v>3141</v>
      </c>
      <c r="Y37">
        <f t="shared" si="1"/>
        <v>0</v>
      </c>
    </row>
    <row r="38" spans="1:25" hidden="1">
      <c r="A38" s="4" t="s">
        <v>2260</v>
      </c>
      <c r="B38">
        <v>1299</v>
      </c>
      <c r="C38">
        <v>1299</v>
      </c>
      <c r="D38">
        <v>13</v>
      </c>
      <c r="E38" t="s">
        <v>5619</v>
      </c>
      <c r="F38" t="s">
        <v>5655</v>
      </c>
      <c r="H38" t="s">
        <v>6103</v>
      </c>
      <c r="J38" s="5" t="s">
        <v>5617</v>
      </c>
      <c r="K38" t="s">
        <v>5618</v>
      </c>
      <c r="L38">
        <f t="shared" si="0"/>
        <v>1</v>
      </c>
      <c r="M38" t="s">
        <v>5619</v>
      </c>
      <c r="N38" t="s">
        <v>6568</v>
      </c>
      <c r="O38" t="s">
        <v>6288</v>
      </c>
      <c r="P38" t="s">
        <v>6569</v>
      </c>
      <c r="Q38" t="s">
        <v>6570</v>
      </c>
      <c r="R38" s="16" t="s">
        <v>8534</v>
      </c>
      <c r="S38" s="16" t="s">
        <v>8239</v>
      </c>
      <c r="T38" s="4" t="s">
        <v>2260</v>
      </c>
      <c r="U38">
        <v>1</v>
      </c>
      <c r="V38" t="s">
        <v>8656</v>
      </c>
      <c r="W38" t="s">
        <v>6288</v>
      </c>
      <c r="X38" t="s">
        <v>3141</v>
      </c>
      <c r="Y38">
        <f t="shared" si="1"/>
        <v>1</v>
      </c>
    </row>
    <row r="39" spans="1:25" hidden="1">
      <c r="A39" s="4" t="s">
        <v>5753</v>
      </c>
      <c r="B39">
        <v>1300</v>
      </c>
      <c r="C39">
        <v>1300</v>
      </c>
      <c r="D39">
        <v>13</v>
      </c>
      <c r="E39" t="s">
        <v>5718</v>
      </c>
      <c r="F39" t="s">
        <v>5655</v>
      </c>
      <c r="H39" t="s">
        <v>6131</v>
      </c>
      <c r="J39" t="s">
        <v>8668</v>
      </c>
      <c r="L39">
        <f t="shared" si="0"/>
        <v>1</v>
      </c>
      <c r="M39" t="s">
        <v>6953</v>
      </c>
      <c r="N39" t="s">
        <v>6954</v>
      </c>
      <c r="O39" t="s">
        <v>6288</v>
      </c>
      <c r="P39" t="s">
        <v>6955</v>
      </c>
      <c r="Q39" t="s">
        <v>6956</v>
      </c>
      <c r="R39" s="16" t="s">
        <v>6955</v>
      </c>
      <c r="S39" s="16" t="s">
        <v>6956</v>
      </c>
      <c r="T39" s="4" t="s">
        <v>5753</v>
      </c>
      <c r="U39">
        <v>0</v>
      </c>
      <c r="V39" t="s">
        <v>8654</v>
      </c>
      <c r="W39" t="s">
        <v>6288</v>
      </c>
      <c r="X39" t="s">
        <v>3141</v>
      </c>
      <c r="Y39">
        <f t="shared" si="1"/>
        <v>1</v>
      </c>
    </row>
    <row r="40" spans="1:25" hidden="1">
      <c r="A40" s="4" t="s">
        <v>5759</v>
      </c>
      <c r="B40">
        <v>1300</v>
      </c>
      <c r="C40">
        <v>1300</v>
      </c>
      <c r="D40">
        <v>13</v>
      </c>
      <c r="E40" t="s">
        <v>6073</v>
      </c>
      <c r="F40" t="s">
        <v>5655</v>
      </c>
      <c r="H40" t="s">
        <v>6104</v>
      </c>
      <c r="J40" s="5" t="s">
        <v>9104</v>
      </c>
      <c r="K40" s="11"/>
      <c r="L40">
        <f t="shared" si="0"/>
        <v>1</v>
      </c>
      <c r="M40" t="s">
        <v>6073</v>
      </c>
      <c r="N40" t="s">
        <v>6325</v>
      </c>
      <c r="O40" t="s">
        <v>11</v>
      </c>
      <c r="P40">
        <v>113410</v>
      </c>
      <c r="Q40">
        <v>444940</v>
      </c>
      <c r="R40" s="16" t="s">
        <v>8378</v>
      </c>
      <c r="S40" s="16" t="s">
        <v>8082</v>
      </c>
      <c r="T40" s="4" t="s">
        <v>5759</v>
      </c>
      <c r="U40">
        <v>1</v>
      </c>
      <c r="V40" t="s">
        <v>8654</v>
      </c>
      <c r="W40" t="s">
        <v>11</v>
      </c>
      <c r="X40" t="s">
        <v>3141</v>
      </c>
      <c r="Y40">
        <f t="shared" si="1"/>
        <v>1</v>
      </c>
    </row>
    <row r="41" spans="1:25" hidden="1">
      <c r="A41" s="4" t="s">
        <v>5760</v>
      </c>
      <c r="B41" t="s">
        <v>5767</v>
      </c>
      <c r="C41">
        <v>1300</v>
      </c>
      <c r="D41">
        <v>13</v>
      </c>
      <c r="E41" t="s">
        <v>4502</v>
      </c>
      <c r="F41" t="s">
        <v>5655</v>
      </c>
      <c r="H41" t="s">
        <v>6105</v>
      </c>
      <c r="J41" t="s">
        <v>8668</v>
      </c>
      <c r="K41" s="11"/>
      <c r="L41">
        <f t="shared" si="0"/>
        <v>1</v>
      </c>
      <c r="M41" t="s">
        <v>4502</v>
      </c>
      <c r="N41" t="s">
        <v>6456</v>
      </c>
      <c r="O41" t="s">
        <v>104</v>
      </c>
      <c r="P41">
        <v>23522</v>
      </c>
      <c r="Q41">
        <v>488566</v>
      </c>
      <c r="R41" s="16" t="s">
        <v>8364</v>
      </c>
      <c r="S41" s="16" t="s">
        <v>8069</v>
      </c>
      <c r="T41" s="4" t="s">
        <v>5760</v>
      </c>
      <c r="U41">
        <v>0</v>
      </c>
      <c r="V41" t="s">
        <v>8654</v>
      </c>
      <c r="W41" t="s">
        <v>104</v>
      </c>
      <c r="X41" t="s">
        <v>3141</v>
      </c>
      <c r="Y41">
        <f t="shared" si="1"/>
        <v>1</v>
      </c>
    </row>
    <row r="42" spans="1:25" hidden="1">
      <c r="A42" s="4" t="s">
        <v>6018</v>
      </c>
      <c r="B42" t="s">
        <v>6016</v>
      </c>
      <c r="C42">
        <v>1180</v>
      </c>
      <c r="D42">
        <v>12</v>
      </c>
      <c r="E42" t="s">
        <v>6017</v>
      </c>
      <c r="F42" t="s">
        <v>6015</v>
      </c>
      <c r="H42" t="s">
        <v>6108</v>
      </c>
      <c r="J42" t="s">
        <v>8668</v>
      </c>
      <c r="L42">
        <f t="shared" si="0"/>
        <v>1</v>
      </c>
      <c r="M42" t="s">
        <v>6017</v>
      </c>
      <c r="N42" t="s">
        <v>6287</v>
      </c>
      <c r="O42" t="s">
        <v>6288</v>
      </c>
      <c r="P42" t="s">
        <v>6843</v>
      </c>
      <c r="Q42" t="s">
        <v>6844</v>
      </c>
      <c r="R42" s="16" t="s">
        <v>8537</v>
      </c>
      <c r="S42" s="16" t="s">
        <v>8242</v>
      </c>
      <c r="T42" s="4" t="s">
        <v>6018</v>
      </c>
      <c r="U42">
        <v>0</v>
      </c>
      <c r="V42" t="s">
        <v>8654</v>
      </c>
      <c r="W42" t="s">
        <v>6288</v>
      </c>
      <c r="X42" t="s">
        <v>3141</v>
      </c>
      <c r="Y42">
        <f t="shared" si="1"/>
        <v>1</v>
      </c>
    </row>
    <row r="43" spans="1:25" hidden="1">
      <c r="A43" s="4" t="s">
        <v>6019</v>
      </c>
      <c r="B43">
        <v>1280</v>
      </c>
      <c r="C43">
        <v>1280</v>
      </c>
      <c r="D43">
        <v>13</v>
      </c>
      <c r="E43" t="s">
        <v>4549</v>
      </c>
      <c r="F43" t="s">
        <v>6015</v>
      </c>
      <c r="H43" t="s">
        <v>6109</v>
      </c>
      <c r="J43" t="s">
        <v>8668</v>
      </c>
      <c r="L43">
        <f t="shared" si="0"/>
        <v>1</v>
      </c>
      <c r="M43" t="s">
        <v>4549</v>
      </c>
      <c r="N43" t="s">
        <v>6345</v>
      </c>
      <c r="O43" t="s">
        <v>104</v>
      </c>
      <c r="P43">
        <v>38770</v>
      </c>
      <c r="Q43">
        <v>436110</v>
      </c>
      <c r="R43" s="16" t="s">
        <v>8538</v>
      </c>
      <c r="S43" s="16" t="s">
        <v>8243</v>
      </c>
      <c r="T43" s="4" t="s">
        <v>6019</v>
      </c>
      <c r="U43">
        <v>0</v>
      </c>
      <c r="V43" t="s">
        <v>8654</v>
      </c>
      <c r="W43" t="s">
        <v>104</v>
      </c>
      <c r="X43" t="s">
        <v>3141</v>
      </c>
      <c r="Y43">
        <f t="shared" si="1"/>
        <v>1</v>
      </c>
    </row>
    <row r="44" spans="1:25" hidden="1">
      <c r="A44" s="4" t="s">
        <v>6133</v>
      </c>
      <c r="B44" t="s">
        <v>6026</v>
      </c>
      <c r="C44">
        <v>934</v>
      </c>
      <c r="D44">
        <v>10</v>
      </c>
      <c r="E44" t="s">
        <v>5719</v>
      </c>
      <c r="F44" t="s">
        <v>6027</v>
      </c>
      <c r="H44" t="s">
        <v>6110</v>
      </c>
      <c r="J44" t="s">
        <v>8668</v>
      </c>
      <c r="L44">
        <f t="shared" si="0"/>
        <v>1</v>
      </c>
      <c r="M44" t="s">
        <v>5719</v>
      </c>
      <c r="N44" t="s">
        <v>5719</v>
      </c>
      <c r="O44" t="s">
        <v>6288</v>
      </c>
      <c r="P44" t="s">
        <v>6808</v>
      </c>
      <c r="Q44" t="s">
        <v>6809</v>
      </c>
      <c r="R44" s="16" t="s">
        <v>6808</v>
      </c>
      <c r="S44" s="16" t="s">
        <v>6809</v>
      </c>
      <c r="T44" s="4" t="s">
        <v>6133</v>
      </c>
      <c r="U44">
        <v>0</v>
      </c>
      <c r="V44" t="s">
        <v>8656</v>
      </c>
      <c r="W44" t="s">
        <v>6288</v>
      </c>
      <c r="X44" t="s">
        <v>3141</v>
      </c>
      <c r="Y44">
        <f t="shared" si="1"/>
        <v>1</v>
      </c>
    </row>
    <row r="45" spans="1:25" hidden="1">
      <c r="A45" s="4" t="s">
        <v>6134</v>
      </c>
      <c r="B45" t="s">
        <v>6032</v>
      </c>
      <c r="C45">
        <v>1160</v>
      </c>
      <c r="D45">
        <v>12</v>
      </c>
      <c r="E45" t="s">
        <v>5719</v>
      </c>
      <c r="F45" t="s">
        <v>6033</v>
      </c>
      <c r="H45" t="s">
        <v>6111</v>
      </c>
      <c r="J45" t="s">
        <v>8668</v>
      </c>
      <c r="L45">
        <f t="shared" si="0"/>
        <v>1</v>
      </c>
      <c r="M45" t="s">
        <v>5719</v>
      </c>
      <c r="N45" t="s">
        <v>5719</v>
      </c>
      <c r="O45" t="s">
        <v>6288</v>
      </c>
      <c r="P45" t="s">
        <v>6808</v>
      </c>
      <c r="Q45" t="s">
        <v>6809</v>
      </c>
      <c r="R45" s="16" t="s">
        <v>6808</v>
      </c>
      <c r="S45" s="16" t="s">
        <v>6809</v>
      </c>
      <c r="T45" s="4" t="s">
        <v>8021</v>
      </c>
      <c r="U45">
        <v>0</v>
      </c>
      <c r="V45" t="s">
        <v>8656</v>
      </c>
      <c r="W45" t="s">
        <v>6288</v>
      </c>
      <c r="X45" t="s">
        <v>3141</v>
      </c>
      <c r="Y45">
        <f t="shared" si="1"/>
        <v>1</v>
      </c>
    </row>
    <row r="46" spans="1:25" hidden="1">
      <c r="A46" s="4" t="s">
        <v>7667</v>
      </c>
      <c r="B46">
        <v>1299</v>
      </c>
      <c r="C46">
        <v>1299</v>
      </c>
      <c r="D46">
        <v>13</v>
      </c>
      <c r="E46" t="s">
        <v>1444</v>
      </c>
      <c r="F46" t="s">
        <v>6034</v>
      </c>
      <c r="H46" t="s">
        <v>6112</v>
      </c>
      <c r="J46" t="s">
        <v>8668</v>
      </c>
      <c r="L46">
        <f t="shared" si="0"/>
        <v>0</v>
      </c>
      <c r="R46" s="16" t="s">
        <v>8064</v>
      </c>
      <c r="S46" s="16" t="s">
        <v>8064</v>
      </c>
      <c r="T46" s="4" t="s">
        <v>7667</v>
      </c>
      <c r="U46">
        <v>0</v>
      </c>
      <c r="V46" t="s">
        <v>8655</v>
      </c>
      <c r="X46" t="s">
        <v>3141</v>
      </c>
      <c r="Y46">
        <f t="shared" si="1"/>
        <v>0</v>
      </c>
    </row>
    <row r="47" spans="1:25" hidden="1">
      <c r="A47" s="4" t="s">
        <v>6132</v>
      </c>
      <c r="B47" t="s">
        <v>6029</v>
      </c>
      <c r="C47">
        <v>969</v>
      </c>
      <c r="D47">
        <v>10</v>
      </c>
      <c r="E47" t="s">
        <v>5719</v>
      </c>
      <c r="F47" t="s">
        <v>6028</v>
      </c>
      <c r="H47" t="s">
        <v>6113</v>
      </c>
      <c r="J47" t="s">
        <v>8668</v>
      </c>
      <c r="K47" s="4"/>
      <c r="L47">
        <f t="shared" si="0"/>
        <v>1</v>
      </c>
      <c r="M47" t="s">
        <v>5719</v>
      </c>
      <c r="N47" t="s">
        <v>5719</v>
      </c>
      <c r="O47" t="s">
        <v>6288</v>
      </c>
      <c r="P47" t="s">
        <v>6808</v>
      </c>
      <c r="Q47" t="s">
        <v>6809</v>
      </c>
      <c r="R47" s="16" t="s">
        <v>6808</v>
      </c>
      <c r="S47" s="16" t="s">
        <v>6809</v>
      </c>
      <c r="T47" s="4" t="s">
        <v>8022</v>
      </c>
      <c r="U47">
        <v>0</v>
      </c>
      <c r="V47" t="s">
        <v>8656</v>
      </c>
      <c r="W47" t="s">
        <v>6288</v>
      </c>
      <c r="X47" t="s">
        <v>3141</v>
      </c>
      <c r="Y47">
        <f t="shared" si="1"/>
        <v>1</v>
      </c>
    </row>
    <row r="48" spans="1:25" hidden="1">
      <c r="A48" s="4" t="s">
        <v>6135</v>
      </c>
      <c r="B48" t="s">
        <v>6031</v>
      </c>
      <c r="C48">
        <v>1050</v>
      </c>
      <c r="D48">
        <v>11</v>
      </c>
      <c r="E48" t="s">
        <v>5719</v>
      </c>
      <c r="F48" t="s">
        <v>6030</v>
      </c>
      <c r="H48" t="s">
        <v>6114</v>
      </c>
      <c r="J48" s="4" t="s">
        <v>8668</v>
      </c>
      <c r="K48" s="4"/>
      <c r="L48">
        <f t="shared" si="0"/>
        <v>1</v>
      </c>
      <c r="M48" t="s">
        <v>5719</v>
      </c>
      <c r="N48" t="s">
        <v>5719</v>
      </c>
      <c r="O48" t="s">
        <v>6288</v>
      </c>
      <c r="P48" t="s">
        <v>6808</v>
      </c>
      <c r="Q48" t="s">
        <v>6809</v>
      </c>
      <c r="R48" s="16" t="s">
        <v>6808</v>
      </c>
      <c r="S48" s="16" t="s">
        <v>6809</v>
      </c>
      <c r="T48" s="4" t="s">
        <v>6135</v>
      </c>
      <c r="U48">
        <v>0</v>
      </c>
      <c r="V48" t="s">
        <v>8656</v>
      </c>
      <c r="W48" t="s">
        <v>6288</v>
      </c>
      <c r="X48" t="s">
        <v>3141</v>
      </c>
      <c r="Y48">
        <f t="shared" si="1"/>
        <v>1</v>
      </c>
    </row>
    <row r="49" spans="1:25" hidden="1">
      <c r="A49" s="4" t="s">
        <v>2254</v>
      </c>
      <c r="B49">
        <v>1216</v>
      </c>
      <c r="C49">
        <v>1216</v>
      </c>
      <c r="D49">
        <v>13</v>
      </c>
      <c r="E49" t="s">
        <v>5634</v>
      </c>
      <c r="F49" t="s">
        <v>5652</v>
      </c>
      <c r="H49" t="s">
        <v>6038</v>
      </c>
      <c r="J49" s="4" t="s">
        <v>5635</v>
      </c>
      <c r="K49" s="4"/>
      <c r="L49">
        <f t="shared" si="0"/>
        <v>1</v>
      </c>
      <c r="M49" t="s">
        <v>5634</v>
      </c>
      <c r="N49" t="s">
        <v>6287</v>
      </c>
      <c r="O49" t="s">
        <v>6288</v>
      </c>
      <c r="P49" t="s">
        <v>6865</v>
      </c>
      <c r="Q49" t="s">
        <v>6866</v>
      </c>
      <c r="R49" s="16" t="s">
        <v>8540</v>
      </c>
      <c r="S49" s="16" t="s">
        <v>8245</v>
      </c>
      <c r="T49" s="4" t="s">
        <v>2254</v>
      </c>
      <c r="U49">
        <v>1</v>
      </c>
      <c r="V49" t="s">
        <v>8656</v>
      </c>
      <c r="W49" t="s">
        <v>6288</v>
      </c>
      <c r="X49" t="s">
        <v>3141</v>
      </c>
      <c r="Y49">
        <f t="shared" si="1"/>
        <v>1</v>
      </c>
    </row>
    <row r="50" spans="1:25" hidden="1">
      <c r="A50" s="4" t="s">
        <v>6022</v>
      </c>
      <c r="B50">
        <v>1225</v>
      </c>
      <c r="C50">
        <v>1225</v>
      </c>
      <c r="D50">
        <v>13</v>
      </c>
      <c r="E50" t="s">
        <v>6023</v>
      </c>
      <c r="F50" t="s">
        <v>6024</v>
      </c>
      <c r="H50" t="s">
        <v>6025</v>
      </c>
      <c r="J50" s="4" t="s">
        <v>5637</v>
      </c>
      <c r="K50" s="4"/>
      <c r="L50">
        <f t="shared" si="0"/>
        <v>1</v>
      </c>
      <c r="M50" t="s">
        <v>6023</v>
      </c>
      <c r="N50" t="s">
        <v>6718</v>
      </c>
      <c r="O50" t="s">
        <v>6719</v>
      </c>
      <c r="P50" t="s">
        <v>6720</v>
      </c>
      <c r="Q50" t="s">
        <v>6721</v>
      </c>
      <c r="R50" s="16" t="s">
        <v>8539</v>
      </c>
      <c r="S50" s="16" t="s">
        <v>8244</v>
      </c>
      <c r="T50" s="4" t="s">
        <v>6022</v>
      </c>
      <c r="U50">
        <v>1</v>
      </c>
      <c r="V50" t="s">
        <v>8654</v>
      </c>
      <c r="W50" t="s">
        <v>6719</v>
      </c>
      <c r="X50" t="s">
        <v>3141</v>
      </c>
      <c r="Y50">
        <f t="shared" si="1"/>
        <v>1</v>
      </c>
    </row>
    <row r="51" spans="1:25" hidden="1">
      <c r="A51" s="4" t="s">
        <v>2253</v>
      </c>
      <c r="B51">
        <v>1296</v>
      </c>
      <c r="C51">
        <v>1296</v>
      </c>
      <c r="D51">
        <v>13</v>
      </c>
      <c r="E51" t="s">
        <v>6052</v>
      </c>
      <c r="F51" t="s">
        <v>5651</v>
      </c>
      <c r="H51" t="s">
        <v>6020</v>
      </c>
      <c r="J51" s="5" t="s">
        <v>5637</v>
      </c>
      <c r="K51" t="s">
        <v>5638</v>
      </c>
      <c r="L51">
        <f t="shared" si="0"/>
        <v>0</v>
      </c>
      <c r="R51" s="16" t="s">
        <v>8064</v>
      </c>
      <c r="S51" s="16" t="s">
        <v>8064</v>
      </c>
      <c r="T51" s="4" t="s">
        <v>2253</v>
      </c>
      <c r="U51">
        <v>1</v>
      </c>
      <c r="V51" t="s">
        <v>8655</v>
      </c>
      <c r="X51" t="s">
        <v>3141</v>
      </c>
      <c r="Y51">
        <f t="shared" si="1"/>
        <v>0</v>
      </c>
    </row>
    <row r="52" spans="1:25" hidden="1">
      <c r="A52" s="4" t="s">
        <v>6143</v>
      </c>
      <c r="B52" t="s">
        <v>6039</v>
      </c>
      <c r="C52">
        <v>1112</v>
      </c>
      <c r="D52">
        <v>12</v>
      </c>
      <c r="E52" t="s">
        <v>5642</v>
      </c>
      <c r="F52" t="s">
        <v>6055</v>
      </c>
      <c r="H52" t="s">
        <v>6115</v>
      </c>
      <c r="J52" s="5" t="s">
        <v>5608</v>
      </c>
      <c r="L52">
        <f t="shared" si="0"/>
        <v>1</v>
      </c>
      <c r="M52" t="s">
        <v>5642</v>
      </c>
      <c r="N52" t="s">
        <v>6287</v>
      </c>
      <c r="O52" t="s">
        <v>6288</v>
      </c>
      <c r="P52">
        <v>144560</v>
      </c>
      <c r="Q52">
        <v>475790</v>
      </c>
      <c r="R52" s="16" t="s">
        <v>8543</v>
      </c>
      <c r="S52" s="16" t="s">
        <v>8249</v>
      </c>
      <c r="T52" s="4" t="s">
        <v>6143</v>
      </c>
      <c r="U52">
        <v>1</v>
      </c>
      <c r="V52" t="s">
        <v>8656</v>
      </c>
      <c r="W52" t="s">
        <v>6288</v>
      </c>
      <c r="X52" t="s">
        <v>3141</v>
      </c>
      <c r="Y52">
        <f t="shared" si="1"/>
        <v>1</v>
      </c>
    </row>
    <row r="53" spans="1:25" hidden="1">
      <c r="A53" s="4" t="s">
        <v>6139</v>
      </c>
      <c r="B53" t="s">
        <v>6041</v>
      </c>
      <c r="C53">
        <v>1167</v>
      </c>
      <c r="D53">
        <v>12</v>
      </c>
      <c r="E53" t="s">
        <v>5642</v>
      </c>
      <c r="F53" t="s">
        <v>5650</v>
      </c>
      <c r="H53" t="s">
        <v>6116</v>
      </c>
      <c r="J53" s="5" t="s">
        <v>9109</v>
      </c>
      <c r="L53">
        <f t="shared" si="0"/>
        <v>1</v>
      </c>
      <c r="M53" t="s">
        <v>5642</v>
      </c>
      <c r="N53" t="s">
        <v>6287</v>
      </c>
      <c r="O53" t="s">
        <v>6288</v>
      </c>
      <c r="P53">
        <v>144560</v>
      </c>
      <c r="Q53">
        <v>475790</v>
      </c>
      <c r="R53" s="16" t="s">
        <v>8543</v>
      </c>
      <c r="S53" s="16" t="s">
        <v>8249</v>
      </c>
      <c r="T53" s="4" t="s">
        <v>6139</v>
      </c>
      <c r="U53">
        <v>1</v>
      </c>
      <c r="V53" t="s">
        <v>8656</v>
      </c>
      <c r="W53" t="s">
        <v>6288</v>
      </c>
      <c r="X53" t="s">
        <v>3141</v>
      </c>
      <c r="Y53">
        <f t="shared" si="1"/>
        <v>1</v>
      </c>
    </row>
    <row r="54" spans="1:25" hidden="1">
      <c r="A54" s="4" t="s">
        <v>6142</v>
      </c>
      <c r="B54" t="s">
        <v>6044</v>
      </c>
      <c r="C54">
        <v>1170</v>
      </c>
      <c r="D54">
        <v>12</v>
      </c>
      <c r="E54" t="s">
        <v>5642</v>
      </c>
      <c r="F54" t="s">
        <v>6060</v>
      </c>
      <c r="H54" t="s">
        <v>6117</v>
      </c>
      <c r="J54" s="5" t="s">
        <v>9111</v>
      </c>
      <c r="L54">
        <f t="shared" si="0"/>
        <v>1</v>
      </c>
      <c r="M54" t="s">
        <v>5642</v>
      </c>
      <c r="N54" t="s">
        <v>6287</v>
      </c>
      <c r="O54" t="s">
        <v>6288</v>
      </c>
      <c r="P54">
        <v>144560</v>
      </c>
      <c r="Q54">
        <v>475790</v>
      </c>
      <c r="R54" s="16" t="s">
        <v>8543</v>
      </c>
      <c r="S54" s="16" t="s">
        <v>8249</v>
      </c>
      <c r="T54" s="4" t="s">
        <v>6142</v>
      </c>
      <c r="U54">
        <v>1</v>
      </c>
      <c r="V54" t="s">
        <v>8656</v>
      </c>
      <c r="W54" t="s">
        <v>6288</v>
      </c>
      <c r="X54" t="s">
        <v>3141</v>
      </c>
      <c r="Y54">
        <f t="shared" si="1"/>
        <v>1</v>
      </c>
    </row>
    <row r="55" spans="1:25" hidden="1">
      <c r="A55" s="4" t="s">
        <v>6138</v>
      </c>
      <c r="B55" t="s">
        <v>6040</v>
      </c>
      <c r="C55">
        <v>1155</v>
      </c>
      <c r="D55">
        <v>12</v>
      </c>
      <c r="E55" t="s">
        <v>5719</v>
      </c>
      <c r="F55" t="s">
        <v>6056</v>
      </c>
      <c r="H55" t="s">
        <v>6118</v>
      </c>
      <c r="J55" s="5" t="s">
        <v>9105</v>
      </c>
      <c r="L55">
        <f t="shared" si="0"/>
        <v>1</v>
      </c>
      <c r="M55" t="s">
        <v>5719</v>
      </c>
      <c r="N55" t="s">
        <v>5719</v>
      </c>
      <c r="O55" t="s">
        <v>6288</v>
      </c>
      <c r="P55" t="s">
        <v>6808</v>
      </c>
      <c r="Q55" t="s">
        <v>6809</v>
      </c>
      <c r="R55" s="16" t="s">
        <v>6808</v>
      </c>
      <c r="S55" s="16" t="s">
        <v>6809</v>
      </c>
      <c r="T55" s="4" t="s">
        <v>6138</v>
      </c>
      <c r="U55">
        <v>1</v>
      </c>
      <c r="V55" t="s">
        <v>8656</v>
      </c>
      <c r="W55" t="s">
        <v>6288</v>
      </c>
      <c r="X55" t="s">
        <v>3141</v>
      </c>
      <c r="Y55">
        <f t="shared" si="1"/>
        <v>1</v>
      </c>
    </row>
    <row r="56" spans="1:25" hidden="1">
      <c r="A56" s="4" t="s">
        <v>2257</v>
      </c>
      <c r="B56">
        <v>1172</v>
      </c>
      <c r="C56">
        <v>1172</v>
      </c>
      <c r="D56">
        <v>12</v>
      </c>
      <c r="E56" t="s">
        <v>5626</v>
      </c>
      <c r="F56" t="s">
        <v>5653</v>
      </c>
      <c r="H56" t="s">
        <v>6074</v>
      </c>
      <c r="J56" t="s">
        <v>8668</v>
      </c>
      <c r="K56" t="s">
        <v>5628</v>
      </c>
      <c r="L56">
        <f t="shared" si="0"/>
        <v>1</v>
      </c>
      <c r="M56" t="s">
        <v>6735</v>
      </c>
      <c r="N56" t="s">
        <v>6287</v>
      </c>
      <c r="O56" t="s">
        <v>6288</v>
      </c>
      <c r="P56" t="s">
        <v>6736</v>
      </c>
      <c r="Q56" t="s">
        <v>6737</v>
      </c>
      <c r="R56" s="16" t="s">
        <v>8541</v>
      </c>
      <c r="S56" s="16" t="s">
        <v>8246</v>
      </c>
      <c r="T56" s="4" t="s">
        <v>2257</v>
      </c>
      <c r="U56">
        <v>0</v>
      </c>
      <c r="V56" t="s">
        <v>8656</v>
      </c>
      <c r="W56" t="s">
        <v>6288</v>
      </c>
      <c r="X56" t="s">
        <v>3141</v>
      </c>
      <c r="Y56">
        <f t="shared" si="1"/>
        <v>1</v>
      </c>
    </row>
    <row r="57" spans="1:25" hidden="1">
      <c r="A57" s="11" t="s">
        <v>2248</v>
      </c>
      <c r="B57">
        <v>1180</v>
      </c>
      <c r="C57">
        <v>1180</v>
      </c>
      <c r="D57">
        <v>12</v>
      </c>
      <c r="E57" t="s">
        <v>5642</v>
      </c>
      <c r="F57" t="s">
        <v>6061</v>
      </c>
      <c r="H57" t="s">
        <v>6075</v>
      </c>
      <c r="J57" s="5" t="s">
        <v>5608</v>
      </c>
      <c r="K57" s="5" t="s">
        <v>5609</v>
      </c>
      <c r="L57">
        <f t="shared" si="0"/>
        <v>1</v>
      </c>
      <c r="M57" t="s">
        <v>5642</v>
      </c>
      <c r="N57" t="s">
        <v>6287</v>
      </c>
      <c r="O57" t="s">
        <v>6288</v>
      </c>
      <c r="P57">
        <v>144560</v>
      </c>
      <c r="Q57">
        <v>475790</v>
      </c>
      <c r="R57" s="16" t="s">
        <v>8543</v>
      </c>
      <c r="S57" s="16" t="s">
        <v>8249</v>
      </c>
      <c r="T57" s="11" t="s">
        <v>2248</v>
      </c>
      <c r="U57">
        <v>1</v>
      </c>
      <c r="V57" t="s">
        <v>8656</v>
      </c>
      <c r="W57" t="s">
        <v>6288</v>
      </c>
      <c r="X57" t="s">
        <v>3141</v>
      </c>
      <c r="Y57">
        <f t="shared" si="1"/>
        <v>1</v>
      </c>
    </row>
    <row r="58" spans="1:25" hidden="1">
      <c r="A58" s="4" t="s">
        <v>6145</v>
      </c>
      <c r="B58" t="s">
        <v>6042</v>
      </c>
      <c r="C58">
        <v>1193</v>
      </c>
      <c r="D58">
        <v>12</v>
      </c>
      <c r="E58" t="s">
        <v>5732</v>
      </c>
      <c r="F58" t="s">
        <v>6062</v>
      </c>
      <c r="H58" t="s">
        <v>6119</v>
      </c>
      <c r="J58" t="s">
        <v>9107</v>
      </c>
      <c r="L58">
        <f t="shared" si="0"/>
        <v>1</v>
      </c>
      <c r="M58" t="s">
        <v>5732</v>
      </c>
      <c r="N58" t="s">
        <v>6287</v>
      </c>
      <c r="O58" t="s">
        <v>6288</v>
      </c>
      <c r="P58" t="s">
        <v>6926</v>
      </c>
      <c r="Q58" t="s">
        <v>6927</v>
      </c>
      <c r="R58" s="16" t="s">
        <v>8527</v>
      </c>
      <c r="S58" s="16" t="s">
        <v>8232</v>
      </c>
      <c r="T58" s="4" t="s">
        <v>6145</v>
      </c>
      <c r="U58">
        <v>1</v>
      </c>
      <c r="V58" t="s">
        <v>8656</v>
      </c>
      <c r="W58" t="s">
        <v>6288</v>
      </c>
      <c r="X58" t="s">
        <v>3141</v>
      </c>
      <c r="Y58">
        <f t="shared" si="1"/>
        <v>1</v>
      </c>
    </row>
    <row r="59" spans="1:25" hidden="1">
      <c r="A59" s="4" t="s">
        <v>6150</v>
      </c>
      <c r="B59" t="s">
        <v>6040</v>
      </c>
      <c r="C59">
        <v>1155</v>
      </c>
      <c r="D59">
        <v>12</v>
      </c>
      <c r="E59" t="s">
        <v>5719</v>
      </c>
      <c r="F59" t="s">
        <v>6057</v>
      </c>
      <c r="H59" t="s">
        <v>6120</v>
      </c>
      <c r="J59" s="5" t="s">
        <v>9106</v>
      </c>
      <c r="L59">
        <f t="shared" si="0"/>
        <v>1</v>
      </c>
      <c r="M59" t="s">
        <v>5719</v>
      </c>
      <c r="N59" t="s">
        <v>5719</v>
      </c>
      <c r="O59" t="s">
        <v>6288</v>
      </c>
      <c r="P59" t="s">
        <v>6808</v>
      </c>
      <c r="Q59" t="s">
        <v>6809</v>
      </c>
      <c r="R59" s="16" t="s">
        <v>6808</v>
      </c>
      <c r="S59" s="16" t="s">
        <v>6809</v>
      </c>
      <c r="T59" s="4" t="s">
        <v>6150</v>
      </c>
      <c r="U59">
        <v>1</v>
      </c>
      <c r="V59" t="s">
        <v>8656</v>
      </c>
      <c r="W59" t="s">
        <v>6288</v>
      </c>
      <c r="X59" t="s">
        <v>3141</v>
      </c>
      <c r="Y59">
        <f t="shared" si="1"/>
        <v>1</v>
      </c>
    </row>
    <row r="60" spans="1:25" hidden="1">
      <c r="A60" s="4" t="s">
        <v>6146</v>
      </c>
      <c r="B60" t="s">
        <v>6042</v>
      </c>
      <c r="C60">
        <v>1193</v>
      </c>
      <c r="D60">
        <v>12</v>
      </c>
      <c r="E60" t="s">
        <v>6049</v>
      </c>
      <c r="F60" t="s">
        <v>6063</v>
      </c>
      <c r="H60" t="s">
        <v>6121</v>
      </c>
      <c r="J60" t="s">
        <v>8668</v>
      </c>
      <c r="L60">
        <f t="shared" si="0"/>
        <v>1</v>
      </c>
      <c r="M60" t="s">
        <v>6049</v>
      </c>
      <c r="N60" t="s">
        <v>6928</v>
      </c>
      <c r="O60" t="s">
        <v>6288</v>
      </c>
      <c r="P60" t="s">
        <v>6929</v>
      </c>
      <c r="Q60" t="s">
        <v>6930</v>
      </c>
      <c r="R60" s="16" t="s">
        <v>8543</v>
      </c>
      <c r="S60" s="16" t="s">
        <v>8249</v>
      </c>
      <c r="T60" s="4" t="s">
        <v>6146</v>
      </c>
      <c r="U60">
        <v>0</v>
      </c>
      <c r="V60" t="s">
        <v>8654</v>
      </c>
      <c r="W60" t="s">
        <v>6288</v>
      </c>
      <c r="X60" t="s">
        <v>3141</v>
      </c>
      <c r="Y60">
        <f t="shared" si="1"/>
        <v>1</v>
      </c>
    </row>
    <row r="61" spans="1:25" hidden="1">
      <c r="A61" s="4" t="s">
        <v>6147</v>
      </c>
      <c r="B61">
        <v>1197</v>
      </c>
      <c r="C61">
        <v>1197</v>
      </c>
      <c r="D61">
        <v>12</v>
      </c>
      <c r="E61" t="s">
        <v>6050</v>
      </c>
      <c r="F61" t="s">
        <v>6064</v>
      </c>
      <c r="H61" t="s">
        <v>6122</v>
      </c>
      <c r="J61" t="s">
        <v>8668</v>
      </c>
      <c r="L61">
        <f t="shared" si="0"/>
        <v>1</v>
      </c>
      <c r="M61" t="s">
        <v>5642</v>
      </c>
      <c r="N61" t="s">
        <v>6287</v>
      </c>
      <c r="O61" t="s">
        <v>6288</v>
      </c>
      <c r="P61">
        <v>144560</v>
      </c>
      <c r="Q61">
        <v>475790</v>
      </c>
      <c r="R61" s="16" t="s">
        <v>8543</v>
      </c>
      <c r="S61" s="16" t="s">
        <v>8249</v>
      </c>
      <c r="T61" s="4" t="s">
        <v>6147</v>
      </c>
      <c r="U61">
        <v>0</v>
      </c>
      <c r="V61" t="s">
        <v>8654</v>
      </c>
      <c r="W61" t="s">
        <v>6288</v>
      </c>
      <c r="X61" t="s">
        <v>3141</v>
      </c>
      <c r="Y61">
        <f t="shared" si="1"/>
        <v>1</v>
      </c>
    </row>
    <row r="62" spans="1:25" hidden="1">
      <c r="A62" s="4" t="s">
        <v>6137</v>
      </c>
      <c r="B62" t="s">
        <v>6048</v>
      </c>
      <c r="C62">
        <v>1205</v>
      </c>
      <c r="D62">
        <v>13</v>
      </c>
      <c r="E62" t="s">
        <v>5642</v>
      </c>
      <c r="F62" t="s">
        <v>6065</v>
      </c>
      <c r="H62" t="s">
        <v>6123</v>
      </c>
      <c r="J62" s="5" t="s">
        <v>9108</v>
      </c>
      <c r="L62">
        <f t="shared" si="0"/>
        <v>1</v>
      </c>
      <c r="M62" t="s">
        <v>5642</v>
      </c>
      <c r="N62" t="s">
        <v>6287</v>
      </c>
      <c r="O62" t="s">
        <v>6288</v>
      </c>
      <c r="P62">
        <v>144560</v>
      </c>
      <c r="Q62">
        <v>475790</v>
      </c>
      <c r="R62" s="16" t="s">
        <v>8543</v>
      </c>
      <c r="S62" s="16" t="s">
        <v>8249</v>
      </c>
      <c r="T62" s="4" t="s">
        <v>6137</v>
      </c>
      <c r="U62">
        <v>1</v>
      </c>
      <c r="V62" t="s">
        <v>8656</v>
      </c>
      <c r="W62" t="s">
        <v>6288</v>
      </c>
      <c r="X62" t="s">
        <v>3141</v>
      </c>
      <c r="Y62">
        <f t="shared" si="1"/>
        <v>1</v>
      </c>
    </row>
    <row r="63" spans="1:25" hidden="1">
      <c r="A63" s="4" t="s">
        <v>2251</v>
      </c>
      <c r="B63">
        <v>1205</v>
      </c>
      <c r="C63">
        <v>1205</v>
      </c>
      <c r="D63">
        <v>13</v>
      </c>
      <c r="E63" t="s">
        <v>5642</v>
      </c>
      <c r="F63" t="s">
        <v>6066</v>
      </c>
      <c r="H63" t="s">
        <v>6037</v>
      </c>
      <c r="J63" s="5" t="s">
        <v>5643</v>
      </c>
      <c r="K63" t="s">
        <v>5644</v>
      </c>
      <c r="L63">
        <f t="shared" si="0"/>
        <v>1</v>
      </c>
      <c r="M63" t="s">
        <v>5642</v>
      </c>
      <c r="N63" t="s">
        <v>6287</v>
      </c>
      <c r="O63" t="s">
        <v>6288</v>
      </c>
      <c r="P63">
        <v>144560</v>
      </c>
      <c r="Q63">
        <v>475790</v>
      </c>
      <c r="R63" s="16" t="s">
        <v>8543</v>
      </c>
      <c r="S63" s="16" t="s">
        <v>8249</v>
      </c>
      <c r="T63" s="4" t="s">
        <v>2251</v>
      </c>
      <c r="U63">
        <v>1</v>
      </c>
      <c r="V63" t="s">
        <v>8656</v>
      </c>
      <c r="W63" t="s">
        <v>6288</v>
      </c>
      <c r="X63" t="s">
        <v>3141</v>
      </c>
      <c r="Y63">
        <f t="shared" si="1"/>
        <v>1</v>
      </c>
    </row>
    <row r="64" spans="1:25" hidden="1">
      <c r="A64" s="4" t="s">
        <v>2252</v>
      </c>
      <c r="B64">
        <v>1223</v>
      </c>
      <c r="C64">
        <v>1223</v>
      </c>
      <c r="D64">
        <v>13</v>
      </c>
      <c r="E64" t="s">
        <v>5641</v>
      </c>
      <c r="F64" t="s">
        <v>6067</v>
      </c>
      <c r="H64" t="s">
        <v>6021</v>
      </c>
      <c r="J64" s="5" t="s">
        <v>5639</v>
      </c>
      <c r="K64" t="s">
        <v>5640</v>
      </c>
      <c r="L64">
        <f t="shared" si="0"/>
        <v>0</v>
      </c>
      <c r="R64" s="16" t="s">
        <v>8064</v>
      </c>
      <c r="S64" s="16" t="s">
        <v>8064</v>
      </c>
      <c r="T64" s="4" t="s">
        <v>2252</v>
      </c>
      <c r="U64">
        <v>1</v>
      </c>
      <c r="V64" t="s">
        <v>8655</v>
      </c>
      <c r="X64" t="s">
        <v>3141</v>
      </c>
      <c r="Y64">
        <f t="shared" si="1"/>
        <v>0</v>
      </c>
    </row>
    <row r="65" spans="1:25" hidden="1">
      <c r="A65" s="4" t="s">
        <v>6140</v>
      </c>
      <c r="B65" t="s">
        <v>6047</v>
      </c>
      <c r="C65">
        <v>1236</v>
      </c>
      <c r="D65">
        <v>13</v>
      </c>
      <c r="E65" t="s">
        <v>5642</v>
      </c>
      <c r="F65" t="s">
        <v>6068</v>
      </c>
      <c r="H65" t="s">
        <v>6124</v>
      </c>
      <c r="J65" s="5" t="s">
        <v>9110</v>
      </c>
      <c r="L65">
        <f t="shared" si="0"/>
        <v>1</v>
      </c>
      <c r="M65" t="s">
        <v>5642</v>
      </c>
      <c r="N65" t="s">
        <v>6287</v>
      </c>
      <c r="O65" t="s">
        <v>6288</v>
      </c>
      <c r="P65">
        <v>144560</v>
      </c>
      <c r="Q65">
        <v>475790</v>
      </c>
      <c r="R65" s="16" t="s">
        <v>8543</v>
      </c>
      <c r="S65" s="16" t="s">
        <v>8249</v>
      </c>
      <c r="T65" s="4" t="s">
        <v>7898</v>
      </c>
      <c r="U65">
        <v>1</v>
      </c>
      <c r="V65" t="s">
        <v>8656</v>
      </c>
      <c r="W65" t="s">
        <v>6288</v>
      </c>
      <c r="X65" t="s">
        <v>3141</v>
      </c>
      <c r="Y65">
        <f t="shared" si="1"/>
        <v>1</v>
      </c>
    </row>
    <row r="66" spans="1:25" hidden="1">
      <c r="A66" s="4" t="s">
        <v>6141</v>
      </c>
      <c r="B66">
        <v>1259</v>
      </c>
      <c r="C66">
        <v>1259</v>
      </c>
      <c r="D66">
        <v>13</v>
      </c>
      <c r="E66" t="s">
        <v>5642</v>
      </c>
      <c r="F66" t="s">
        <v>6068</v>
      </c>
      <c r="H66" t="s">
        <v>6125</v>
      </c>
      <c r="J66" s="5" t="s">
        <v>9110</v>
      </c>
      <c r="L66">
        <f t="shared" ref="L66:L129" si="2">IF(M66&lt;&gt;"",1,0)</f>
        <v>1</v>
      </c>
      <c r="M66" t="s">
        <v>5642</v>
      </c>
      <c r="N66" t="s">
        <v>6287</v>
      </c>
      <c r="O66" t="s">
        <v>6288</v>
      </c>
      <c r="P66">
        <v>144560</v>
      </c>
      <c r="Q66">
        <v>475790</v>
      </c>
      <c r="R66" s="16" t="s">
        <v>8543</v>
      </c>
      <c r="S66" s="16" t="s">
        <v>8249</v>
      </c>
      <c r="T66" s="4" t="s">
        <v>7898</v>
      </c>
      <c r="U66">
        <v>1</v>
      </c>
      <c r="V66" t="s">
        <v>8656</v>
      </c>
      <c r="W66" t="s">
        <v>6288</v>
      </c>
      <c r="X66" t="s">
        <v>3141</v>
      </c>
      <c r="Y66">
        <f t="shared" ref="Y66:Y129" si="3">IF(OR(V66="Loc",V66="IIIF"),1,0)</f>
        <v>1</v>
      </c>
    </row>
    <row r="67" spans="1:25" hidden="1">
      <c r="A67" s="4" t="s">
        <v>6148</v>
      </c>
      <c r="B67">
        <v>1282</v>
      </c>
      <c r="C67">
        <v>1282</v>
      </c>
      <c r="D67">
        <v>13</v>
      </c>
      <c r="E67" t="s">
        <v>6051</v>
      </c>
      <c r="F67" t="s">
        <v>6069</v>
      </c>
      <c r="H67" t="s">
        <v>6126</v>
      </c>
      <c r="J67" t="s">
        <v>8668</v>
      </c>
      <c r="L67">
        <f t="shared" si="2"/>
        <v>1</v>
      </c>
      <c r="M67" t="s">
        <v>6051</v>
      </c>
      <c r="N67" t="s">
        <v>6345</v>
      </c>
      <c r="O67" t="s">
        <v>104</v>
      </c>
      <c r="P67">
        <v>14360</v>
      </c>
      <c r="Q67">
        <v>444470</v>
      </c>
      <c r="R67" s="16" t="s">
        <v>8544</v>
      </c>
      <c r="S67" s="16" t="s">
        <v>8250</v>
      </c>
      <c r="T67" s="4" t="s">
        <v>6148</v>
      </c>
      <c r="U67">
        <v>0</v>
      </c>
      <c r="V67" t="s">
        <v>8654</v>
      </c>
      <c r="W67" t="s">
        <v>104</v>
      </c>
      <c r="X67" t="s">
        <v>3141</v>
      </c>
      <c r="Y67">
        <f t="shared" si="3"/>
        <v>1</v>
      </c>
    </row>
    <row r="68" spans="1:25" hidden="1">
      <c r="A68" s="4" t="s">
        <v>6144</v>
      </c>
      <c r="B68" t="s">
        <v>6046</v>
      </c>
      <c r="C68">
        <v>1162</v>
      </c>
      <c r="D68">
        <v>12</v>
      </c>
      <c r="E68" t="s">
        <v>1444</v>
      </c>
      <c r="F68" t="s">
        <v>6058</v>
      </c>
      <c r="H68" t="s">
        <v>6127</v>
      </c>
      <c r="J68" t="s">
        <v>8668</v>
      </c>
      <c r="L68">
        <f t="shared" si="2"/>
        <v>0</v>
      </c>
      <c r="R68" s="16" t="s">
        <v>8064</v>
      </c>
      <c r="S68" s="16" t="s">
        <v>8064</v>
      </c>
      <c r="T68" s="4" t="s">
        <v>6144</v>
      </c>
      <c r="U68">
        <v>0</v>
      </c>
      <c r="V68" t="s">
        <v>8655</v>
      </c>
      <c r="X68" t="s">
        <v>3141</v>
      </c>
      <c r="Y68">
        <f t="shared" si="3"/>
        <v>0</v>
      </c>
    </row>
    <row r="69" spans="1:25" hidden="1">
      <c r="A69" s="4" t="s">
        <v>6136</v>
      </c>
      <c r="B69">
        <v>1285</v>
      </c>
      <c r="C69">
        <v>1285</v>
      </c>
      <c r="D69">
        <v>13</v>
      </c>
      <c r="E69" t="s">
        <v>6045</v>
      </c>
      <c r="F69" t="s">
        <v>6070</v>
      </c>
      <c r="H69" t="s">
        <v>6128</v>
      </c>
      <c r="J69" t="s">
        <v>8668</v>
      </c>
      <c r="L69">
        <f t="shared" si="2"/>
        <v>1</v>
      </c>
      <c r="M69" t="s">
        <v>6562</v>
      </c>
      <c r="N69" t="s">
        <v>6287</v>
      </c>
      <c r="O69" t="s">
        <v>6288</v>
      </c>
      <c r="P69" t="s">
        <v>6563</v>
      </c>
      <c r="Q69" t="s">
        <v>6564</v>
      </c>
      <c r="R69" s="16" t="s">
        <v>8542</v>
      </c>
      <c r="S69" s="16" t="s">
        <v>8248</v>
      </c>
      <c r="T69" s="4" t="s">
        <v>6136</v>
      </c>
      <c r="U69">
        <v>0</v>
      </c>
      <c r="V69" t="s">
        <v>8654</v>
      </c>
      <c r="W69" t="s">
        <v>6288</v>
      </c>
      <c r="X69" t="s">
        <v>3141</v>
      </c>
      <c r="Y69">
        <f t="shared" si="3"/>
        <v>1</v>
      </c>
    </row>
    <row r="70" spans="1:25" hidden="1">
      <c r="A70" s="4" t="s">
        <v>6149</v>
      </c>
      <c r="B70">
        <v>1293</v>
      </c>
      <c r="C70">
        <v>1293</v>
      </c>
      <c r="D70">
        <v>13</v>
      </c>
      <c r="E70" t="s">
        <v>5730</v>
      </c>
      <c r="F70" t="s">
        <v>6071</v>
      </c>
      <c r="H70" t="s">
        <v>6129</v>
      </c>
      <c r="J70" t="s">
        <v>8668</v>
      </c>
      <c r="L70">
        <f t="shared" si="2"/>
        <v>1</v>
      </c>
      <c r="M70" t="s">
        <v>5719</v>
      </c>
      <c r="N70" t="s">
        <v>5719</v>
      </c>
      <c r="O70" t="s">
        <v>6288</v>
      </c>
      <c r="P70" t="s">
        <v>6808</v>
      </c>
      <c r="Q70" t="s">
        <v>6809</v>
      </c>
      <c r="R70" s="16" t="s">
        <v>6808</v>
      </c>
      <c r="S70" s="16" t="s">
        <v>6809</v>
      </c>
      <c r="T70" s="4" t="s">
        <v>6149</v>
      </c>
      <c r="U70">
        <v>0</v>
      </c>
      <c r="V70" t="s">
        <v>8654</v>
      </c>
      <c r="W70" t="s">
        <v>6288</v>
      </c>
      <c r="X70" t="s">
        <v>3141</v>
      </c>
      <c r="Y70">
        <f t="shared" si="3"/>
        <v>1</v>
      </c>
    </row>
    <row r="71" spans="1:25" hidden="1">
      <c r="A71" s="4" t="s">
        <v>2250</v>
      </c>
      <c r="B71">
        <v>1162</v>
      </c>
      <c r="C71">
        <v>1162</v>
      </c>
      <c r="D71">
        <v>12</v>
      </c>
      <c r="E71" t="s">
        <v>5645</v>
      </c>
      <c r="F71" t="s">
        <v>6059</v>
      </c>
      <c r="H71" t="s">
        <v>6036</v>
      </c>
      <c r="J71" s="5" t="s">
        <v>5646</v>
      </c>
      <c r="K71" t="s">
        <v>5647</v>
      </c>
      <c r="L71">
        <f t="shared" si="2"/>
        <v>0</v>
      </c>
      <c r="R71" s="16" t="s">
        <v>8064</v>
      </c>
      <c r="S71" s="16" t="s">
        <v>8064</v>
      </c>
      <c r="T71" s="4" t="s">
        <v>2250</v>
      </c>
      <c r="U71">
        <v>1</v>
      </c>
      <c r="V71" t="s">
        <v>8655</v>
      </c>
      <c r="X71" t="s">
        <v>3141</v>
      </c>
      <c r="Y71">
        <f t="shared" si="3"/>
        <v>0</v>
      </c>
    </row>
    <row r="72" spans="1:25" hidden="1">
      <c r="A72" t="s">
        <v>2467</v>
      </c>
      <c r="B72">
        <v>1139</v>
      </c>
      <c r="C72">
        <v>1139</v>
      </c>
      <c r="D72">
        <v>12</v>
      </c>
      <c r="E72" t="s">
        <v>1444</v>
      </c>
      <c r="F72" t="s">
        <v>2495</v>
      </c>
      <c r="H72" t="s">
        <v>2522</v>
      </c>
      <c r="J72" t="s">
        <v>8668</v>
      </c>
      <c r="K72" t="s">
        <v>8794</v>
      </c>
      <c r="L72">
        <f t="shared" si="2"/>
        <v>0</v>
      </c>
      <c r="R72" s="16" t="s">
        <v>8064</v>
      </c>
      <c r="S72" s="16" t="s">
        <v>8064</v>
      </c>
      <c r="T72" t="s">
        <v>2467</v>
      </c>
      <c r="U72">
        <v>0</v>
      </c>
      <c r="V72" t="s">
        <v>8655</v>
      </c>
      <c r="X72" t="s">
        <v>3023</v>
      </c>
      <c r="Y72">
        <f t="shared" si="3"/>
        <v>0</v>
      </c>
    </row>
    <row r="73" spans="1:25" hidden="1">
      <c r="A73" t="s">
        <v>2468</v>
      </c>
      <c r="B73">
        <v>1139</v>
      </c>
      <c r="C73">
        <v>1139</v>
      </c>
      <c r="D73">
        <v>12</v>
      </c>
      <c r="E73" t="s">
        <v>1444</v>
      </c>
      <c r="F73" t="s">
        <v>2496</v>
      </c>
      <c r="H73" t="s">
        <v>2523</v>
      </c>
      <c r="J73" t="s">
        <v>8668</v>
      </c>
      <c r="K73" t="s">
        <v>2551</v>
      </c>
      <c r="L73">
        <f t="shared" si="2"/>
        <v>0</v>
      </c>
      <c r="R73" s="16" t="s">
        <v>8064</v>
      </c>
      <c r="S73" s="16" t="s">
        <v>8064</v>
      </c>
      <c r="T73" t="s">
        <v>2468</v>
      </c>
      <c r="U73">
        <v>0</v>
      </c>
      <c r="V73" t="s">
        <v>8655</v>
      </c>
      <c r="X73" t="s">
        <v>3023</v>
      </c>
      <c r="Y73">
        <f t="shared" si="3"/>
        <v>0</v>
      </c>
    </row>
    <row r="74" spans="1:25" hidden="1">
      <c r="A74" t="s">
        <v>2469</v>
      </c>
      <c r="B74">
        <v>1155</v>
      </c>
      <c r="C74">
        <v>1155</v>
      </c>
      <c r="D74">
        <v>12</v>
      </c>
      <c r="E74" t="s">
        <v>1444</v>
      </c>
      <c r="F74" t="s">
        <v>2497</v>
      </c>
      <c r="H74" t="s">
        <v>2524</v>
      </c>
      <c r="J74" t="s">
        <v>8668</v>
      </c>
      <c r="L74">
        <f t="shared" si="2"/>
        <v>0</v>
      </c>
      <c r="R74" s="16" t="s">
        <v>8064</v>
      </c>
      <c r="S74" s="16" t="s">
        <v>8064</v>
      </c>
      <c r="T74" t="s">
        <v>2469</v>
      </c>
      <c r="U74">
        <v>0</v>
      </c>
      <c r="V74" t="s">
        <v>8655</v>
      </c>
      <c r="X74" t="s">
        <v>3023</v>
      </c>
      <c r="Y74">
        <f t="shared" si="3"/>
        <v>0</v>
      </c>
    </row>
    <row r="75" spans="1:25" hidden="1">
      <c r="A75" t="s">
        <v>2470</v>
      </c>
      <c r="B75">
        <v>1156</v>
      </c>
      <c r="C75">
        <v>1156</v>
      </c>
      <c r="D75">
        <v>12</v>
      </c>
      <c r="E75" t="s">
        <v>1444</v>
      </c>
      <c r="F75" t="s">
        <v>2498</v>
      </c>
      <c r="H75" t="s">
        <v>2525</v>
      </c>
      <c r="J75" t="s">
        <v>8668</v>
      </c>
      <c r="K75" t="s">
        <v>2551</v>
      </c>
      <c r="L75">
        <f t="shared" si="2"/>
        <v>0</v>
      </c>
      <c r="R75" s="16" t="s">
        <v>8064</v>
      </c>
      <c r="S75" s="16" t="s">
        <v>8064</v>
      </c>
      <c r="T75" t="s">
        <v>2470</v>
      </c>
      <c r="U75">
        <v>0</v>
      </c>
      <c r="V75" t="s">
        <v>8655</v>
      </c>
      <c r="X75" t="s">
        <v>3023</v>
      </c>
      <c r="Y75">
        <f t="shared" si="3"/>
        <v>0</v>
      </c>
    </row>
    <row r="76" spans="1:25" hidden="1">
      <c r="A76" t="s">
        <v>2464</v>
      </c>
      <c r="B76">
        <v>1084</v>
      </c>
      <c r="C76">
        <v>1084</v>
      </c>
      <c r="D76">
        <v>11</v>
      </c>
      <c r="E76" t="s">
        <v>5162</v>
      </c>
      <c r="F76" t="s">
        <v>2493</v>
      </c>
      <c r="H76" s="7" t="s">
        <v>2520</v>
      </c>
      <c r="I76" s="7"/>
      <c r="J76" t="s">
        <v>9097</v>
      </c>
      <c r="K76" t="s">
        <v>2547</v>
      </c>
      <c r="L76">
        <f t="shared" si="2"/>
        <v>1</v>
      </c>
      <c r="M76" t="s">
        <v>5162</v>
      </c>
      <c r="N76" t="s">
        <v>6594</v>
      </c>
      <c r="O76" t="s">
        <v>4016</v>
      </c>
      <c r="P76" t="s">
        <v>6595</v>
      </c>
      <c r="Q76" t="s">
        <v>6596</v>
      </c>
      <c r="R76" s="16" t="s">
        <v>8448</v>
      </c>
      <c r="S76" s="16" t="s">
        <v>8152</v>
      </c>
      <c r="T76" t="s">
        <v>2464</v>
      </c>
      <c r="U76">
        <v>1</v>
      </c>
      <c r="V76" t="s">
        <v>8654</v>
      </c>
      <c r="W76" t="s">
        <v>4016</v>
      </c>
      <c r="X76" t="s">
        <v>3023</v>
      </c>
      <c r="Y76">
        <f t="shared" si="3"/>
        <v>1</v>
      </c>
    </row>
    <row r="77" spans="1:25" hidden="1">
      <c r="A77" t="s">
        <v>2471</v>
      </c>
      <c r="B77">
        <v>1236</v>
      </c>
      <c r="C77">
        <v>1236</v>
      </c>
      <c r="D77">
        <v>13</v>
      </c>
      <c r="E77" t="s">
        <v>1444</v>
      </c>
      <c r="F77" t="s">
        <v>2499</v>
      </c>
      <c r="H77" t="s">
        <v>2526</v>
      </c>
      <c r="J77" t="s">
        <v>8668</v>
      </c>
      <c r="L77">
        <f t="shared" si="2"/>
        <v>0</v>
      </c>
      <c r="R77" s="16" t="s">
        <v>8064</v>
      </c>
      <c r="S77" s="16" t="s">
        <v>8064</v>
      </c>
      <c r="T77" t="s">
        <v>2471</v>
      </c>
      <c r="U77">
        <v>0</v>
      </c>
      <c r="V77" t="s">
        <v>8655</v>
      </c>
      <c r="X77" t="s">
        <v>3023</v>
      </c>
      <c r="Y77">
        <f t="shared" si="3"/>
        <v>0</v>
      </c>
    </row>
    <row r="78" spans="1:25" hidden="1">
      <c r="A78" t="s">
        <v>2472</v>
      </c>
      <c r="B78" t="s">
        <v>2473</v>
      </c>
      <c r="C78">
        <v>1244</v>
      </c>
      <c r="D78">
        <v>13</v>
      </c>
      <c r="E78" t="s">
        <v>1444</v>
      </c>
      <c r="F78" t="s">
        <v>2500</v>
      </c>
      <c r="H78" t="s">
        <v>2527</v>
      </c>
      <c r="J78" t="s">
        <v>8668</v>
      </c>
      <c r="L78">
        <f t="shared" si="2"/>
        <v>0</v>
      </c>
      <c r="R78" s="16" t="s">
        <v>8064</v>
      </c>
      <c r="S78" s="16" t="s">
        <v>8064</v>
      </c>
      <c r="T78" t="s">
        <v>2472</v>
      </c>
      <c r="U78">
        <v>0</v>
      </c>
      <c r="V78" t="s">
        <v>8655</v>
      </c>
      <c r="X78" t="s">
        <v>3023</v>
      </c>
      <c r="Y78">
        <f t="shared" si="3"/>
        <v>0</v>
      </c>
    </row>
    <row r="79" spans="1:25" hidden="1">
      <c r="A79" t="s">
        <v>2550</v>
      </c>
      <c r="B79">
        <v>1248</v>
      </c>
      <c r="C79">
        <v>1248</v>
      </c>
      <c r="D79">
        <v>13</v>
      </c>
      <c r="E79" t="s">
        <v>1444</v>
      </c>
      <c r="F79" t="s">
        <v>2501</v>
      </c>
      <c r="H79" t="s">
        <v>2528</v>
      </c>
      <c r="J79" t="s">
        <v>8668</v>
      </c>
      <c r="L79">
        <f t="shared" si="2"/>
        <v>0</v>
      </c>
      <c r="R79" s="16" t="s">
        <v>8064</v>
      </c>
      <c r="S79" s="16" t="s">
        <v>8064</v>
      </c>
      <c r="T79" t="s">
        <v>2550</v>
      </c>
      <c r="U79">
        <v>0</v>
      </c>
      <c r="V79" t="s">
        <v>8655</v>
      </c>
      <c r="X79" t="s">
        <v>3023</v>
      </c>
      <c r="Y79">
        <f t="shared" si="3"/>
        <v>0</v>
      </c>
    </row>
    <row r="80" spans="1:25" hidden="1">
      <c r="A80" t="s">
        <v>2489</v>
      </c>
      <c r="B80">
        <v>1255</v>
      </c>
      <c r="C80">
        <v>1255</v>
      </c>
      <c r="D80">
        <v>13</v>
      </c>
      <c r="E80" t="s">
        <v>1444</v>
      </c>
      <c r="F80" t="s">
        <v>2502</v>
      </c>
      <c r="H80" t="s">
        <v>2529</v>
      </c>
      <c r="J80" t="s">
        <v>8668</v>
      </c>
      <c r="K80" t="s">
        <v>2551</v>
      </c>
      <c r="L80">
        <f t="shared" si="2"/>
        <v>0</v>
      </c>
      <c r="R80" s="16" t="s">
        <v>8064</v>
      </c>
      <c r="S80" s="16" t="s">
        <v>8064</v>
      </c>
      <c r="T80" t="s">
        <v>7899</v>
      </c>
      <c r="U80">
        <v>0</v>
      </c>
      <c r="V80" t="s">
        <v>8655</v>
      </c>
      <c r="X80" t="s">
        <v>3023</v>
      </c>
      <c r="Y80">
        <f t="shared" si="3"/>
        <v>0</v>
      </c>
    </row>
    <row r="81" spans="1:25" hidden="1">
      <c r="A81" t="s">
        <v>2474</v>
      </c>
      <c r="B81">
        <v>1263</v>
      </c>
      <c r="C81">
        <v>1263</v>
      </c>
      <c r="D81">
        <v>13</v>
      </c>
      <c r="E81" t="s">
        <v>1444</v>
      </c>
      <c r="F81" t="s">
        <v>2503</v>
      </c>
      <c r="H81" t="s">
        <v>2530</v>
      </c>
      <c r="J81" t="s">
        <v>8668</v>
      </c>
      <c r="L81">
        <f t="shared" si="2"/>
        <v>0</v>
      </c>
      <c r="R81" s="16" t="s">
        <v>8064</v>
      </c>
      <c r="S81" s="16" t="s">
        <v>8064</v>
      </c>
      <c r="T81" t="s">
        <v>2474</v>
      </c>
      <c r="U81">
        <v>0</v>
      </c>
      <c r="V81" t="s">
        <v>8655</v>
      </c>
      <c r="X81" t="s">
        <v>3023</v>
      </c>
      <c r="Y81">
        <f t="shared" si="3"/>
        <v>0</v>
      </c>
    </row>
    <row r="82" spans="1:25" hidden="1">
      <c r="A82" t="s">
        <v>2490</v>
      </c>
      <c r="B82">
        <v>1265</v>
      </c>
      <c r="C82">
        <v>1265</v>
      </c>
      <c r="D82">
        <v>13</v>
      </c>
      <c r="E82" t="s">
        <v>1444</v>
      </c>
      <c r="F82" t="s">
        <v>2504</v>
      </c>
      <c r="H82" t="s">
        <v>2531</v>
      </c>
      <c r="J82" t="s">
        <v>8668</v>
      </c>
      <c r="K82" t="s">
        <v>2551</v>
      </c>
      <c r="L82">
        <f t="shared" si="2"/>
        <v>0</v>
      </c>
      <c r="R82" s="16" t="s">
        <v>8064</v>
      </c>
      <c r="S82" s="16" t="s">
        <v>8064</v>
      </c>
      <c r="T82" t="s">
        <v>7900</v>
      </c>
      <c r="U82">
        <v>0</v>
      </c>
      <c r="V82" t="s">
        <v>8655</v>
      </c>
      <c r="X82" t="s">
        <v>3023</v>
      </c>
      <c r="Y82">
        <f t="shared" si="3"/>
        <v>0</v>
      </c>
    </row>
    <row r="83" spans="1:25" hidden="1">
      <c r="A83" t="s">
        <v>2476</v>
      </c>
      <c r="B83">
        <v>1269</v>
      </c>
      <c r="C83">
        <v>1269</v>
      </c>
      <c r="D83">
        <v>13</v>
      </c>
      <c r="E83" t="s">
        <v>5164</v>
      </c>
      <c r="F83" t="s">
        <v>2505</v>
      </c>
      <c r="H83" t="s">
        <v>2532</v>
      </c>
      <c r="J83" t="s">
        <v>8668</v>
      </c>
      <c r="K83" t="s">
        <v>2552</v>
      </c>
      <c r="L83">
        <f t="shared" si="2"/>
        <v>1</v>
      </c>
      <c r="M83" t="s">
        <v>6613</v>
      </c>
      <c r="N83" t="s">
        <v>6461</v>
      </c>
      <c r="O83" t="s">
        <v>104</v>
      </c>
      <c r="P83" t="s">
        <v>6614</v>
      </c>
      <c r="Q83" t="s">
        <v>6615</v>
      </c>
      <c r="R83" s="16" t="s">
        <v>8545</v>
      </c>
      <c r="S83" s="16" t="s">
        <v>8251</v>
      </c>
      <c r="T83" t="s">
        <v>2476</v>
      </c>
      <c r="U83">
        <v>0</v>
      </c>
      <c r="V83" t="s">
        <v>8654</v>
      </c>
      <c r="W83" t="s">
        <v>104</v>
      </c>
      <c r="X83" t="s">
        <v>3023</v>
      </c>
      <c r="Y83">
        <f t="shared" si="3"/>
        <v>1</v>
      </c>
    </row>
    <row r="84" spans="1:25" hidden="1">
      <c r="A84" t="s">
        <v>5165</v>
      </c>
      <c r="B84">
        <v>1271</v>
      </c>
      <c r="C84">
        <v>1271</v>
      </c>
      <c r="D84">
        <v>13</v>
      </c>
      <c r="E84" t="s">
        <v>1444</v>
      </c>
      <c r="F84" t="s">
        <v>2506</v>
      </c>
      <c r="H84" t="s">
        <v>2533</v>
      </c>
      <c r="I84" t="s">
        <v>8928</v>
      </c>
      <c r="J84" s="5" t="s">
        <v>8784</v>
      </c>
      <c r="K84" s="5" t="s">
        <v>5166</v>
      </c>
      <c r="L84">
        <f t="shared" si="2"/>
        <v>0</v>
      </c>
      <c r="R84" s="16" t="s">
        <v>8064</v>
      </c>
      <c r="S84" s="16" t="s">
        <v>8064</v>
      </c>
      <c r="T84" t="s">
        <v>5165</v>
      </c>
      <c r="U84">
        <v>1</v>
      </c>
      <c r="V84" t="s">
        <v>8655</v>
      </c>
      <c r="X84" t="s">
        <v>3023</v>
      </c>
      <c r="Y84">
        <f t="shared" si="3"/>
        <v>0</v>
      </c>
    </row>
    <row r="85" spans="1:25" hidden="1">
      <c r="A85" t="s">
        <v>2491</v>
      </c>
      <c r="B85">
        <v>1274</v>
      </c>
      <c r="C85">
        <v>1274</v>
      </c>
      <c r="D85">
        <v>13</v>
      </c>
      <c r="E85" t="s">
        <v>1444</v>
      </c>
      <c r="F85" t="s">
        <v>2507</v>
      </c>
      <c r="H85" t="s">
        <v>2534</v>
      </c>
      <c r="J85" t="s">
        <v>8668</v>
      </c>
      <c r="K85" t="s">
        <v>2551</v>
      </c>
      <c r="L85">
        <f t="shared" si="2"/>
        <v>0</v>
      </c>
      <c r="R85" s="16" t="s">
        <v>8064</v>
      </c>
      <c r="S85" s="16" t="s">
        <v>8064</v>
      </c>
      <c r="T85" t="s">
        <v>7901</v>
      </c>
      <c r="U85">
        <v>0</v>
      </c>
      <c r="V85" t="s">
        <v>8655</v>
      </c>
      <c r="X85" t="s">
        <v>3023</v>
      </c>
      <c r="Y85">
        <f t="shared" si="3"/>
        <v>0</v>
      </c>
    </row>
    <row r="86" spans="1:25" hidden="1">
      <c r="A86" t="s">
        <v>2477</v>
      </c>
      <c r="B86">
        <v>1277</v>
      </c>
      <c r="C86">
        <v>1277</v>
      </c>
      <c r="D86">
        <v>13</v>
      </c>
      <c r="E86" t="s">
        <v>1444</v>
      </c>
      <c r="F86" t="s">
        <v>2508</v>
      </c>
      <c r="H86" t="s">
        <v>2535</v>
      </c>
      <c r="J86" t="s">
        <v>8668</v>
      </c>
      <c r="K86" t="s">
        <v>2551</v>
      </c>
      <c r="L86">
        <f t="shared" si="2"/>
        <v>0</v>
      </c>
      <c r="R86" s="16" t="s">
        <v>8064</v>
      </c>
      <c r="S86" s="16" t="s">
        <v>8064</v>
      </c>
      <c r="T86" t="s">
        <v>2477</v>
      </c>
      <c r="U86">
        <v>0</v>
      </c>
      <c r="V86" t="s">
        <v>8655</v>
      </c>
      <c r="X86" t="s">
        <v>3023</v>
      </c>
      <c r="Y86">
        <f t="shared" si="3"/>
        <v>0</v>
      </c>
    </row>
    <row r="87" spans="1:25" hidden="1">
      <c r="A87" t="s">
        <v>2492</v>
      </c>
      <c r="B87">
        <v>1277</v>
      </c>
      <c r="C87">
        <v>1277</v>
      </c>
      <c r="D87">
        <v>13</v>
      </c>
      <c r="E87" t="s">
        <v>1444</v>
      </c>
      <c r="F87" t="s">
        <v>2509</v>
      </c>
      <c r="H87" t="s">
        <v>2536</v>
      </c>
      <c r="J87" t="s">
        <v>8668</v>
      </c>
      <c r="K87" t="s">
        <v>2551</v>
      </c>
      <c r="L87">
        <f t="shared" si="2"/>
        <v>0</v>
      </c>
      <c r="R87" s="16" t="s">
        <v>8064</v>
      </c>
      <c r="S87" s="16" t="s">
        <v>8064</v>
      </c>
      <c r="T87" t="s">
        <v>7902</v>
      </c>
      <c r="U87">
        <v>0</v>
      </c>
      <c r="V87" t="s">
        <v>8655</v>
      </c>
      <c r="X87" t="s">
        <v>3023</v>
      </c>
      <c r="Y87">
        <f t="shared" si="3"/>
        <v>0</v>
      </c>
    </row>
    <row r="88" spans="1:25" hidden="1">
      <c r="A88" t="s">
        <v>2478</v>
      </c>
      <c r="B88">
        <v>1283</v>
      </c>
      <c r="C88">
        <v>1283</v>
      </c>
      <c r="D88">
        <v>13</v>
      </c>
      <c r="E88" t="s">
        <v>1444</v>
      </c>
      <c r="F88" t="s">
        <v>2510</v>
      </c>
      <c r="H88" t="s">
        <v>2537</v>
      </c>
      <c r="J88" t="s">
        <v>8668</v>
      </c>
      <c r="K88" t="s">
        <v>2551</v>
      </c>
      <c r="L88">
        <f t="shared" si="2"/>
        <v>0</v>
      </c>
      <c r="R88" s="16" t="s">
        <v>8064</v>
      </c>
      <c r="S88" s="16" t="s">
        <v>8064</v>
      </c>
      <c r="T88" t="s">
        <v>7903</v>
      </c>
      <c r="U88">
        <v>0</v>
      </c>
      <c r="V88" t="s">
        <v>8655</v>
      </c>
      <c r="X88" t="s">
        <v>3023</v>
      </c>
      <c r="Y88">
        <f t="shared" si="3"/>
        <v>0</v>
      </c>
    </row>
    <row r="89" spans="1:25" hidden="1">
      <c r="A89" t="s">
        <v>2479</v>
      </c>
      <c r="B89">
        <v>1283</v>
      </c>
      <c r="C89">
        <v>1283</v>
      </c>
      <c r="D89">
        <v>13</v>
      </c>
      <c r="E89" t="s">
        <v>5167</v>
      </c>
      <c r="F89" t="s">
        <v>2511</v>
      </c>
      <c r="H89" t="s">
        <v>2538</v>
      </c>
      <c r="I89" t="s">
        <v>8928</v>
      </c>
      <c r="J89" t="s">
        <v>8929</v>
      </c>
      <c r="K89" s="5" t="s">
        <v>2549</v>
      </c>
      <c r="L89">
        <f t="shared" si="2"/>
        <v>1</v>
      </c>
      <c r="M89" t="s">
        <v>6335</v>
      </c>
      <c r="N89" t="s">
        <v>6336</v>
      </c>
      <c r="O89" t="s">
        <v>4016</v>
      </c>
      <c r="P89">
        <v>32247</v>
      </c>
      <c r="Q89">
        <v>512093</v>
      </c>
      <c r="R89" s="16" t="s">
        <v>8652</v>
      </c>
      <c r="S89" s="16" t="s">
        <v>8354</v>
      </c>
      <c r="T89" t="s">
        <v>8023</v>
      </c>
      <c r="U89">
        <v>1</v>
      </c>
      <c r="V89" t="s">
        <v>8656</v>
      </c>
      <c r="W89" t="s">
        <v>4016</v>
      </c>
      <c r="X89" t="s">
        <v>3023</v>
      </c>
      <c r="Y89">
        <f t="shared" si="3"/>
        <v>1</v>
      </c>
    </row>
    <row r="90" spans="1:25" hidden="1">
      <c r="A90" t="s">
        <v>2480</v>
      </c>
      <c r="B90">
        <v>1284</v>
      </c>
      <c r="C90">
        <v>1284</v>
      </c>
      <c r="D90">
        <v>13</v>
      </c>
      <c r="E90" t="s">
        <v>1444</v>
      </c>
      <c r="F90" t="s">
        <v>2512</v>
      </c>
      <c r="H90" t="s">
        <v>2539</v>
      </c>
      <c r="J90" t="s">
        <v>8668</v>
      </c>
      <c r="K90" t="s">
        <v>2551</v>
      </c>
      <c r="L90">
        <f t="shared" si="2"/>
        <v>0</v>
      </c>
      <c r="R90" s="16" t="s">
        <v>8064</v>
      </c>
      <c r="S90" s="16" t="s">
        <v>8064</v>
      </c>
      <c r="T90" t="s">
        <v>2480</v>
      </c>
      <c r="U90">
        <v>0</v>
      </c>
      <c r="V90" t="s">
        <v>8655</v>
      </c>
      <c r="X90" t="s">
        <v>3023</v>
      </c>
      <c r="Y90">
        <f t="shared" si="3"/>
        <v>0</v>
      </c>
    </row>
    <row r="91" spans="1:25" hidden="1">
      <c r="A91" t="s">
        <v>2481</v>
      </c>
      <c r="B91">
        <v>1286</v>
      </c>
      <c r="C91">
        <v>1286</v>
      </c>
      <c r="D91">
        <v>13</v>
      </c>
      <c r="E91" t="s">
        <v>1444</v>
      </c>
      <c r="F91" t="s">
        <v>2513</v>
      </c>
      <c r="H91" t="s">
        <v>2540</v>
      </c>
      <c r="J91" t="s">
        <v>8668</v>
      </c>
      <c r="K91" t="s">
        <v>2551</v>
      </c>
      <c r="L91">
        <f t="shared" si="2"/>
        <v>0</v>
      </c>
      <c r="R91" s="16" t="s">
        <v>8064</v>
      </c>
      <c r="S91" s="16" t="s">
        <v>8064</v>
      </c>
      <c r="T91" t="s">
        <v>7904</v>
      </c>
      <c r="U91">
        <v>0</v>
      </c>
      <c r="V91" t="s">
        <v>8655</v>
      </c>
      <c r="X91" t="s">
        <v>3023</v>
      </c>
      <c r="Y91">
        <f t="shared" si="3"/>
        <v>0</v>
      </c>
    </row>
    <row r="92" spans="1:25" hidden="1">
      <c r="A92" t="s">
        <v>2483</v>
      </c>
      <c r="B92">
        <v>1290</v>
      </c>
      <c r="C92">
        <v>1290</v>
      </c>
      <c r="D92">
        <v>13</v>
      </c>
      <c r="E92" t="s">
        <v>1444</v>
      </c>
      <c r="F92" t="s">
        <v>2514</v>
      </c>
      <c r="H92" t="s">
        <v>2541</v>
      </c>
      <c r="J92" t="s">
        <v>8668</v>
      </c>
      <c r="K92" t="s">
        <v>2551</v>
      </c>
      <c r="L92">
        <f t="shared" si="2"/>
        <v>0</v>
      </c>
      <c r="R92" s="16" t="s">
        <v>8064</v>
      </c>
      <c r="S92" s="16" t="s">
        <v>8064</v>
      </c>
      <c r="T92" t="s">
        <v>2483</v>
      </c>
      <c r="U92">
        <v>0</v>
      </c>
      <c r="V92" t="s">
        <v>8655</v>
      </c>
      <c r="X92" t="s">
        <v>3023</v>
      </c>
      <c r="Y92">
        <f t="shared" si="3"/>
        <v>0</v>
      </c>
    </row>
    <row r="93" spans="1:25" hidden="1">
      <c r="A93" t="s">
        <v>2482</v>
      </c>
      <c r="B93">
        <v>1290</v>
      </c>
      <c r="C93">
        <v>1290</v>
      </c>
      <c r="D93">
        <v>13</v>
      </c>
      <c r="E93" t="s">
        <v>1444</v>
      </c>
      <c r="F93" t="s">
        <v>2514</v>
      </c>
      <c r="H93" t="s">
        <v>2541</v>
      </c>
      <c r="J93" t="s">
        <v>8668</v>
      </c>
      <c r="K93" t="s">
        <v>2553</v>
      </c>
      <c r="L93">
        <f t="shared" si="2"/>
        <v>0</v>
      </c>
      <c r="R93" s="16" t="s">
        <v>8064</v>
      </c>
      <c r="S93" s="16" t="s">
        <v>8064</v>
      </c>
      <c r="T93" t="s">
        <v>2482</v>
      </c>
      <c r="U93">
        <v>0</v>
      </c>
      <c r="V93" t="s">
        <v>8655</v>
      </c>
      <c r="X93" t="s">
        <v>3023</v>
      </c>
      <c r="Y93">
        <f t="shared" si="3"/>
        <v>0</v>
      </c>
    </row>
    <row r="94" spans="1:25" hidden="1">
      <c r="A94" t="s">
        <v>2484</v>
      </c>
      <c r="B94">
        <v>1290</v>
      </c>
      <c r="C94">
        <v>1290</v>
      </c>
      <c r="D94">
        <v>13</v>
      </c>
      <c r="E94" t="s">
        <v>5168</v>
      </c>
      <c r="F94" t="s">
        <v>2515</v>
      </c>
      <c r="H94" t="s">
        <v>2542</v>
      </c>
      <c r="J94" t="s">
        <v>8668</v>
      </c>
      <c r="K94" t="s">
        <v>2554</v>
      </c>
      <c r="L94">
        <f t="shared" si="2"/>
        <v>1</v>
      </c>
      <c r="M94" t="s">
        <v>4684</v>
      </c>
      <c r="N94" t="s">
        <v>6305</v>
      </c>
      <c r="O94" t="s">
        <v>104</v>
      </c>
      <c r="P94">
        <v>32340</v>
      </c>
      <c r="Q94">
        <v>501750</v>
      </c>
      <c r="R94" s="16" t="s">
        <v>8461</v>
      </c>
      <c r="S94" s="16" t="s">
        <v>8165</v>
      </c>
      <c r="T94" t="s">
        <v>2484</v>
      </c>
      <c r="U94">
        <v>0</v>
      </c>
      <c r="V94" t="s">
        <v>8654</v>
      </c>
      <c r="W94" t="s">
        <v>104</v>
      </c>
      <c r="X94" t="s">
        <v>3023</v>
      </c>
      <c r="Y94">
        <f t="shared" si="3"/>
        <v>1</v>
      </c>
    </row>
    <row r="95" spans="1:25" hidden="1">
      <c r="A95" t="s">
        <v>2465</v>
      </c>
      <c r="B95" t="s">
        <v>2466</v>
      </c>
      <c r="C95">
        <v>1133</v>
      </c>
      <c r="D95">
        <v>12</v>
      </c>
      <c r="E95" t="s">
        <v>5163</v>
      </c>
      <c r="F95" t="s">
        <v>2494</v>
      </c>
      <c r="H95" t="s">
        <v>2521</v>
      </c>
      <c r="J95" t="s">
        <v>8668</v>
      </c>
      <c r="K95" s="5" t="s">
        <v>2556</v>
      </c>
      <c r="L95">
        <f t="shared" si="2"/>
        <v>1</v>
      </c>
      <c r="M95" t="s">
        <v>6989</v>
      </c>
      <c r="N95" t="s">
        <v>6990</v>
      </c>
      <c r="O95" t="s">
        <v>6991</v>
      </c>
      <c r="P95">
        <v>41437</v>
      </c>
      <c r="Q95">
        <v>503861</v>
      </c>
      <c r="R95" s="16" t="s">
        <v>8546</v>
      </c>
      <c r="S95" s="16" t="s">
        <v>8252</v>
      </c>
      <c r="T95" t="s">
        <v>2465</v>
      </c>
      <c r="U95">
        <v>0</v>
      </c>
      <c r="V95" t="s">
        <v>8654</v>
      </c>
      <c r="W95" t="s">
        <v>6991</v>
      </c>
      <c r="X95" t="s">
        <v>3023</v>
      </c>
      <c r="Y95">
        <f t="shared" si="3"/>
        <v>1</v>
      </c>
    </row>
    <row r="96" spans="1:25" hidden="1">
      <c r="A96" t="s">
        <v>2485</v>
      </c>
      <c r="B96">
        <v>1290</v>
      </c>
      <c r="C96">
        <v>1290</v>
      </c>
      <c r="D96">
        <v>13</v>
      </c>
      <c r="E96" t="s">
        <v>1444</v>
      </c>
      <c r="F96" t="s">
        <v>2516</v>
      </c>
      <c r="H96" t="s">
        <v>2543</v>
      </c>
      <c r="J96" t="s">
        <v>8668</v>
      </c>
      <c r="K96" t="s">
        <v>2551</v>
      </c>
      <c r="L96">
        <f t="shared" si="2"/>
        <v>0</v>
      </c>
      <c r="R96" s="16" t="s">
        <v>8064</v>
      </c>
      <c r="S96" s="16" t="s">
        <v>8064</v>
      </c>
      <c r="T96" t="s">
        <v>7905</v>
      </c>
      <c r="U96">
        <v>0</v>
      </c>
      <c r="V96" t="s">
        <v>8655</v>
      </c>
      <c r="X96" t="s">
        <v>3023</v>
      </c>
      <c r="Y96">
        <f t="shared" si="3"/>
        <v>0</v>
      </c>
    </row>
    <row r="97" spans="1:25" hidden="1">
      <c r="A97" t="s">
        <v>2486</v>
      </c>
      <c r="B97">
        <v>1293</v>
      </c>
      <c r="C97">
        <v>1293</v>
      </c>
      <c r="D97">
        <v>13</v>
      </c>
      <c r="E97" t="s">
        <v>1218</v>
      </c>
      <c r="F97" t="s">
        <v>2517</v>
      </c>
      <c r="H97" t="s">
        <v>2544</v>
      </c>
      <c r="J97" t="s">
        <v>8668</v>
      </c>
      <c r="K97" t="s">
        <v>2555</v>
      </c>
      <c r="L97">
        <f t="shared" si="2"/>
        <v>1</v>
      </c>
      <c r="M97" t="s">
        <v>4646</v>
      </c>
      <c r="N97" t="s">
        <v>6295</v>
      </c>
      <c r="O97" t="s">
        <v>11</v>
      </c>
      <c r="P97">
        <v>124964</v>
      </c>
      <c r="Q97">
        <v>419028</v>
      </c>
      <c r="R97" s="16" t="s">
        <v>8368</v>
      </c>
      <c r="S97" s="16" t="s">
        <v>8073</v>
      </c>
      <c r="T97" t="s">
        <v>7906</v>
      </c>
      <c r="U97">
        <v>0</v>
      </c>
      <c r="V97" t="s">
        <v>8654</v>
      </c>
      <c r="W97" t="s">
        <v>11</v>
      </c>
      <c r="X97" t="s">
        <v>3023</v>
      </c>
      <c r="Y97">
        <f t="shared" si="3"/>
        <v>1</v>
      </c>
    </row>
    <row r="98" spans="1:25" hidden="1">
      <c r="A98" t="s">
        <v>2487</v>
      </c>
      <c r="B98">
        <v>1294</v>
      </c>
      <c r="C98">
        <v>1294</v>
      </c>
      <c r="D98">
        <v>13</v>
      </c>
      <c r="E98" t="s">
        <v>5169</v>
      </c>
      <c r="F98" t="s">
        <v>2518</v>
      </c>
      <c r="H98" t="s">
        <v>2545</v>
      </c>
      <c r="I98" t="s">
        <v>8928</v>
      </c>
      <c r="J98" s="5" t="s">
        <v>2548</v>
      </c>
      <c r="L98">
        <f t="shared" si="2"/>
        <v>0</v>
      </c>
      <c r="R98" s="16" t="s">
        <v>8064</v>
      </c>
      <c r="S98" s="16" t="s">
        <v>8064</v>
      </c>
      <c r="T98" t="s">
        <v>7907</v>
      </c>
      <c r="U98">
        <v>1</v>
      </c>
      <c r="V98" t="s">
        <v>8655</v>
      </c>
      <c r="X98" t="s">
        <v>3023</v>
      </c>
      <c r="Y98">
        <f t="shared" si="3"/>
        <v>0</v>
      </c>
    </row>
    <row r="99" spans="1:25" hidden="1">
      <c r="A99" t="s">
        <v>2488</v>
      </c>
      <c r="B99">
        <v>1295</v>
      </c>
      <c r="C99">
        <v>1295</v>
      </c>
      <c r="D99">
        <v>13</v>
      </c>
      <c r="E99" t="s">
        <v>5170</v>
      </c>
      <c r="F99" t="s">
        <v>2519</v>
      </c>
      <c r="H99" t="s">
        <v>2546</v>
      </c>
      <c r="I99" t="s">
        <v>8928</v>
      </c>
      <c r="J99" t="s">
        <v>2548</v>
      </c>
      <c r="L99">
        <f t="shared" si="2"/>
        <v>0</v>
      </c>
      <c r="R99" s="16" t="s">
        <v>8064</v>
      </c>
      <c r="S99" s="16" t="s">
        <v>8064</v>
      </c>
      <c r="T99" t="s">
        <v>7907</v>
      </c>
      <c r="U99">
        <v>1</v>
      </c>
      <c r="V99" t="s">
        <v>8655</v>
      </c>
      <c r="X99" t="s">
        <v>3023</v>
      </c>
      <c r="Y99">
        <f t="shared" si="3"/>
        <v>0</v>
      </c>
    </row>
    <row r="100" spans="1:25" hidden="1">
      <c r="A100" t="s">
        <v>7202</v>
      </c>
      <c r="B100" t="s">
        <v>811</v>
      </c>
      <c r="C100">
        <v>913</v>
      </c>
      <c r="D100">
        <v>10</v>
      </c>
      <c r="E100" t="s">
        <v>3993</v>
      </c>
      <c r="F100" t="s">
        <v>812</v>
      </c>
      <c r="H100" t="s">
        <v>813</v>
      </c>
      <c r="I100" t="s">
        <v>8928</v>
      </c>
      <c r="J100" t="s">
        <v>8955</v>
      </c>
      <c r="L100">
        <f t="shared" si="2"/>
        <v>1</v>
      </c>
      <c r="M100" t="s">
        <v>6960</v>
      </c>
      <c r="N100" t="s">
        <v>6420</v>
      </c>
      <c r="O100" t="s">
        <v>12</v>
      </c>
      <c r="P100" t="s">
        <v>6961</v>
      </c>
      <c r="Q100" t="s">
        <v>6962</v>
      </c>
      <c r="R100" s="16" t="s">
        <v>8356</v>
      </c>
      <c r="S100" s="16" t="s">
        <v>8059</v>
      </c>
      <c r="T100" t="s">
        <v>7802</v>
      </c>
      <c r="U100">
        <v>1</v>
      </c>
      <c r="V100" t="s">
        <v>8656</v>
      </c>
      <c r="W100" t="s">
        <v>12</v>
      </c>
      <c r="X100" t="s">
        <v>3012</v>
      </c>
      <c r="Y100">
        <f t="shared" si="3"/>
        <v>1</v>
      </c>
    </row>
    <row r="101" spans="1:25" hidden="1">
      <c r="A101" t="s">
        <v>5335</v>
      </c>
      <c r="B101" t="s">
        <v>417</v>
      </c>
      <c r="C101">
        <v>919</v>
      </c>
      <c r="D101">
        <v>10</v>
      </c>
      <c r="E101" t="s">
        <v>3993</v>
      </c>
      <c r="F101" t="s">
        <v>486</v>
      </c>
      <c r="H101" t="s">
        <v>487</v>
      </c>
      <c r="J101" t="s">
        <v>8668</v>
      </c>
      <c r="L101">
        <f t="shared" si="2"/>
        <v>1</v>
      </c>
      <c r="M101" t="s">
        <v>6960</v>
      </c>
      <c r="N101" t="s">
        <v>6420</v>
      </c>
      <c r="O101" t="s">
        <v>12</v>
      </c>
      <c r="P101" t="s">
        <v>6961</v>
      </c>
      <c r="Q101" t="s">
        <v>6962</v>
      </c>
      <c r="R101" s="16" t="s">
        <v>8356</v>
      </c>
      <c r="S101" s="16" t="s">
        <v>8059</v>
      </c>
      <c r="T101" t="s">
        <v>8041</v>
      </c>
      <c r="U101">
        <v>0</v>
      </c>
      <c r="V101" t="s">
        <v>8654</v>
      </c>
      <c r="W101" t="s">
        <v>12</v>
      </c>
      <c r="X101" t="s">
        <v>8659</v>
      </c>
      <c r="Y101">
        <f t="shared" si="3"/>
        <v>1</v>
      </c>
    </row>
    <row r="102" spans="1:25" hidden="1">
      <c r="A102" t="s">
        <v>7203</v>
      </c>
      <c r="B102" t="s">
        <v>814</v>
      </c>
      <c r="C102">
        <v>925</v>
      </c>
      <c r="D102">
        <v>10</v>
      </c>
      <c r="E102" t="s">
        <v>3993</v>
      </c>
      <c r="F102" t="s">
        <v>812</v>
      </c>
      <c r="H102" t="s">
        <v>815</v>
      </c>
      <c r="I102" t="s">
        <v>8928</v>
      </c>
      <c r="J102" t="s">
        <v>8955</v>
      </c>
      <c r="L102">
        <f t="shared" si="2"/>
        <v>1</v>
      </c>
      <c r="M102" t="s">
        <v>6960</v>
      </c>
      <c r="N102" t="s">
        <v>6420</v>
      </c>
      <c r="O102" t="s">
        <v>12</v>
      </c>
      <c r="P102" t="s">
        <v>6961</v>
      </c>
      <c r="Q102" t="s">
        <v>6962</v>
      </c>
      <c r="R102" s="16" t="s">
        <v>8356</v>
      </c>
      <c r="S102" s="16" t="s">
        <v>8059</v>
      </c>
      <c r="T102" t="s">
        <v>7802</v>
      </c>
      <c r="U102">
        <v>1</v>
      </c>
      <c r="V102" t="s">
        <v>8656</v>
      </c>
      <c r="W102" t="s">
        <v>12</v>
      </c>
      <c r="X102" t="s">
        <v>3012</v>
      </c>
      <c r="Y102">
        <f t="shared" si="3"/>
        <v>1</v>
      </c>
    </row>
    <row r="103" spans="1:25" hidden="1">
      <c r="A103" t="s">
        <v>7565</v>
      </c>
      <c r="B103" s="1" t="s">
        <v>101</v>
      </c>
      <c r="C103" s="1">
        <v>948</v>
      </c>
      <c r="D103" s="1">
        <v>10</v>
      </c>
      <c r="E103" t="s">
        <v>50</v>
      </c>
      <c r="F103" t="s">
        <v>1056</v>
      </c>
      <c r="H103" t="s">
        <v>269</v>
      </c>
      <c r="J103" t="s">
        <v>8668</v>
      </c>
      <c r="L103">
        <f t="shared" si="2"/>
        <v>1</v>
      </c>
      <c r="M103" t="s">
        <v>6412</v>
      </c>
      <c r="N103" t="s">
        <v>6413</v>
      </c>
      <c r="O103" t="s">
        <v>12</v>
      </c>
      <c r="P103">
        <v>-27380</v>
      </c>
      <c r="Q103">
        <v>511450</v>
      </c>
      <c r="R103" s="16" t="s">
        <v>8502</v>
      </c>
      <c r="S103" s="16" t="s">
        <v>8208</v>
      </c>
      <c r="T103" t="s">
        <v>7565</v>
      </c>
      <c r="U103">
        <v>0</v>
      </c>
      <c r="V103" t="s">
        <v>8654</v>
      </c>
      <c r="W103" t="s">
        <v>12</v>
      </c>
      <c r="X103" t="s">
        <v>8663</v>
      </c>
      <c r="Y103">
        <f t="shared" si="3"/>
        <v>1</v>
      </c>
    </row>
    <row r="104" spans="1:25" hidden="1">
      <c r="A104" t="s">
        <v>7126</v>
      </c>
      <c r="B104" t="s">
        <v>3949</v>
      </c>
      <c r="C104">
        <v>966</v>
      </c>
      <c r="D104">
        <v>10</v>
      </c>
      <c r="E104" t="s">
        <v>40</v>
      </c>
      <c r="F104" t="s">
        <v>495</v>
      </c>
      <c r="H104" t="s">
        <v>496</v>
      </c>
      <c r="J104" t="s">
        <v>8668</v>
      </c>
      <c r="L104">
        <f t="shared" si="2"/>
        <v>1</v>
      </c>
      <c r="M104" t="s">
        <v>6419</v>
      </c>
      <c r="N104" t="s">
        <v>6420</v>
      </c>
      <c r="O104" t="s">
        <v>12</v>
      </c>
      <c r="P104">
        <v>-13160</v>
      </c>
      <c r="Q104">
        <v>510600</v>
      </c>
      <c r="R104" s="16" t="s">
        <v>8408</v>
      </c>
      <c r="S104" s="16" t="s">
        <v>8059</v>
      </c>
      <c r="T104" t="s">
        <v>7782</v>
      </c>
      <c r="U104">
        <v>0</v>
      </c>
      <c r="V104" t="s">
        <v>8654</v>
      </c>
      <c r="W104" t="s">
        <v>12</v>
      </c>
      <c r="X104" t="s">
        <v>8659</v>
      </c>
      <c r="Y104">
        <f t="shared" si="3"/>
        <v>1</v>
      </c>
    </row>
    <row r="105" spans="1:25" hidden="1">
      <c r="A105" t="s">
        <v>7077</v>
      </c>
      <c r="B105" t="s">
        <v>419</v>
      </c>
      <c r="C105">
        <v>972</v>
      </c>
      <c r="D105">
        <v>10</v>
      </c>
      <c r="E105" t="s">
        <v>3993</v>
      </c>
      <c r="F105" t="s">
        <v>493</v>
      </c>
      <c r="H105" t="s">
        <v>494</v>
      </c>
      <c r="J105" t="s">
        <v>8668</v>
      </c>
      <c r="L105">
        <f t="shared" si="2"/>
        <v>1</v>
      </c>
      <c r="M105" t="s">
        <v>6960</v>
      </c>
      <c r="N105" t="s">
        <v>6420</v>
      </c>
      <c r="O105" t="s">
        <v>12</v>
      </c>
      <c r="P105" t="s">
        <v>6961</v>
      </c>
      <c r="Q105" t="s">
        <v>6962</v>
      </c>
      <c r="R105" s="16" t="s">
        <v>8356</v>
      </c>
      <c r="S105" s="16" t="s">
        <v>8059</v>
      </c>
      <c r="T105" t="s">
        <v>7077</v>
      </c>
      <c r="U105">
        <v>0</v>
      </c>
      <c r="V105" t="s">
        <v>8654</v>
      </c>
      <c r="W105" t="s">
        <v>12</v>
      </c>
      <c r="X105" t="s">
        <v>8659</v>
      </c>
      <c r="Y105">
        <f t="shared" si="3"/>
        <v>1</v>
      </c>
    </row>
    <row r="106" spans="1:25" hidden="1">
      <c r="A106" t="s">
        <v>7114</v>
      </c>
      <c r="B106" t="s">
        <v>421</v>
      </c>
      <c r="C106">
        <v>978</v>
      </c>
      <c r="D106">
        <v>10</v>
      </c>
      <c r="E106" t="s">
        <v>4118</v>
      </c>
      <c r="F106" t="s">
        <v>499</v>
      </c>
      <c r="H106" t="s">
        <v>500</v>
      </c>
      <c r="J106" t="s">
        <v>8719</v>
      </c>
      <c r="L106">
        <f t="shared" si="2"/>
        <v>1</v>
      </c>
      <c r="M106" t="s">
        <v>6285</v>
      </c>
      <c r="N106" t="s">
        <v>6286</v>
      </c>
      <c r="O106" t="s">
        <v>12</v>
      </c>
      <c r="P106">
        <v>-12833</v>
      </c>
      <c r="Q106">
        <v>516700</v>
      </c>
      <c r="R106" s="16" t="s">
        <v>8418</v>
      </c>
      <c r="S106" s="16" t="s">
        <v>8122</v>
      </c>
      <c r="T106" t="s">
        <v>7774</v>
      </c>
      <c r="U106">
        <v>1</v>
      </c>
      <c r="V106" t="s">
        <v>8654</v>
      </c>
      <c r="W106" t="s">
        <v>12</v>
      </c>
      <c r="X106" t="s">
        <v>8659</v>
      </c>
      <c r="Y106">
        <f t="shared" si="3"/>
        <v>1</v>
      </c>
    </row>
    <row r="107" spans="1:25">
      <c r="A107" t="s">
        <v>7189</v>
      </c>
      <c r="B107" t="s">
        <v>469</v>
      </c>
      <c r="C107">
        <v>1191</v>
      </c>
      <c r="D107">
        <v>12</v>
      </c>
      <c r="E107" t="s">
        <v>12</v>
      </c>
      <c r="F107" t="s">
        <v>653</v>
      </c>
      <c r="G107" t="str">
        <f>VLOOKUP(TRIM(F107),[1]mss!$AA:$AA,1,0)</f>
        <v>BL I 878</v>
      </c>
      <c r="H107" t="s">
        <v>654</v>
      </c>
      <c r="J107" t="s">
        <v>8668</v>
      </c>
      <c r="L107">
        <f t="shared" si="2"/>
        <v>0</v>
      </c>
      <c r="R107" s="16" t="s">
        <v>8064</v>
      </c>
      <c r="S107" s="16" t="s">
        <v>8064</v>
      </c>
      <c r="T107" t="s">
        <v>7189</v>
      </c>
      <c r="U107">
        <v>0</v>
      </c>
      <c r="V107" t="s">
        <v>8655</v>
      </c>
      <c r="X107" t="s">
        <v>8659</v>
      </c>
      <c r="Y107">
        <f t="shared" si="3"/>
        <v>0</v>
      </c>
    </row>
    <row r="108" spans="1:25" hidden="1">
      <c r="A108" t="s">
        <v>7067</v>
      </c>
      <c r="B108" t="s">
        <v>655</v>
      </c>
      <c r="C108">
        <v>1192</v>
      </c>
      <c r="D108">
        <v>12</v>
      </c>
      <c r="E108" t="s">
        <v>1444</v>
      </c>
      <c r="F108" t="s">
        <v>656</v>
      </c>
      <c r="H108" t="s">
        <v>657</v>
      </c>
      <c r="J108" t="s">
        <v>8668</v>
      </c>
      <c r="L108">
        <f t="shared" si="2"/>
        <v>0</v>
      </c>
      <c r="R108" s="16" t="s">
        <v>8064</v>
      </c>
      <c r="S108" s="16" t="s">
        <v>8064</v>
      </c>
      <c r="T108" t="s">
        <v>7067</v>
      </c>
      <c r="U108">
        <v>0</v>
      </c>
      <c r="V108" t="s">
        <v>8655</v>
      </c>
      <c r="X108" t="s">
        <v>8659</v>
      </c>
      <c r="Y108">
        <f t="shared" si="3"/>
        <v>0</v>
      </c>
    </row>
    <row r="109" spans="1:25" hidden="1">
      <c r="A109" t="s">
        <v>7113</v>
      </c>
      <c r="B109" t="s">
        <v>421</v>
      </c>
      <c r="C109">
        <v>978</v>
      </c>
      <c r="D109">
        <v>10</v>
      </c>
      <c r="E109" t="s">
        <v>4118</v>
      </c>
      <c r="F109" t="s">
        <v>499</v>
      </c>
      <c r="H109" t="s">
        <v>500</v>
      </c>
      <c r="I109" t="s">
        <v>8928</v>
      </c>
      <c r="J109" t="s">
        <v>8936</v>
      </c>
      <c r="L109">
        <f t="shared" si="2"/>
        <v>1</v>
      </c>
      <c r="M109" t="s">
        <v>6285</v>
      </c>
      <c r="N109" t="s">
        <v>6286</v>
      </c>
      <c r="O109" t="s">
        <v>12</v>
      </c>
      <c r="P109">
        <v>-12833</v>
      </c>
      <c r="Q109">
        <v>516700</v>
      </c>
      <c r="R109" s="16" t="s">
        <v>8418</v>
      </c>
      <c r="S109" s="16" t="s">
        <v>8122</v>
      </c>
      <c r="T109" t="s">
        <v>7773</v>
      </c>
      <c r="U109">
        <v>1</v>
      </c>
      <c r="V109" t="s">
        <v>8656</v>
      </c>
      <c r="W109" t="s">
        <v>12</v>
      </c>
      <c r="X109" t="s">
        <v>8659</v>
      </c>
      <c r="Y109">
        <f t="shared" si="3"/>
        <v>1</v>
      </c>
    </row>
    <row r="110" spans="1:25" hidden="1">
      <c r="A110" t="s">
        <v>7519</v>
      </c>
      <c r="B110" t="s">
        <v>49</v>
      </c>
      <c r="C110">
        <v>979</v>
      </c>
      <c r="D110">
        <v>10</v>
      </c>
      <c r="E110" t="s">
        <v>50</v>
      </c>
      <c r="F110" t="s">
        <v>117</v>
      </c>
      <c r="H110" t="s">
        <v>270</v>
      </c>
      <c r="J110" t="s">
        <v>9129</v>
      </c>
      <c r="L110">
        <f t="shared" si="2"/>
        <v>1</v>
      </c>
      <c r="M110" t="s">
        <v>6412</v>
      </c>
      <c r="N110" t="s">
        <v>6413</v>
      </c>
      <c r="O110" t="s">
        <v>12</v>
      </c>
      <c r="P110">
        <v>-27380</v>
      </c>
      <c r="Q110">
        <v>511450</v>
      </c>
      <c r="R110" s="16" t="s">
        <v>8502</v>
      </c>
      <c r="S110" s="16" t="s">
        <v>8208</v>
      </c>
      <c r="T110" t="s">
        <v>7871</v>
      </c>
      <c r="U110">
        <v>1</v>
      </c>
      <c r="V110" t="s">
        <v>8654</v>
      </c>
      <c r="W110" t="s">
        <v>12</v>
      </c>
      <c r="X110" t="s">
        <v>8663</v>
      </c>
      <c r="Y110">
        <f t="shared" si="3"/>
        <v>1</v>
      </c>
    </row>
    <row r="111" spans="1:25">
      <c r="A111" t="s">
        <v>7090</v>
      </c>
      <c r="B111" t="s">
        <v>472</v>
      </c>
      <c r="C111">
        <v>1198</v>
      </c>
      <c r="D111">
        <v>12</v>
      </c>
      <c r="E111" t="s">
        <v>12</v>
      </c>
      <c r="F111" t="s">
        <v>662</v>
      </c>
      <c r="G111" t="str">
        <f>VLOOKUP(TRIM(F111),[1]mss!$AA:$AA,1,0)</f>
        <v>BL I 521</v>
      </c>
      <c r="H111" t="s">
        <v>663</v>
      </c>
      <c r="I111" t="s">
        <v>8928</v>
      </c>
      <c r="J111" t="s">
        <v>8796</v>
      </c>
      <c r="L111">
        <f t="shared" si="2"/>
        <v>0</v>
      </c>
      <c r="R111" s="16" t="s">
        <v>8064</v>
      </c>
      <c r="S111" s="16" t="s">
        <v>8064</v>
      </c>
      <c r="T111" t="s">
        <v>7754</v>
      </c>
      <c r="U111">
        <v>1</v>
      </c>
      <c r="V111" t="s">
        <v>8655</v>
      </c>
      <c r="X111" t="s">
        <v>8659</v>
      </c>
      <c r="Y111">
        <f t="shared" si="3"/>
        <v>0</v>
      </c>
    </row>
    <row r="112" spans="1:25" hidden="1">
      <c r="A112" t="s">
        <v>7050</v>
      </c>
      <c r="B112" t="s">
        <v>473</v>
      </c>
      <c r="C112">
        <v>1205</v>
      </c>
      <c r="D112">
        <v>13</v>
      </c>
      <c r="E112" t="s">
        <v>4012</v>
      </c>
      <c r="F112" t="s">
        <v>664</v>
      </c>
      <c r="H112" t="s">
        <v>665</v>
      </c>
      <c r="I112" t="s">
        <v>8928</v>
      </c>
      <c r="J112" t="s">
        <v>8705</v>
      </c>
      <c r="L112">
        <f t="shared" si="2"/>
        <v>1</v>
      </c>
      <c r="M112" t="s">
        <v>6407</v>
      </c>
      <c r="N112" t="s">
        <v>6408</v>
      </c>
      <c r="O112" t="s">
        <v>4016</v>
      </c>
      <c r="P112">
        <v>37200</v>
      </c>
      <c r="Q112">
        <v>510530</v>
      </c>
      <c r="R112" s="16" t="s">
        <v>8389</v>
      </c>
      <c r="S112" s="16" t="s">
        <v>8093</v>
      </c>
      <c r="T112" t="s">
        <v>7743</v>
      </c>
      <c r="U112">
        <v>1</v>
      </c>
      <c r="V112" t="s">
        <v>8656</v>
      </c>
      <c r="W112" t="s">
        <v>4016</v>
      </c>
      <c r="X112" t="s">
        <v>8659</v>
      </c>
      <c r="Y112">
        <f t="shared" si="3"/>
        <v>1</v>
      </c>
    </row>
    <row r="113" spans="1:25" hidden="1">
      <c r="A113" t="s">
        <v>1383</v>
      </c>
      <c r="B113" t="s">
        <v>1240</v>
      </c>
      <c r="C113">
        <v>980</v>
      </c>
      <c r="D113">
        <v>10</v>
      </c>
      <c r="E113" t="s">
        <v>4364</v>
      </c>
      <c r="F113" t="s">
        <v>4719</v>
      </c>
      <c r="H113" t="s">
        <v>1282</v>
      </c>
      <c r="J113" t="s">
        <v>8986</v>
      </c>
      <c r="L113">
        <f t="shared" si="2"/>
        <v>1</v>
      </c>
      <c r="M113" t="s">
        <v>4364</v>
      </c>
      <c r="N113" t="s">
        <v>6355</v>
      </c>
      <c r="O113" t="s">
        <v>12</v>
      </c>
      <c r="P113" t="s">
        <v>6833</v>
      </c>
      <c r="Q113" t="s">
        <v>6834</v>
      </c>
      <c r="R113" s="16" t="s">
        <v>8404</v>
      </c>
      <c r="S113" s="16" t="s">
        <v>8108</v>
      </c>
      <c r="T113" t="s">
        <v>1383</v>
      </c>
      <c r="U113">
        <v>1</v>
      </c>
      <c r="V113" t="s">
        <v>8656</v>
      </c>
      <c r="W113" t="s">
        <v>12</v>
      </c>
      <c r="X113" t="s">
        <v>8660</v>
      </c>
      <c r="Y113">
        <f t="shared" si="3"/>
        <v>1</v>
      </c>
    </row>
    <row r="114" spans="1:25" hidden="1">
      <c r="A114" t="s">
        <v>7188</v>
      </c>
      <c r="B114" t="s">
        <v>422</v>
      </c>
      <c r="C114">
        <v>990</v>
      </c>
      <c r="D114">
        <v>10</v>
      </c>
      <c r="E114" t="s">
        <v>4221</v>
      </c>
      <c r="F114" t="s">
        <v>503</v>
      </c>
      <c r="H114" t="s">
        <v>504</v>
      </c>
      <c r="J114" t="s">
        <v>8724</v>
      </c>
      <c r="L114">
        <f t="shared" si="2"/>
        <v>1</v>
      </c>
      <c r="M114" t="s">
        <v>6354</v>
      </c>
      <c r="N114" t="s">
        <v>6355</v>
      </c>
      <c r="O114" t="s">
        <v>12</v>
      </c>
      <c r="P114">
        <v>-24700</v>
      </c>
      <c r="Q114">
        <v>507750</v>
      </c>
      <c r="R114" s="16" t="s">
        <v>8449</v>
      </c>
      <c r="S114" s="16" t="s">
        <v>8153</v>
      </c>
      <c r="T114" t="s">
        <v>7188</v>
      </c>
      <c r="U114">
        <v>1</v>
      </c>
      <c r="V114" t="s">
        <v>8654</v>
      </c>
      <c r="W114" t="s">
        <v>12</v>
      </c>
      <c r="X114" t="s">
        <v>8659</v>
      </c>
      <c r="Y114">
        <f t="shared" si="3"/>
        <v>1</v>
      </c>
    </row>
    <row r="115" spans="1:25" hidden="1">
      <c r="A115" t="s">
        <v>7052</v>
      </c>
      <c r="B115" t="s">
        <v>475</v>
      </c>
      <c r="C115">
        <v>1209</v>
      </c>
      <c r="D115">
        <v>13</v>
      </c>
      <c r="E115" t="s">
        <v>4015</v>
      </c>
      <c r="F115" t="s">
        <v>671</v>
      </c>
      <c r="H115" t="s">
        <v>672</v>
      </c>
      <c r="J115" t="s">
        <v>8668</v>
      </c>
      <c r="L115">
        <f t="shared" si="2"/>
        <v>1</v>
      </c>
      <c r="M115" t="s">
        <v>6435</v>
      </c>
      <c r="N115" t="s">
        <v>6436</v>
      </c>
      <c r="O115" t="s">
        <v>4016</v>
      </c>
      <c r="P115">
        <v>55670</v>
      </c>
      <c r="Q115">
        <v>506330</v>
      </c>
      <c r="R115" s="16" t="s">
        <v>8390</v>
      </c>
      <c r="S115" s="16" t="s">
        <v>8094</v>
      </c>
      <c r="T115" t="s">
        <v>7052</v>
      </c>
      <c r="U115">
        <v>0</v>
      </c>
      <c r="V115" t="s">
        <v>8654</v>
      </c>
      <c r="W115" t="s">
        <v>4016</v>
      </c>
      <c r="X115" t="s">
        <v>8659</v>
      </c>
      <c r="Y115">
        <f t="shared" si="3"/>
        <v>1</v>
      </c>
    </row>
    <row r="116" spans="1:25">
      <c r="A116" t="s">
        <v>7098</v>
      </c>
      <c r="B116" t="s">
        <v>476</v>
      </c>
      <c r="C116">
        <v>1211</v>
      </c>
      <c r="D116">
        <v>13</v>
      </c>
      <c r="E116" t="s">
        <v>12</v>
      </c>
      <c r="F116" t="s">
        <v>673</v>
      </c>
      <c r="G116" t="str">
        <f>VLOOKUP(TRIM(F116),[1]mss!$AA:$AA,1,0)</f>
        <v>BL I 530</v>
      </c>
      <c r="H116" t="s">
        <v>674</v>
      </c>
      <c r="J116" t="s">
        <v>8668</v>
      </c>
      <c r="L116">
        <f t="shared" si="2"/>
        <v>0</v>
      </c>
      <c r="R116" s="16" t="s">
        <v>8064</v>
      </c>
      <c r="S116" s="16" t="s">
        <v>8064</v>
      </c>
      <c r="T116" t="s">
        <v>7761</v>
      </c>
      <c r="U116">
        <v>0</v>
      </c>
      <c r="V116" t="s">
        <v>8655</v>
      </c>
      <c r="X116" t="s">
        <v>8659</v>
      </c>
      <c r="Y116">
        <f t="shared" si="3"/>
        <v>0</v>
      </c>
    </row>
    <row r="117" spans="1:25" hidden="1">
      <c r="A117" t="s">
        <v>7070</v>
      </c>
      <c r="B117" t="s">
        <v>479</v>
      </c>
      <c r="C117">
        <v>993</v>
      </c>
      <c r="D117">
        <v>10</v>
      </c>
      <c r="E117" t="s">
        <v>13</v>
      </c>
      <c r="F117" t="s">
        <v>501</v>
      </c>
      <c r="H117" t="s">
        <v>502</v>
      </c>
      <c r="I117" t="s">
        <v>8928</v>
      </c>
      <c r="J117" t="s">
        <v>8709</v>
      </c>
      <c r="L117">
        <f t="shared" si="2"/>
        <v>1</v>
      </c>
      <c r="M117" t="s">
        <v>6348</v>
      </c>
      <c r="N117" t="s">
        <v>6349</v>
      </c>
      <c r="O117" t="s">
        <v>12</v>
      </c>
      <c r="P117">
        <v>10810</v>
      </c>
      <c r="Q117">
        <v>512810</v>
      </c>
      <c r="R117" s="16" t="s">
        <v>8360</v>
      </c>
      <c r="S117" s="16" t="s">
        <v>8063</v>
      </c>
      <c r="T117" t="s">
        <v>7070</v>
      </c>
      <c r="U117">
        <v>1</v>
      </c>
      <c r="V117" t="s">
        <v>8656</v>
      </c>
      <c r="W117" t="s">
        <v>12</v>
      </c>
      <c r="X117" t="s">
        <v>8659</v>
      </c>
      <c r="Y117">
        <f t="shared" si="3"/>
        <v>1</v>
      </c>
    </row>
    <row r="118" spans="1:25" hidden="1">
      <c r="A118" t="s">
        <v>7149</v>
      </c>
      <c r="B118" t="s">
        <v>420</v>
      </c>
      <c r="C118">
        <v>997</v>
      </c>
      <c r="D118">
        <v>10</v>
      </c>
      <c r="E118" t="s">
        <v>4168</v>
      </c>
      <c r="F118" t="s">
        <v>497</v>
      </c>
      <c r="H118" t="s">
        <v>498</v>
      </c>
      <c r="J118" t="s">
        <v>8668</v>
      </c>
      <c r="L118">
        <f t="shared" si="2"/>
        <v>1</v>
      </c>
      <c r="M118" t="s">
        <v>6500</v>
      </c>
      <c r="N118" t="s">
        <v>6482</v>
      </c>
      <c r="O118" t="s">
        <v>12</v>
      </c>
      <c r="P118">
        <v>-10820</v>
      </c>
      <c r="Q118">
        <v>539590</v>
      </c>
      <c r="R118" s="16" t="s">
        <v>8433</v>
      </c>
      <c r="S118" s="16" t="s">
        <v>8137</v>
      </c>
      <c r="T118" t="s">
        <v>7791</v>
      </c>
      <c r="U118">
        <v>0</v>
      </c>
      <c r="V118" t="s">
        <v>8654</v>
      </c>
      <c r="W118" t="s">
        <v>12</v>
      </c>
      <c r="X118" t="s">
        <v>8659</v>
      </c>
      <c r="Y118">
        <f t="shared" si="3"/>
        <v>1</v>
      </c>
    </row>
    <row r="119" spans="1:25" hidden="1">
      <c r="A119" t="s">
        <v>7145</v>
      </c>
      <c r="B119" t="s">
        <v>478</v>
      </c>
      <c r="C119">
        <v>1216</v>
      </c>
      <c r="D119">
        <v>13</v>
      </c>
      <c r="E119" t="s">
        <v>4163</v>
      </c>
      <c r="F119" t="s">
        <v>679</v>
      </c>
      <c r="H119" t="s">
        <v>680</v>
      </c>
      <c r="J119" t="s">
        <v>8668</v>
      </c>
      <c r="L119">
        <f t="shared" si="2"/>
        <v>1</v>
      </c>
      <c r="M119" t="s">
        <v>5719</v>
      </c>
      <c r="N119" t="s">
        <v>5719</v>
      </c>
      <c r="O119" t="s">
        <v>6288</v>
      </c>
      <c r="P119" t="s">
        <v>6808</v>
      </c>
      <c r="Q119" t="s">
        <v>6809</v>
      </c>
      <c r="R119" s="16" t="s">
        <v>6808</v>
      </c>
      <c r="S119" s="16" t="s">
        <v>6809</v>
      </c>
      <c r="T119" t="s">
        <v>7145</v>
      </c>
      <c r="U119">
        <v>0</v>
      </c>
      <c r="V119" t="s">
        <v>8654</v>
      </c>
      <c r="W119" t="s">
        <v>6288</v>
      </c>
      <c r="X119" t="s">
        <v>8659</v>
      </c>
      <c r="Y119">
        <f t="shared" si="3"/>
        <v>1</v>
      </c>
    </row>
    <row r="120" spans="1:25">
      <c r="A120" t="s">
        <v>7097</v>
      </c>
      <c r="B120" t="s">
        <v>384</v>
      </c>
      <c r="C120">
        <v>1217</v>
      </c>
      <c r="D120">
        <v>13</v>
      </c>
      <c r="E120" t="s">
        <v>12</v>
      </c>
      <c r="F120" t="s">
        <v>681</v>
      </c>
      <c r="G120" t="str">
        <f>VLOOKUP(TRIM(F120),[1]mss!$AA:$AA,1,0)</f>
        <v>BL I 529</v>
      </c>
      <c r="H120" t="s">
        <v>682</v>
      </c>
      <c r="J120" t="s">
        <v>8668</v>
      </c>
      <c r="L120">
        <f t="shared" si="2"/>
        <v>0</v>
      </c>
      <c r="R120" s="16" t="s">
        <v>8064</v>
      </c>
      <c r="S120" s="16" t="s">
        <v>8064</v>
      </c>
      <c r="T120" t="s">
        <v>7761</v>
      </c>
      <c r="U120">
        <v>0</v>
      </c>
      <c r="V120" t="s">
        <v>8655</v>
      </c>
      <c r="X120" t="s">
        <v>8659</v>
      </c>
      <c r="Y120">
        <f t="shared" si="3"/>
        <v>0</v>
      </c>
    </row>
    <row r="121" spans="1:25" hidden="1">
      <c r="A121" t="s">
        <v>7055</v>
      </c>
      <c r="B121" t="s">
        <v>683</v>
      </c>
      <c r="C121">
        <v>1218</v>
      </c>
      <c r="D121">
        <v>13</v>
      </c>
      <c r="E121" t="s">
        <v>4018</v>
      </c>
      <c r="F121" t="s">
        <v>684</v>
      </c>
      <c r="H121" t="s">
        <v>685</v>
      </c>
      <c r="J121" t="s">
        <v>8668</v>
      </c>
      <c r="L121">
        <f t="shared" si="2"/>
        <v>0</v>
      </c>
      <c r="R121" s="16" t="s">
        <v>8064</v>
      </c>
      <c r="S121" s="16" t="s">
        <v>8064</v>
      </c>
      <c r="T121" t="s">
        <v>7055</v>
      </c>
      <c r="U121">
        <v>0</v>
      </c>
      <c r="V121" t="s">
        <v>8655</v>
      </c>
      <c r="X121" t="s">
        <v>8659</v>
      </c>
      <c r="Y121">
        <f t="shared" si="3"/>
        <v>0</v>
      </c>
    </row>
    <row r="122" spans="1:25" hidden="1">
      <c r="A122" t="s">
        <v>7452</v>
      </c>
      <c r="B122" t="s">
        <v>4826</v>
      </c>
      <c r="C122">
        <v>997</v>
      </c>
      <c r="D122">
        <v>10</v>
      </c>
      <c r="E122" t="s">
        <v>4371</v>
      </c>
      <c r="F122" t="s">
        <v>4827</v>
      </c>
      <c r="H122" t="s">
        <v>1965</v>
      </c>
      <c r="J122" t="s">
        <v>8668</v>
      </c>
      <c r="L122">
        <f t="shared" si="2"/>
        <v>1</v>
      </c>
      <c r="M122" t="s">
        <v>4371</v>
      </c>
      <c r="N122" t="s">
        <v>6367</v>
      </c>
      <c r="O122" t="s">
        <v>12</v>
      </c>
      <c r="P122" t="s">
        <v>6958</v>
      </c>
      <c r="Q122" t="s">
        <v>6959</v>
      </c>
      <c r="R122" s="16" t="s">
        <v>8421</v>
      </c>
      <c r="S122" s="16" t="s">
        <v>8125</v>
      </c>
      <c r="T122" t="s">
        <v>7452</v>
      </c>
      <c r="U122">
        <v>0</v>
      </c>
      <c r="V122" t="s">
        <v>8654</v>
      </c>
      <c r="W122" t="s">
        <v>12</v>
      </c>
      <c r="X122" t="s">
        <v>8660</v>
      </c>
      <c r="Y122">
        <f t="shared" si="3"/>
        <v>1</v>
      </c>
    </row>
    <row r="123" spans="1:25" hidden="1">
      <c r="A123" t="s">
        <v>7138</v>
      </c>
      <c r="B123" t="s">
        <v>386</v>
      </c>
      <c r="C123">
        <v>1230</v>
      </c>
      <c r="D123">
        <v>13</v>
      </c>
      <c r="E123" t="s">
        <v>4151</v>
      </c>
      <c r="F123" t="s">
        <v>688</v>
      </c>
      <c r="H123" t="s">
        <v>689</v>
      </c>
      <c r="J123" t="s">
        <v>8668</v>
      </c>
      <c r="L123">
        <f t="shared" si="2"/>
        <v>1</v>
      </c>
      <c r="M123" t="s">
        <v>4151</v>
      </c>
      <c r="N123" t="s">
        <v>6305</v>
      </c>
      <c r="O123" t="s">
        <v>104</v>
      </c>
      <c r="P123">
        <v>20860</v>
      </c>
      <c r="Q123">
        <v>494300</v>
      </c>
      <c r="R123" s="16" t="s">
        <v>8427</v>
      </c>
      <c r="S123" s="16" t="s">
        <v>8131</v>
      </c>
      <c r="T123" t="s">
        <v>7790</v>
      </c>
      <c r="U123">
        <v>0</v>
      </c>
      <c r="V123" t="s">
        <v>8654</v>
      </c>
      <c r="W123" t="s">
        <v>104</v>
      </c>
      <c r="X123" t="s">
        <v>8659</v>
      </c>
      <c r="Y123">
        <f t="shared" si="3"/>
        <v>1</v>
      </c>
    </row>
    <row r="124" spans="1:25" hidden="1">
      <c r="A124" t="s">
        <v>7056</v>
      </c>
      <c r="B124" t="s">
        <v>387</v>
      </c>
      <c r="C124">
        <v>1236</v>
      </c>
      <c r="D124">
        <v>13</v>
      </c>
      <c r="E124" t="s">
        <v>4020</v>
      </c>
      <c r="F124" t="s">
        <v>690</v>
      </c>
      <c r="H124" t="s">
        <v>691</v>
      </c>
      <c r="I124" t="s">
        <v>8928</v>
      </c>
      <c r="J124" t="s">
        <v>8707</v>
      </c>
      <c r="L124">
        <f t="shared" si="2"/>
        <v>1</v>
      </c>
      <c r="M124" t="s">
        <v>4020</v>
      </c>
      <c r="N124" t="s">
        <v>6291</v>
      </c>
      <c r="O124" t="s">
        <v>3995</v>
      </c>
      <c r="P124" t="s">
        <v>6676</v>
      </c>
      <c r="Q124" t="s">
        <v>6677</v>
      </c>
      <c r="R124" s="16" t="s">
        <v>8391</v>
      </c>
      <c r="S124" s="16" t="s">
        <v>8095</v>
      </c>
      <c r="T124" t="s">
        <v>7056</v>
      </c>
      <c r="U124">
        <v>1</v>
      </c>
      <c r="V124" t="s">
        <v>8656</v>
      </c>
      <c r="W124" t="s">
        <v>3995</v>
      </c>
      <c r="X124" t="s">
        <v>8659</v>
      </c>
      <c r="Y124">
        <f t="shared" si="3"/>
        <v>1</v>
      </c>
    </row>
    <row r="125" spans="1:25">
      <c r="A125" t="s">
        <v>7082</v>
      </c>
      <c r="B125" t="s">
        <v>388</v>
      </c>
      <c r="C125">
        <v>1231</v>
      </c>
      <c r="D125">
        <v>13</v>
      </c>
      <c r="E125" t="s">
        <v>12</v>
      </c>
      <c r="F125" t="s">
        <v>692</v>
      </c>
      <c r="G125" t="e">
        <f>VLOOKUP(TRIM(F125),[1]mss!$AA:$AA,1,0)</f>
        <v>#N/A</v>
      </c>
      <c r="H125" t="s">
        <v>693</v>
      </c>
      <c r="J125" t="s">
        <v>8668</v>
      </c>
      <c r="L125">
        <f t="shared" si="2"/>
        <v>0</v>
      </c>
      <c r="R125" s="16" t="s">
        <v>8064</v>
      </c>
      <c r="S125" s="16" t="s">
        <v>8064</v>
      </c>
      <c r="T125" t="s">
        <v>7082</v>
      </c>
      <c r="U125">
        <v>0</v>
      </c>
      <c r="V125" t="s">
        <v>8655</v>
      </c>
      <c r="X125" t="s">
        <v>8659</v>
      </c>
      <c r="Y125">
        <f t="shared" si="3"/>
        <v>0</v>
      </c>
    </row>
    <row r="126" spans="1:25" hidden="1">
      <c r="A126" t="s">
        <v>7080</v>
      </c>
      <c r="B126" t="s">
        <v>389</v>
      </c>
      <c r="C126">
        <v>1236</v>
      </c>
      <c r="D126">
        <v>13</v>
      </c>
      <c r="E126" t="s">
        <v>4052</v>
      </c>
      <c r="F126" t="s">
        <v>694</v>
      </c>
      <c r="H126" t="s">
        <v>695</v>
      </c>
      <c r="J126" t="s">
        <v>8668</v>
      </c>
      <c r="L126">
        <f t="shared" si="2"/>
        <v>1</v>
      </c>
      <c r="M126" t="s">
        <v>6421</v>
      </c>
      <c r="N126" t="s">
        <v>6422</v>
      </c>
      <c r="O126" t="s">
        <v>6423</v>
      </c>
      <c r="P126">
        <v>352137</v>
      </c>
      <c r="Q126">
        <v>317683</v>
      </c>
      <c r="R126" s="16" t="s">
        <v>8407</v>
      </c>
      <c r="S126" s="16" t="s">
        <v>8111</v>
      </c>
      <c r="T126" t="s">
        <v>7080</v>
      </c>
      <c r="U126">
        <v>0</v>
      </c>
      <c r="V126" t="s">
        <v>8654</v>
      </c>
      <c r="W126" t="s">
        <v>6423</v>
      </c>
      <c r="X126" t="s">
        <v>8659</v>
      </c>
      <c r="Y126">
        <f t="shared" si="3"/>
        <v>1</v>
      </c>
    </row>
    <row r="127" spans="1:25" hidden="1">
      <c r="A127" t="s">
        <v>7140</v>
      </c>
      <c r="B127" t="s">
        <v>481</v>
      </c>
      <c r="C127">
        <v>1236</v>
      </c>
      <c r="D127">
        <v>13</v>
      </c>
      <c r="E127" t="s">
        <v>4052</v>
      </c>
      <c r="F127" t="s">
        <v>696</v>
      </c>
      <c r="H127" t="s">
        <v>697</v>
      </c>
      <c r="J127" t="s">
        <v>8668</v>
      </c>
      <c r="L127">
        <f t="shared" si="2"/>
        <v>1</v>
      </c>
      <c r="M127" t="s">
        <v>6421</v>
      </c>
      <c r="N127" t="s">
        <v>6422</v>
      </c>
      <c r="O127" t="s">
        <v>6423</v>
      </c>
      <c r="P127">
        <v>352137</v>
      </c>
      <c r="Q127">
        <v>317683</v>
      </c>
      <c r="R127" s="16" t="s">
        <v>8407</v>
      </c>
      <c r="S127" s="16" t="s">
        <v>8111</v>
      </c>
      <c r="T127" t="s">
        <v>7140</v>
      </c>
      <c r="U127">
        <v>0</v>
      </c>
      <c r="V127" t="s">
        <v>8654</v>
      </c>
      <c r="W127" t="s">
        <v>6423</v>
      </c>
      <c r="X127" t="s">
        <v>8659</v>
      </c>
      <c r="Y127">
        <f t="shared" si="3"/>
        <v>1</v>
      </c>
    </row>
    <row r="128" spans="1:25" hidden="1">
      <c r="A128" t="s">
        <v>7120</v>
      </c>
      <c r="B128" t="s">
        <v>423</v>
      </c>
      <c r="C128">
        <v>1005</v>
      </c>
      <c r="D128">
        <v>11</v>
      </c>
      <c r="E128" t="s">
        <v>3993</v>
      </c>
      <c r="F128" t="s">
        <v>505</v>
      </c>
      <c r="H128" t="s">
        <v>506</v>
      </c>
      <c r="J128" t="s">
        <v>8668</v>
      </c>
      <c r="L128">
        <f t="shared" si="2"/>
        <v>1</v>
      </c>
      <c r="M128" t="s">
        <v>6960</v>
      </c>
      <c r="N128" t="s">
        <v>6420</v>
      </c>
      <c r="O128" t="s">
        <v>12</v>
      </c>
      <c r="P128" t="s">
        <v>6961</v>
      </c>
      <c r="Q128" t="s">
        <v>6962</v>
      </c>
      <c r="R128" s="16" t="s">
        <v>8356</v>
      </c>
      <c r="S128" s="16" t="s">
        <v>8059</v>
      </c>
      <c r="T128" t="s">
        <v>7779</v>
      </c>
      <c r="U128">
        <v>0</v>
      </c>
      <c r="V128" t="s">
        <v>8654</v>
      </c>
      <c r="W128" t="s">
        <v>12</v>
      </c>
      <c r="X128" t="s">
        <v>8659</v>
      </c>
      <c r="Y128">
        <f t="shared" si="3"/>
        <v>1</v>
      </c>
    </row>
    <row r="129" spans="1:25" hidden="1">
      <c r="A129" t="s">
        <v>7105</v>
      </c>
      <c r="B129" t="s">
        <v>425</v>
      </c>
      <c r="C129">
        <v>1013</v>
      </c>
      <c r="D129">
        <v>11</v>
      </c>
      <c r="E129" t="s">
        <v>4077</v>
      </c>
      <c r="F129" t="s">
        <v>509</v>
      </c>
      <c r="H129" t="s">
        <v>510</v>
      </c>
      <c r="J129" t="s">
        <v>8717</v>
      </c>
      <c r="L129">
        <f t="shared" si="2"/>
        <v>1</v>
      </c>
      <c r="M129" t="s">
        <v>6497</v>
      </c>
      <c r="N129" t="s">
        <v>6385</v>
      </c>
      <c r="O129" t="s">
        <v>12</v>
      </c>
      <c r="P129">
        <v>-22210</v>
      </c>
      <c r="Q129">
        <v>521920</v>
      </c>
      <c r="R129" s="16" t="s">
        <v>8358</v>
      </c>
      <c r="S129" s="16" t="s">
        <v>8061</v>
      </c>
      <c r="T129" t="s">
        <v>7766</v>
      </c>
      <c r="U129">
        <v>1</v>
      </c>
      <c r="V129" t="s">
        <v>8654</v>
      </c>
      <c r="W129" t="s">
        <v>12</v>
      </c>
      <c r="X129" t="s">
        <v>8659</v>
      </c>
      <c r="Y129">
        <f t="shared" si="3"/>
        <v>1</v>
      </c>
    </row>
    <row r="130" spans="1:25" hidden="1">
      <c r="A130" t="s">
        <v>7087</v>
      </c>
      <c r="B130" t="s">
        <v>426</v>
      </c>
      <c r="C130">
        <v>1015</v>
      </c>
      <c r="D130">
        <v>11</v>
      </c>
      <c r="E130" t="s">
        <v>4077</v>
      </c>
      <c r="F130" t="s">
        <v>511</v>
      </c>
      <c r="H130" t="s">
        <v>512</v>
      </c>
      <c r="J130" t="s">
        <v>8713</v>
      </c>
      <c r="L130">
        <f t="shared" ref="L130:L193" si="4">IF(M130&lt;&gt;"",1,0)</f>
        <v>1</v>
      </c>
      <c r="M130" t="s">
        <v>6497</v>
      </c>
      <c r="N130" t="s">
        <v>6385</v>
      </c>
      <c r="O130" t="s">
        <v>12</v>
      </c>
      <c r="P130">
        <v>-22210</v>
      </c>
      <c r="Q130">
        <v>521920</v>
      </c>
      <c r="R130" s="16" t="s">
        <v>8358</v>
      </c>
      <c r="S130" s="16" t="s">
        <v>8061</v>
      </c>
      <c r="T130" t="s">
        <v>7751</v>
      </c>
      <c r="U130">
        <v>1</v>
      </c>
      <c r="V130" t="s">
        <v>8654</v>
      </c>
      <c r="W130" t="s">
        <v>12</v>
      </c>
      <c r="X130" t="s">
        <v>8659</v>
      </c>
      <c r="Y130">
        <f t="shared" ref="Y130:Y193" si="5">IF(OR(V130="Loc",V130="IIIF"),1,0)</f>
        <v>1</v>
      </c>
    </row>
    <row r="131" spans="1:25" hidden="1">
      <c r="A131" t="s">
        <v>7115</v>
      </c>
      <c r="B131" t="s">
        <v>428</v>
      </c>
      <c r="C131">
        <v>1016</v>
      </c>
      <c r="D131">
        <v>11</v>
      </c>
      <c r="E131" t="s">
        <v>34</v>
      </c>
      <c r="F131" t="s">
        <v>515</v>
      </c>
      <c r="H131" t="s">
        <v>516</v>
      </c>
      <c r="J131" t="s">
        <v>8720</v>
      </c>
      <c r="L131">
        <f t="shared" si="4"/>
        <v>1</v>
      </c>
      <c r="M131" t="s">
        <v>6497</v>
      </c>
      <c r="N131" t="s">
        <v>6385</v>
      </c>
      <c r="O131" t="s">
        <v>12</v>
      </c>
      <c r="P131" t="s">
        <v>6968</v>
      </c>
      <c r="Q131" t="s">
        <v>6969</v>
      </c>
      <c r="R131" s="16" t="s">
        <v>8358</v>
      </c>
      <c r="S131" s="16" t="s">
        <v>8061</v>
      </c>
      <c r="T131" t="s">
        <v>7775</v>
      </c>
      <c r="U131">
        <v>1</v>
      </c>
      <c r="V131" t="s">
        <v>8654</v>
      </c>
      <c r="W131" t="s">
        <v>12</v>
      </c>
      <c r="X131" t="s">
        <v>8659</v>
      </c>
      <c r="Y131">
        <f t="shared" si="5"/>
        <v>1</v>
      </c>
    </row>
    <row r="132" spans="1:25" hidden="1">
      <c r="A132" t="s">
        <v>7143</v>
      </c>
      <c r="B132" t="s">
        <v>707</v>
      </c>
      <c r="C132">
        <v>1240</v>
      </c>
      <c r="D132">
        <v>13</v>
      </c>
      <c r="E132" t="s">
        <v>4159</v>
      </c>
      <c r="F132" t="s">
        <v>708</v>
      </c>
      <c r="H132" t="s">
        <v>709</v>
      </c>
      <c r="J132" t="s">
        <v>8668</v>
      </c>
      <c r="L132">
        <f t="shared" si="4"/>
        <v>1</v>
      </c>
      <c r="M132" t="s">
        <v>6538</v>
      </c>
      <c r="N132" t="s">
        <v>6295</v>
      </c>
      <c r="O132" t="s">
        <v>11</v>
      </c>
      <c r="P132" t="s">
        <v>6539</v>
      </c>
      <c r="Q132" t="s">
        <v>6540</v>
      </c>
      <c r="R132" s="16" t="s">
        <v>8430</v>
      </c>
      <c r="S132" s="16" t="s">
        <v>8134</v>
      </c>
      <c r="T132" t="s">
        <v>7143</v>
      </c>
      <c r="U132">
        <v>0</v>
      </c>
      <c r="V132" t="s">
        <v>8654</v>
      </c>
      <c r="W132" t="s">
        <v>11</v>
      </c>
      <c r="X132" t="s">
        <v>8659</v>
      </c>
      <c r="Y132">
        <f t="shared" si="5"/>
        <v>1</v>
      </c>
    </row>
    <row r="133" spans="1:25" hidden="1">
      <c r="A133" t="s">
        <v>8702</v>
      </c>
      <c r="B133" t="s">
        <v>427</v>
      </c>
      <c r="C133">
        <v>1017</v>
      </c>
      <c r="D133">
        <v>11</v>
      </c>
      <c r="E133" t="s">
        <v>13</v>
      </c>
      <c r="F133" t="s">
        <v>513</v>
      </c>
      <c r="H133" t="s">
        <v>514</v>
      </c>
      <c r="J133" s="5" t="s">
        <v>8703</v>
      </c>
      <c r="L133">
        <f t="shared" si="4"/>
        <v>1</v>
      </c>
      <c r="M133" t="s">
        <v>6348</v>
      </c>
      <c r="N133" t="s">
        <v>6349</v>
      </c>
      <c r="O133" t="s">
        <v>12</v>
      </c>
      <c r="P133">
        <v>10810</v>
      </c>
      <c r="Q133">
        <v>512810</v>
      </c>
      <c r="R133" s="16" t="s">
        <v>8360</v>
      </c>
      <c r="S133" s="16" t="s">
        <v>8063</v>
      </c>
      <c r="T133" t="s">
        <v>7908</v>
      </c>
      <c r="U133">
        <v>1</v>
      </c>
      <c r="V133" t="s">
        <v>8654</v>
      </c>
      <c r="W133" t="s">
        <v>12</v>
      </c>
      <c r="X133" t="s">
        <v>8659</v>
      </c>
      <c r="Y133">
        <f t="shared" si="5"/>
        <v>1</v>
      </c>
    </row>
    <row r="134" spans="1:25" hidden="1">
      <c r="A134" t="s">
        <v>5572</v>
      </c>
      <c r="B134" t="s">
        <v>821</v>
      </c>
      <c r="C134">
        <v>1021</v>
      </c>
      <c r="D134">
        <v>11</v>
      </c>
      <c r="E134" t="s">
        <v>50</v>
      </c>
      <c r="F134" t="s">
        <v>822</v>
      </c>
      <c r="H134" t="s">
        <v>823</v>
      </c>
      <c r="J134" t="s">
        <v>8668</v>
      </c>
      <c r="L134">
        <f t="shared" si="4"/>
        <v>1</v>
      </c>
      <c r="M134" t="s">
        <v>6412</v>
      </c>
      <c r="N134" t="s">
        <v>6413</v>
      </c>
      <c r="O134" t="s">
        <v>12</v>
      </c>
      <c r="P134">
        <v>-27380</v>
      </c>
      <c r="Q134">
        <v>511450</v>
      </c>
      <c r="R134" s="16" t="s">
        <v>8502</v>
      </c>
      <c r="S134" s="16" t="s">
        <v>8208</v>
      </c>
      <c r="T134" t="s">
        <v>5572</v>
      </c>
      <c r="U134">
        <v>0</v>
      </c>
      <c r="V134" t="s">
        <v>8654</v>
      </c>
      <c r="W134" t="s">
        <v>12</v>
      </c>
      <c r="X134" t="s">
        <v>3012</v>
      </c>
      <c r="Y134">
        <f t="shared" si="5"/>
        <v>1</v>
      </c>
    </row>
    <row r="135" spans="1:25" hidden="1">
      <c r="A135" t="s">
        <v>7561</v>
      </c>
      <c r="B135" t="s">
        <v>97</v>
      </c>
      <c r="C135">
        <v>1025</v>
      </c>
      <c r="D135">
        <v>11</v>
      </c>
      <c r="E135" t="s">
        <v>98</v>
      </c>
      <c r="F135" t="s">
        <v>1059</v>
      </c>
      <c r="H135" t="s">
        <v>274</v>
      </c>
      <c r="J135" t="s">
        <v>8668</v>
      </c>
      <c r="L135">
        <f t="shared" si="4"/>
        <v>1</v>
      </c>
      <c r="M135" t="s">
        <v>6381</v>
      </c>
      <c r="N135" t="s">
        <v>6331</v>
      </c>
      <c r="O135" t="s">
        <v>12</v>
      </c>
      <c r="P135" t="s">
        <v>6382</v>
      </c>
      <c r="Q135">
        <v>526310</v>
      </c>
      <c r="R135" s="16" t="s">
        <v>8517</v>
      </c>
      <c r="S135" s="16" t="s">
        <v>8142</v>
      </c>
      <c r="T135" t="s">
        <v>7561</v>
      </c>
      <c r="U135">
        <v>0</v>
      </c>
      <c r="V135" t="s">
        <v>8654</v>
      </c>
      <c r="W135" t="s">
        <v>12</v>
      </c>
      <c r="X135" t="s">
        <v>8663</v>
      </c>
      <c r="Y135">
        <f t="shared" si="5"/>
        <v>1</v>
      </c>
    </row>
    <row r="136" spans="1:25" hidden="1">
      <c r="A136" t="s">
        <v>7124</v>
      </c>
      <c r="B136" t="s">
        <v>430</v>
      </c>
      <c r="C136">
        <v>1027</v>
      </c>
      <c r="D136">
        <v>11</v>
      </c>
      <c r="E136" t="s">
        <v>40</v>
      </c>
      <c r="F136" t="s">
        <v>519</v>
      </c>
      <c r="H136" t="s">
        <v>520</v>
      </c>
      <c r="I136" t="s">
        <v>8928</v>
      </c>
      <c r="J136" t="s">
        <v>8941</v>
      </c>
      <c r="L136">
        <f t="shared" si="4"/>
        <v>1</v>
      </c>
      <c r="M136" t="s">
        <v>6419</v>
      </c>
      <c r="N136" t="s">
        <v>6420</v>
      </c>
      <c r="O136" t="s">
        <v>12</v>
      </c>
      <c r="P136">
        <v>-13160</v>
      </c>
      <c r="Q136">
        <v>510600</v>
      </c>
      <c r="R136" s="16" t="s">
        <v>8408</v>
      </c>
      <c r="S136" s="16" t="s">
        <v>8059</v>
      </c>
      <c r="T136" t="s">
        <v>7124</v>
      </c>
      <c r="U136">
        <v>1</v>
      </c>
      <c r="V136" t="s">
        <v>8656</v>
      </c>
      <c r="W136" t="s">
        <v>12</v>
      </c>
      <c r="X136" t="s">
        <v>8659</v>
      </c>
      <c r="Y136">
        <f t="shared" si="5"/>
        <v>1</v>
      </c>
    </row>
    <row r="137" spans="1:25" hidden="1">
      <c r="A137" t="s">
        <v>7125</v>
      </c>
      <c r="B137" t="s">
        <v>430</v>
      </c>
      <c r="C137">
        <v>1027</v>
      </c>
      <c r="D137">
        <v>11</v>
      </c>
      <c r="E137" t="s">
        <v>40</v>
      </c>
      <c r="F137" t="s">
        <v>519</v>
      </c>
      <c r="H137" t="s">
        <v>520</v>
      </c>
      <c r="I137" t="s">
        <v>8928</v>
      </c>
      <c r="J137" t="s">
        <v>8942</v>
      </c>
      <c r="L137">
        <f t="shared" si="4"/>
        <v>1</v>
      </c>
      <c r="M137" t="s">
        <v>6419</v>
      </c>
      <c r="N137" t="s">
        <v>6420</v>
      </c>
      <c r="O137" t="s">
        <v>12</v>
      </c>
      <c r="P137">
        <v>-13160</v>
      </c>
      <c r="Q137">
        <v>510600</v>
      </c>
      <c r="R137" s="16" t="s">
        <v>8408</v>
      </c>
      <c r="S137" s="16" t="s">
        <v>8059</v>
      </c>
      <c r="T137" t="s">
        <v>7125</v>
      </c>
      <c r="U137">
        <v>1</v>
      </c>
      <c r="V137" t="s">
        <v>8656</v>
      </c>
      <c r="W137" t="s">
        <v>12</v>
      </c>
      <c r="X137" t="s">
        <v>8659</v>
      </c>
      <c r="Y137">
        <f t="shared" si="5"/>
        <v>1</v>
      </c>
    </row>
    <row r="138" spans="1:25" hidden="1">
      <c r="A138" t="s">
        <v>7195</v>
      </c>
      <c r="B138" t="s">
        <v>431</v>
      </c>
      <c r="C138">
        <v>1031</v>
      </c>
      <c r="D138">
        <v>11</v>
      </c>
      <c r="E138" t="s">
        <v>40</v>
      </c>
      <c r="F138" t="s">
        <v>521</v>
      </c>
      <c r="H138" t="s">
        <v>522</v>
      </c>
      <c r="J138" t="s">
        <v>8668</v>
      </c>
      <c r="L138">
        <f t="shared" si="4"/>
        <v>1</v>
      </c>
      <c r="M138" t="s">
        <v>6419</v>
      </c>
      <c r="N138" t="s">
        <v>6420</v>
      </c>
      <c r="O138" t="s">
        <v>12</v>
      </c>
      <c r="P138">
        <v>-13160</v>
      </c>
      <c r="Q138">
        <v>510600</v>
      </c>
      <c r="R138" s="16" t="s">
        <v>8408</v>
      </c>
      <c r="S138" s="16" t="s">
        <v>8059</v>
      </c>
      <c r="T138" t="s">
        <v>7801</v>
      </c>
      <c r="U138">
        <v>0</v>
      </c>
      <c r="V138" t="s">
        <v>8654</v>
      </c>
      <c r="W138" t="s">
        <v>12</v>
      </c>
      <c r="X138" t="s">
        <v>8659</v>
      </c>
      <c r="Y138">
        <f t="shared" si="5"/>
        <v>1</v>
      </c>
    </row>
    <row r="139" spans="1:25" hidden="1">
      <c r="A139" t="s">
        <v>7252</v>
      </c>
      <c r="B139" t="s">
        <v>824</v>
      </c>
      <c r="C139">
        <v>1035</v>
      </c>
      <c r="D139">
        <v>11</v>
      </c>
      <c r="E139" t="s">
        <v>40</v>
      </c>
      <c r="F139" t="s">
        <v>825</v>
      </c>
      <c r="H139" t="s">
        <v>826</v>
      </c>
      <c r="J139" s="5" t="s">
        <v>8691</v>
      </c>
      <c r="L139">
        <f t="shared" si="4"/>
        <v>1</v>
      </c>
      <c r="M139" t="s">
        <v>6419</v>
      </c>
      <c r="N139" t="s">
        <v>6420</v>
      </c>
      <c r="O139" t="s">
        <v>12</v>
      </c>
      <c r="P139">
        <v>-13160</v>
      </c>
      <c r="Q139">
        <v>510600</v>
      </c>
      <c r="R139" s="16" t="s">
        <v>8408</v>
      </c>
      <c r="S139" s="16" t="s">
        <v>8059</v>
      </c>
      <c r="T139" t="s">
        <v>7811</v>
      </c>
      <c r="U139">
        <v>1</v>
      </c>
      <c r="V139" t="s">
        <v>8654</v>
      </c>
      <c r="W139" t="s">
        <v>12</v>
      </c>
      <c r="X139" t="s">
        <v>3012</v>
      </c>
      <c r="Y139">
        <f t="shared" si="5"/>
        <v>1</v>
      </c>
    </row>
    <row r="140" spans="1:25" hidden="1">
      <c r="A140" t="s">
        <v>7117</v>
      </c>
      <c r="B140" t="s">
        <v>433</v>
      </c>
      <c r="C140">
        <v>1050</v>
      </c>
      <c r="D140">
        <v>11</v>
      </c>
      <c r="E140" t="s">
        <v>241</v>
      </c>
      <c r="F140" t="s">
        <v>528</v>
      </c>
      <c r="H140" t="s">
        <v>529</v>
      </c>
      <c r="J140" t="s">
        <v>8668</v>
      </c>
      <c r="L140">
        <f t="shared" si="4"/>
        <v>1</v>
      </c>
      <c r="M140" t="s">
        <v>6285</v>
      </c>
      <c r="N140" t="s">
        <v>6286</v>
      </c>
      <c r="O140" t="s">
        <v>12</v>
      </c>
      <c r="P140">
        <v>-12833</v>
      </c>
      <c r="Q140">
        <v>516700</v>
      </c>
      <c r="R140" s="16" t="s">
        <v>8418</v>
      </c>
      <c r="S140" s="16" t="s">
        <v>8122</v>
      </c>
      <c r="T140" t="s">
        <v>7776</v>
      </c>
      <c r="U140">
        <v>0</v>
      </c>
      <c r="V140" t="s">
        <v>8654</v>
      </c>
      <c r="W140" t="s">
        <v>12</v>
      </c>
      <c r="X140" t="s">
        <v>8659</v>
      </c>
      <c r="Y140">
        <f t="shared" si="5"/>
        <v>1</v>
      </c>
    </row>
    <row r="141" spans="1:25" hidden="1">
      <c r="A141" t="s">
        <v>7064</v>
      </c>
      <c r="B141" t="s">
        <v>434</v>
      </c>
      <c r="C141">
        <v>1059</v>
      </c>
      <c r="D141">
        <v>11</v>
      </c>
      <c r="E141" t="s">
        <v>258</v>
      </c>
      <c r="F141" t="s">
        <v>530</v>
      </c>
      <c r="H141" t="s">
        <v>531</v>
      </c>
      <c r="J141" t="s">
        <v>8706</v>
      </c>
      <c r="L141">
        <f t="shared" si="4"/>
        <v>1</v>
      </c>
      <c r="M141" t="s">
        <v>6396</v>
      </c>
      <c r="N141" t="s">
        <v>6397</v>
      </c>
      <c r="O141" t="s">
        <v>12</v>
      </c>
      <c r="P141">
        <v>-35330</v>
      </c>
      <c r="Q141">
        <v>507180</v>
      </c>
      <c r="R141" s="16" t="s">
        <v>8359</v>
      </c>
      <c r="S141" s="16" t="s">
        <v>8062</v>
      </c>
      <c r="T141" t="s">
        <v>7064</v>
      </c>
      <c r="U141">
        <v>1</v>
      </c>
      <c r="V141" t="s">
        <v>8654</v>
      </c>
      <c r="W141" t="s">
        <v>12</v>
      </c>
      <c r="X141" t="s">
        <v>8659</v>
      </c>
      <c r="Y141">
        <f t="shared" si="5"/>
        <v>1</v>
      </c>
    </row>
    <row r="142" spans="1:25" hidden="1">
      <c r="A142" t="s">
        <v>7058</v>
      </c>
      <c r="B142" t="s">
        <v>397</v>
      </c>
      <c r="C142">
        <v>1252</v>
      </c>
      <c r="D142">
        <v>13</v>
      </c>
      <c r="E142" t="s">
        <v>4024</v>
      </c>
      <c r="F142" t="s">
        <v>724</v>
      </c>
      <c r="H142" t="s">
        <v>725</v>
      </c>
      <c r="J142" t="s">
        <v>8668</v>
      </c>
      <c r="L142">
        <f t="shared" si="4"/>
        <v>1</v>
      </c>
      <c r="M142" t="s">
        <v>6526</v>
      </c>
      <c r="N142" t="s">
        <v>6305</v>
      </c>
      <c r="O142" t="s">
        <v>104</v>
      </c>
      <c r="P142" t="s">
        <v>6527</v>
      </c>
      <c r="Q142" t="s">
        <v>6528</v>
      </c>
      <c r="R142" s="16" t="s">
        <v>8393</v>
      </c>
      <c r="S142" s="16" t="s">
        <v>8097</v>
      </c>
      <c r="T142" t="s">
        <v>7058</v>
      </c>
      <c r="U142">
        <v>0</v>
      </c>
      <c r="V142" t="s">
        <v>8654</v>
      </c>
      <c r="W142" t="s">
        <v>104</v>
      </c>
      <c r="X142" t="s">
        <v>8659</v>
      </c>
      <c r="Y142">
        <f t="shared" si="5"/>
        <v>1</v>
      </c>
    </row>
    <row r="143" spans="1:25" hidden="1">
      <c r="A143" t="s">
        <v>7093</v>
      </c>
      <c r="B143" t="s">
        <v>434</v>
      </c>
      <c r="C143">
        <v>1059</v>
      </c>
      <c r="D143">
        <v>11</v>
      </c>
      <c r="E143" t="s">
        <v>258</v>
      </c>
      <c r="F143" t="s">
        <v>532</v>
      </c>
      <c r="H143" t="s">
        <v>533</v>
      </c>
      <c r="J143" t="s">
        <v>8715</v>
      </c>
      <c r="L143">
        <f t="shared" si="4"/>
        <v>1</v>
      </c>
      <c r="M143" t="s">
        <v>6396</v>
      </c>
      <c r="N143" t="s">
        <v>6397</v>
      </c>
      <c r="O143" t="s">
        <v>12</v>
      </c>
      <c r="P143">
        <v>-35330</v>
      </c>
      <c r="Q143">
        <v>507180</v>
      </c>
      <c r="R143" s="16" t="s">
        <v>8359</v>
      </c>
      <c r="S143" s="16" t="s">
        <v>8062</v>
      </c>
      <c r="T143" t="s">
        <v>7757</v>
      </c>
      <c r="U143">
        <v>1</v>
      </c>
      <c r="V143" t="s">
        <v>8654</v>
      </c>
      <c r="W143" t="s">
        <v>12</v>
      </c>
      <c r="X143" t="s">
        <v>8659</v>
      </c>
      <c r="Y143">
        <f t="shared" si="5"/>
        <v>1</v>
      </c>
    </row>
    <row r="144" spans="1:25" hidden="1">
      <c r="A144" t="s">
        <v>7066</v>
      </c>
      <c r="B144" t="s">
        <v>399</v>
      </c>
      <c r="C144">
        <v>1256</v>
      </c>
      <c r="D144">
        <v>13</v>
      </c>
      <c r="E144" t="s">
        <v>4039</v>
      </c>
      <c r="F144" t="s">
        <v>728</v>
      </c>
      <c r="H144" t="s">
        <v>729</v>
      </c>
      <c r="J144" t="s">
        <v>8668</v>
      </c>
      <c r="L144">
        <f t="shared" si="4"/>
        <v>1</v>
      </c>
      <c r="M144" t="s">
        <v>4601</v>
      </c>
      <c r="N144" t="s">
        <v>6460</v>
      </c>
      <c r="O144" t="s">
        <v>11</v>
      </c>
      <c r="P144">
        <v>142681</v>
      </c>
      <c r="Q144">
        <v>408518</v>
      </c>
      <c r="R144" s="16" t="s">
        <v>8397</v>
      </c>
      <c r="S144" s="16" t="s">
        <v>8101</v>
      </c>
      <c r="T144" t="s">
        <v>7066</v>
      </c>
      <c r="U144">
        <v>0</v>
      </c>
      <c r="V144" t="s">
        <v>8654</v>
      </c>
      <c r="W144" t="s">
        <v>11</v>
      </c>
      <c r="X144" t="s">
        <v>8659</v>
      </c>
      <c r="Y144">
        <f t="shared" si="5"/>
        <v>1</v>
      </c>
    </row>
    <row r="145" spans="1:25" hidden="1">
      <c r="A145" t="s">
        <v>7061</v>
      </c>
      <c r="B145" t="s">
        <v>488</v>
      </c>
      <c r="C145">
        <v>919</v>
      </c>
      <c r="D145">
        <v>10</v>
      </c>
      <c r="E145" t="s">
        <v>4029</v>
      </c>
      <c r="F145" t="s">
        <v>489</v>
      </c>
      <c r="H145" t="s">
        <v>490</v>
      </c>
      <c r="J145" t="s">
        <v>8668</v>
      </c>
      <c r="L145">
        <f t="shared" si="4"/>
        <v>1</v>
      </c>
      <c r="M145" t="s">
        <v>6992</v>
      </c>
      <c r="N145" t="s">
        <v>6993</v>
      </c>
      <c r="O145" t="s">
        <v>6994</v>
      </c>
      <c r="P145">
        <v>-40111</v>
      </c>
      <c r="Q145">
        <v>381139</v>
      </c>
      <c r="R145" s="16" t="s">
        <v>8394</v>
      </c>
      <c r="S145" s="16" t="s">
        <v>8098</v>
      </c>
      <c r="T145" t="s">
        <v>7061</v>
      </c>
      <c r="U145">
        <v>0</v>
      </c>
      <c r="V145" t="s">
        <v>8654</v>
      </c>
      <c r="W145" t="s">
        <v>6994</v>
      </c>
      <c r="X145" t="s">
        <v>8659</v>
      </c>
      <c r="Y145">
        <f t="shared" si="5"/>
        <v>1</v>
      </c>
    </row>
    <row r="146" spans="1:25" hidden="1">
      <c r="A146" t="s">
        <v>7130</v>
      </c>
      <c r="B146" t="s">
        <v>434</v>
      </c>
      <c r="C146">
        <v>1059</v>
      </c>
      <c r="D146">
        <v>11</v>
      </c>
      <c r="E146" t="s">
        <v>258</v>
      </c>
      <c r="F146" t="s">
        <v>534</v>
      </c>
      <c r="H146" t="s">
        <v>535</v>
      </c>
      <c r="J146" t="s">
        <v>8668</v>
      </c>
      <c r="L146">
        <f t="shared" si="4"/>
        <v>1</v>
      </c>
      <c r="M146" t="s">
        <v>6396</v>
      </c>
      <c r="N146" t="s">
        <v>6397</v>
      </c>
      <c r="O146" t="s">
        <v>12</v>
      </c>
      <c r="P146">
        <v>-35330</v>
      </c>
      <c r="Q146">
        <v>507180</v>
      </c>
      <c r="R146" s="16" t="s">
        <v>8359</v>
      </c>
      <c r="S146" s="16" t="s">
        <v>8062</v>
      </c>
      <c r="T146" t="s">
        <v>7786</v>
      </c>
      <c r="U146">
        <v>0</v>
      </c>
      <c r="V146" t="s">
        <v>8654</v>
      </c>
      <c r="W146" t="s">
        <v>12</v>
      </c>
      <c r="X146" t="s">
        <v>8659</v>
      </c>
      <c r="Y146">
        <f t="shared" si="5"/>
        <v>1</v>
      </c>
    </row>
    <row r="147" spans="1:25" hidden="1">
      <c r="A147" t="s">
        <v>7154</v>
      </c>
      <c r="B147" t="s">
        <v>434</v>
      </c>
      <c r="C147">
        <v>1059</v>
      </c>
      <c r="D147">
        <v>11</v>
      </c>
      <c r="E147" t="s">
        <v>258</v>
      </c>
      <c r="F147" t="s">
        <v>536</v>
      </c>
      <c r="H147" t="s">
        <v>537</v>
      </c>
      <c r="I147" t="s">
        <v>8928</v>
      </c>
      <c r="J147" t="s">
        <v>8947</v>
      </c>
      <c r="L147">
        <f t="shared" si="4"/>
        <v>1</v>
      </c>
      <c r="M147" t="s">
        <v>6396</v>
      </c>
      <c r="N147" t="s">
        <v>6397</v>
      </c>
      <c r="O147" t="s">
        <v>12</v>
      </c>
      <c r="P147">
        <v>-35330</v>
      </c>
      <c r="Q147">
        <v>507180</v>
      </c>
      <c r="R147" s="16" t="s">
        <v>8359</v>
      </c>
      <c r="S147" s="16" t="s">
        <v>8062</v>
      </c>
      <c r="T147" t="s">
        <v>7794</v>
      </c>
      <c r="U147">
        <v>1</v>
      </c>
      <c r="V147" t="s">
        <v>8656</v>
      </c>
      <c r="W147" t="s">
        <v>12</v>
      </c>
      <c r="X147" t="s">
        <v>8659</v>
      </c>
      <c r="Y147">
        <f t="shared" si="5"/>
        <v>1</v>
      </c>
    </row>
    <row r="148" spans="1:25" hidden="1">
      <c r="A148" t="s">
        <v>7072</v>
      </c>
      <c r="B148" t="s">
        <v>401</v>
      </c>
      <c r="C148">
        <v>1260</v>
      </c>
      <c r="D148">
        <v>13</v>
      </c>
      <c r="E148" t="s">
        <v>4045</v>
      </c>
      <c r="F148" t="s">
        <v>734</v>
      </c>
      <c r="H148" t="s">
        <v>735</v>
      </c>
      <c r="J148" t="s">
        <v>8668</v>
      </c>
      <c r="L148">
        <f t="shared" si="4"/>
        <v>1</v>
      </c>
      <c r="M148" t="s">
        <v>7018</v>
      </c>
      <c r="N148" t="s">
        <v>7019</v>
      </c>
      <c r="O148" t="s">
        <v>6991</v>
      </c>
      <c r="P148">
        <v>48000</v>
      </c>
      <c r="Q148">
        <v>506500</v>
      </c>
      <c r="R148" s="16" t="s">
        <v>8401</v>
      </c>
      <c r="S148" s="16" t="s">
        <v>8105</v>
      </c>
      <c r="T148" t="s">
        <v>7072</v>
      </c>
      <c r="U148">
        <v>0</v>
      </c>
      <c r="V148" t="s">
        <v>8654</v>
      </c>
      <c r="W148" t="s">
        <v>6991</v>
      </c>
      <c r="X148" t="s">
        <v>8659</v>
      </c>
      <c r="Y148">
        <f t="shared" si="5"/>
        <v>1</v>
      </c>
    </row>
    <row r="149" spans="1:25" hidden="1">
      <c r="A149" t="s">
        <v>7079</v>
      </c>
      <c r="B149" t="s">
        <v>1260</v>
      </c>
      <c r="C149">
        <v>1259</v>
      </c>
      <c r="D149">
        <v>13</v>
      </c>
      <c r="E149" t="s">
        <v>4051</v>
      </c>
      <c r="F149" t="s">
        <v>736</v>
      </c>
      <c r="H149" t="s">
        <v>737</v>
      </c>
      <c r="J149" t="s">
        <v>8668</v>
      </c>
      <c r="L149">
        <f t="shared" si="4"/>
        <v>1</v>
      </c>
      <c r="M149" t="s">
        <v>7007</v>
      </c>
      <c r="N149" t="s">
        <v>7008</v>
      </c>
      <c r="O149" t="s">
        <v>7009</v>
      </c>
      <c r="P149">
        <v>-81833</v>
      </c>
      <c r="Q149">
        <v>402167</v>
      </c>
      <c r="R149" s="16" t="s">
        <v>8406</v>
      </c>
      <c r="S149" s="16" t="s">
        <v>8110</v>
      </c>
      <c r="T149" t="s">
        <v>7079</v>
      </c>
      <c r="U149">
        <v>0</v>
      </c>
      <c r="V149" t="s">
        <v>8654</v>
      </c>
      <c r="W149" t="s">
        <v>7009</v>
      </c>
      <c r="X149" t="s">
        <v>8659</v>
      </c>
      <c r="Y149">
        <f t="shared" si="5"/>
        <v>1</v>
      </c>
    </row>
    <row r="150" spans="1:25" hidden="1">
      <c r="A150" t="s">
        <v>7049</v>
      </c>
      <c r="B150" t="s">
        <v>738</v>
      </c>
      <c r="C150">
        <v>1260</v>
      </c>
      <c r="D150">
        <v>13</v>
      </c>
      <c r="E150" t="s">
        <v>4010</v>
      </c>
      <c r="F150" t="s">
        <v>739</v>
      </c>
      <c r="H150" t="s">
        <v>740</v>
      </c>
      <c r="J150" t="s">
        <v>9112</v>
      </c>
      <c r="L150">
        <f t="shared" si="4"/>
        <v>1</v>
      </c>
      <c r="M150" t="s">
        <v>4010</v>
      </c>
      <c r="N150" t="s">
        <v>6291</v>
      </c>
      <c r="O150" t="s">
        <v>3995</v>
      </c>
      <c r="P150" t="s">
        <v>6823</v>
      </c>
      <c r="Q150" t="s">
        <v>6824</v>
      </c>
      <c r="R150" s="16" t="s">
        <v>8388</v>
      </c>
      <c r="S150" s="16" t="s">
        <v>8092</v>
      </c>
      <c r="T150" t="s">
        <v>7049</v>
      </c>
      <c r="U150">
        <v>1</v>
      </c>
      <c r="V150" t="s">
        <v>8654</v>
      </c>
      <c r="W150" t="s">
        <v>3995</v>
      </c>
      <c r="X150" t="s">
        <v>8659</v>
      </c>
      <c r="Y150">
        <f t="shared" si="5"/>
        <v>1</v>
      </c>
    </row>
    <row r="151" spans="1:25" hidden="1">
      <c r="A151" t="s">
        <v>7059</v>
      </c>
      <c r="B151" t="s">
        <v>738</v>
      </c>
      <c r="C151">
        <v>1260</v>
      </c>
      <c r="D151">
        <v>13</v>
      </c>
      <c r="E151" t="s">
        <v>104</v>
      </c>
      <c r="F151" t="s">
        <v>741</v>
      </c>
      <c r="H151" t="s">
        <v>742</v>
      </c>
      <c r="J151" t="s">
        <v>8668</v>
      </c>
      <c r="L151">
        <f t="shared" si="4"/>
        <v>0</v>
      </c>
      <c r="R151" s="16" t="s">
        <v>8064</v>
      </c>
      <c r="S151" s="16" t="s">
        <v>8064</v>
      </c>
      <c r="T151" t="s">
        <v>7059</v>
      </c>
      <c r="U151">
        <v>0</v>
      </c>
      <c r="V151" t="s">
        <v>8655</v>
      </c>
      <c r="X151" t="s">
        <v>8659</v>
      </c>
      <c r="Y151">
        <f t="shared" si="5"/>
        <v>0</v>
      </c>
    </row>
    <row r="152" spans="1:25" hidden="1">
      <c r="A152" t="s">
        <v>7104</v>
      </c>
      <c r="B152" t="s">
        <v>402</v>
      </c>
      <c r="C152">
        <v>1261</v>
      </c>
      <c r="D152">
        <v>13</v>
      </c>
      <c r="E152" t="s">
        <v>4102</v>
      </c>
      <c r="F152" t="s">
        <v>743</v>
      </c>
      <c r="H152" t="s">
        <v>744</v>
      </c>
      <c r="J152" t="s">
        <v>8716</v>
      </c>
      <c r="L152">
        <f t="shared" si="4"/>
        <v>1</v>
      </c>
      <c r="M152" t="s">
        <v>6752</v>
      </c>
      <c r="N152" t="s">
        <v>6752</v>
      </c>
      <c r="O152" t="s">
        <v>6753</v>
      </c>
      <c r="P152" t="s">
        <v>6754</v>
      </c>
      <c r="Q152" t="s">
        <v>6755</v>
      </c>
      <c r="R152" s="16" t="s">
        <v>8415</v>
      </c>
      <c r="S152" s="16" t="s">
        <v>8119</v>
      </c>
      <c r="T152" t="s">
        <v>7765</v>
      </c>
      <c r="U152">
        <v>1</v>
      </c>
      <c r="V152" t="s">
        <v>8654</v>
      </c>
      <c r="W152" t="s">
        <v>6753</v>
      </c>
      <c r="X152" t="s">
        <v>8659</v>
      </c>
      <c r="Y152">
        <f t="shared" si="5"/>
        <v>1</v>
      </c>
    </row>
    <row r="153" spans="1:25" hidden="1">
      <c r="A153" t="s">
        <v>7196</v>
      </c>
      <c r="B153" t="s">
        <v>403</v>
      </c>
      <c r="C153">
        <v>1265</v>
      </c>
      <c r="D153">
        <v>13</v>
      </c>
      <c r="E153" t="s">
        <v>22</v>
      </c>
      <c r="F153" t="s">
        <v>745</v>
      </c>
      <c r="H153" t="s">
        <v>746</v>
      </c>
      <c r="I153" t="s">
        <v>8928</v>
      </c>
      <c r="J153" t="s">
        <v>8704</v>
      </c>
      <c r="L153">
        <f t="shared" si="4"/>
        <v>1</v>
      </c>
      <c r="M153" t="s">
        <v>4502</v>
      </c>
      <c r="N153" t="s">
        <v>6456</v>
      </c>
      <c r="O153" t="s">
        <v>104</v>
      </c>
      <c r="P153">
        <v>23522</v>
      </c>
      <c r="Q153">
        <v>488566</v>
      </c>
      <c r="R153" s="16" t="s">
        <v>8364</v>
      </c>
      <c r="S153" s="16" t="s">
        <v>8069</v>
      </c>
      <c r="T153" t="s">
        <v>7196</v>
      </c>
      <c r="U153">
        <v>1</v>
      </c>
      <c r="V153" t="s">
        <v>8656</v>
      </c>
      <c r="W153" t="s">
        <v>104</v>
      </c>
      <c r="X153" t="s">
        <v>8659</v>
      </c>
      <c r="Y153">
        <f t="shared" si="5"/>
        <v>1</v>
      </c>
    </row>
    <row r="154" spans="1:25" hidden="1">
      <c r="A154" t="s">
        <v>7166</v>
      </c>
      <c r="B154" t="s">
        <v>434</v>
      </c>
      <c r="C154">
        <v>1059</v>
      </c>
      <c r="D154">
        <v>11</v>
      </c>
      <c r="E154" t="s">
        <v>258</v>
      </c>
      <c r="F154" t="s">
        <v>538</v>
      </c>
      <c r="H154" t="s">
        <v>539</v>
      </c>
      <c r="J154" t="s">
        <v>8722</v>
      </c>
      <c r="L154">
        <f t="shared" si="4"/>
        <v>1</v>
      </c>
      <c r="M154" t="s">
        <v>6396</v>
      </c>
      <c r="N154" t="s">
        <v>6397</v>
      </c>
      <c r="O154" t="s">
        <v>12</v>
      </c>
      <c r="P154">
        <v>-35330</v>
      </c>
      <c r="Q154">
        <v>507180</v>
      </c>
      <c r="R154" s="16" t="s">
        <v>8359</v>
      </c>
      <c r="S154" s="16" t="s">
        <v>8062</v>
      </c>
      <c r="T154" t="s">
        <v>7166</v>
      </c>
      <c r="U154">
        <v>1</v>
      </c>
      <c r="V154" t="s">
        <v>8654</v>
      </c>
      <c r="W154" t="s">
        <v>12</v>
      </c>
      <c r="X154" t="s">
        <v>8659</v>
      </c>
      <c r="Y154">
        <f t="shared" si="5"/>
        <v>1</v>
      </c>
    </row>
    <row r="155" spans="1:25" hidden="1">
      <c r="A155" t="s">
        <v>5565</v>
      </c>
      <c r="B155" t="s">
        <v>827</v>
      </c>
      <c r="C155">
        <v>1061</v>
      </c>
      <c r="D155">
        <v>11</v>
      </c>
      <c r="E155" t="s">
        <v>258</v>
      </c>
      <c r="F155" t="s">
        <v>828</v>
      </c>
      <c r="H155" t="s">
        <v>829</v>
      </c>
      <c r="I155" t="s">
        <v>8928</v>
      </c>
      <c r="J155" t="s">
        <v>8975</v>
      </c>
      <c r="L155">
        <f t="shared" si="4"/>
        <v>1</v>
      </c>
      <c r="M155" t="s">
        <v>6396</v>
      </c>
      <c r="N155" t="s">
        <v>6397</v>
      </c>
      <c r="O155" t="s">
        <v>12</v>
      </c>
      <c r="P155">
        <v>-35330</v>
      </c>
      <c r="Q155">
        <v>507180</v>
      </c>
      <c r="R155" s="16" t="s">
        <v>8359</v>
      </c>
      <c r="S155" s="16" t="s">
        <v>8062</v>
      </c>
      <c r="T155" t="s">
        <v>5565</v>
      </c>
      <c r="U155">
        <v>1</v>
      </c>
      <c r="V155" t="s">
        <v>8656</v>
      </c>
      <c r="W155" t="s">
        <v>12</v>
      </c>
      <c r="X155" t="s">
        <v>3012</v>
      </c>
      <c r="Y155">
        <f t="shared" si="5"/>
        <v>1</v>
      </c>
    </row>
    <row r="156" spans="1:25" hidden="1">
      <c r="A156" t="s">
        <v>5567</v>
      </c>
      <c r="B156" t="s">
        <v>827</v>
      </c>
      <c r="C156">
        <v>1061</v>
      </c>
      <c r="D156">
        <v>11</v>
      </c>
      <c r="E156" t="s">
        <v>258</v>
      </c>
      <c r="F156" t="s">
        <v>830</v>
      </c>
      <c r="H156" t="s">
        <v>831</v>
      </c>
      <c r="J156" t="s">
        <v>8695</v>
      </c>
      <c r="L156">
        <f t="shared" si="4"/>
        <v>1</v>
      </c>
      <c r="M156" t="s">
        <v>6396</v>
      </c>
      <c r="N156" t="s">
        <v>6397</v>
      </c>
      <c r="O156" t="s">
        <v>12</v>
      </c>
      <c r="P156">
        <v>-35330</v>
      </c>
      <c r="Q156">
        <v>507180</v>
      </c>
      <c r="R156" s="16" t="s">
        <v>8359</v>
      </c>
      <c r="S156" s="16" t="s">
        <v>8062</v>
      </c>
      <c r="T156" t="s">
        <v>5567</v>
      </c>
      <c r="U156">
        <v>1</v>
      </c>
      <c r="V156" t="s">
        <v>8654</v>
      </c>
      <c r="W156" t="s">
        <v>12</v>
      </c>
      <c r="X156" t="s">
        <v>3012</v>
      </c>
      <c r="Y156">
        <f t="shared" si="5"/>
        <v>1</v>
      </c>
    </row>
    <row r="157" spans="1:25" hidden="1">
      <c r="A157" t="s">
        <v>7137</v>
      </c>
      <c r="B157" t="s">
        <v>751</v>
      </c>
      <c r="C157">
        <v>1269</v>
      </c>
      <c r="D157">
        <v>13</v>
      </c>
      <c r="E157" t="s">
        <v>4149</v>
      </c>
      <c r="F157" t="s">
        <v>752</v>
      </c>
      <c r="H157" t="s">
        <v>753</v>
      </c>
      <c r="J157" t="s">
        <v>8668</v>
      </c>
      <c r="L157">
        <f t="shared" si="4"/>
        <v>1</v>
      </c>
      <c r="M157" t="s">
        <v>6643</v>
      </c>
      <c r="N157" t="s">
        <v>6594</v>
      </c>
      <c r="O157" t="s">
        <v>4016</v>
      </c>
      <c r="P157" t="s">
        <v>6644</v>
      </c>
      <c r="Q157" t="s">
        <v>6645</v>
      </c>
      <c r="R157" s="16" t="s">
        <v>8426</v>
      </c>
      <c r="S157" s="16" t="s">
        <v>8130</v>
      </c>
      <c r="T157" t="s">
        <v>7137</v>
      </c>
      <c r="U157">
        <v>0</v>
      </c>
      <c r="V157" t="s">
        <v>8654</v>
      </c>
      <c r="W157" t="s">
        <v>4016</v>
      </c>
      <c r="X157" t="s">
        <v>8659</v>
      </c>
      <c r="Y157">
        <f t="shared" si="5"/>
        <v>1</v>
      </c>
    </row>
    <row r="158" spans="1:25" hidden="1">
      <c r="A158" t="s">
        <v>5566</v>
      </c>
      <c r="B158" t="s">
        <v>827</v>
      </c>
      <c r="C158">
        <v>1061</v>
      </c>
      <c r="D158">
        <v>11</v>
      </c>
      <c r="E158" t="s">
        <v>258</v>
      </c>
      <c r="F158" t="s">
        <v>832</v>
      </c>
      <c r="H158" t="s">
        <v>833</v>
      </c>
      <c r="J158" t="s">
        <v>8668</v>
      </c>
      <c r="L158">
        <f t="shared" si="4"/>
        <v>1</v>
      </c>
      <c r="M158" t="s">
        <v>6396</v>
      </c>
      <c r="N158" t="s">
        <v>6397</v>
      </c>
      <c r="O158" t="s">
        <v>12</v>
      </c>
      <c r="P158">
        <v>-35330</v>
      </c>
      <c r="Q158">
        <v>507180</v>
      </c>
      <c r="R158" s="16" t="s">
        <v>8359</v>
      </c>
      <c r="S158" s="16" t="s">
        <v>8062</v>
      </c>
      <c r="T158" t="s">
        <v>5566</v>
      </c>
      <c r="U158">
        <v>0</v>
      </c>
      <c r="V158" t="s">
        <v>8654</v>
      </c>
      <c r="W158" t="s">
        <v>12</v>
      </c>
      <c r="X158" t="s">
        <v>3012</v>
      </c>
      <c r="Y158">
        <f t="shared" si="5"/>
        <v>1</v>
      </c>
    </row>
    <row r="159" spans="1:25">
      <c r="A159" t="s">
        <v>7152</v>
      </c>
      <c r="B159" t="s">
        <v>756</v>
      </c>
      <c r="C159">
        <v>1272</v>
      </c>
      <c r="D159">
        <v>13</v>
      </c>
      <c r="E159" t="s">
        <v>12</v>
      </c>
      <c r="F159" t="s">
        <v>757</v>
      </c>
      <c r="G159" t="e">
        <f>VLOOKUP(TRIM(F159),[1]mss!$AA:$AA,1,0)</f>
        <v>#N/A</v>
      </c>
      <c r="H159" t="s">
        <v>758</v>
      </c>
      <c r="J159" t="s">
        <v>8668</v>
      </c>
      <c r="L159">
        <f t="shared" si="4"/>
        <v>0</v>
      </c>
      <c r="R159" s="16" t="s">
        <v>8064</v>
      </c>
      <c r="S159" s="16" t="s">
        <v>8064</v>
      </c>
      <c r="T159" t="s">
        <v>7793</v>
      </c>
      <c r="U159">
        <v>0</v>
      </c>
      <c r="V159" t="s">
        <v>8655</v>
      </c>
      <c r="X159" t="s">
        <v>8659</v>
      </c>
      <c r="Y159">
        <f t="shared" si="5"/>
        <v>0</v>
      </c>
    </row>
    <row r="160" spans="1:25" hidden="1">
      <c r="A160" t="s">
        <v>5295</v>
      </c>
      <c r="B160" t="s">
        <v>827</v>
      </c>
      <c r="C160">
        <v>1061</v>
      </c>
      <c r="D160">
        <v>11</v>
      </c>
      <c r="E160" t="s">
        <v>258</v>
      </c>
      <c r="F160" t="s">
        <v>834</v>
      </c>
      <c r="H160" t="s">
        <v>835</v>
      </c>
      <c r="J160" t="s">
        <v>8668</v>
      </c>
      <c r="L160">
        <f t="shared" si="4"/>
        <v>1</v>
      </c>
      <c r="M160" t="s">
        <v>6396</v>
      </c>
      <c r="N160" t="s">
        <v>6397</v>
      </c>
      <c r="O160" t="s">
        <v>12</v>
      </c>
      <c r="P160">
        <v>-35330</v>
      </c>
      <c r="Q160">
        <v>507180</v>
      </c>
      <c r="R160" s="16" t="s">
        <v>8359</v>
      </c>
      <c r="S160" s="16" t="s">
        <v>8062</v>
      </c>
      <c r="T160" t="s">
        <v>8043</v>
      </c>
      <c r="U160">
        <v>0</v>
      </c>
      <c r="V160" t="s">
        <v>8654</v>
      </c>
      <c r="W160" t="s">
        <v>12</v>
      </c>
      <c r="X160" t="s">
        <v>3012</v>
      </c>
      <c r="Y160">
        <f t="shared" si="5"/>
        <v>1</v>
      </c>
    </row>
    <row r="161" spans="1:25" hidden="1">
      <c r="A161" t="s">
        <v>7078</v>
      </c>
      <c r="B161" t="s">
        <v>760</v>
      </c>
      <c r="C161">
        <v>1273</v>
      </c>
      <c r="D161">
        <v>13</v>
      </c>
      <c r="E161" t="s">
        <v>4050</v>
      </c>
      <c r="F161" t="s">
        <v>761</v>
      </c>
      <c r="H161" t="s">
        <v>762</v>
      </c>
      <c r="J161" t="s">
        <v>8668</v>
      </c>
      <c r="L161">
        <f t="shared" si="4"/>
        <v>1</v>
      </c>
      <c r="M161" t="s">
        <v>6922</v>
      </c>
      <c r="N161" t="s">
        <v>6923</v>
      </c>
      <c r="O161" t="s">
        <v>6290</v>
      </c>
      <c r="P161" t="s">
        <v>6924</v>
      </c>
      <c r="Q161" t="s">
        <v>6925</v>
      </c>
      <c r="R161" s="16" t="s">
        <v>8405</v>
      </c>
      <c r="S161" s="16" t="s">
        <v>8109</v>
      </c>
      <c r="T161" t="s">
        <v>7078</v>
      </c>
      <c r="U161">
        <v>0</v>
      </c>
      <c r="V161" t="s">
        <v>8654</v>
      </c>
      <c r="W161" t="s">
        <v>6290</v>
      </c>
      <c r="X161" t="s">
        <v>8659</v>
      </c>
      <c r="Y161">
        <f t="shared" si="5"/>
        <v>1</v>
      </c>
    </row>
    <row r="162" spans="1:25" hidden="1">
      <c r="A162" t="s">
        <v>7205</v>
      </c>
      <c r="B162" t="s">
        <v>827</v>
      </c>
      <c r="C162">
        <v>1061</v>
      </c>
      <c r="D162">
        <v>11</v>
      </c>
      <c r="E162" t="s">
        <v>258</v>
      </c>
      <c r="F162" t="s">
        <v>836</v>
      </c>
      <c r="H162" t="s">
        <v>837</v>
      </c>
      <c r="I162" t="s">
        <v>8928</v>
      </c>
      <c r="J162" t="s">
        <v>8956</v>
      </c>
      <c r="L162">
        <f t="shared" si="4"/>
        <v>1</v>
      </c>
      <c r="M162" t="s">
        <v>6396</v>
      </c>
      <c r="N162" t="s">
        <v>6397</v>
      </c>
      <c r="O162" t="s">
        <v>12</v>
      </c>
      <c r="P162">
        <v>-35330</v>
      </c>
      <c r="Q162">
        <v>507180</v>
      </c>
      <c r="R162" s="16" t="s">
        <v>8359</v>
      </c>
      <c r="S162" s="16" t="s">
        <v>8062</v>
      </c>
      <c r="T162" t="s">
        <v>7205</v>
      </c>
      <c r="U162">
        <v>1</v>
      </c>
      <c r="V162" t="s">
        <v>8656</v>
      </c>
      <c r="W162" t="s">
        <v>12</v>
      </c>
      <c r="X162" t="s">
        <v>3012</v>
      </c>
      <c r="Y162">
        <f t="shared" si="5"/>
        <v>1</v>
      </c>
    </row>
    <row r="163" spans="1:25" hidden="1">
      <c r="A163" t="s">
        <v>7083</v>
      </c>
      <c r="B163" t="s">
        <v>407</v>
      </c>
      <c r="C163">
        <v>1278</v>
      </c>
      <c r="D163">
        <v>13</v>
      </c>
      <c r="E163" t="s">
        <v>4066</v>
      </c>
      <c r="F163" t="s">
        <v>253</v>
      </c>
      <c r="H163" t="s">
        <v>765</v>
      </c>
      <c r="J163" t="s">
        <v>8668</v>
      </c>
      <c r="L163">
        <f t="shared" si="4"/>
        <v>1</v>
      </c>
      <c r="M163" t="s">
        <v>6535</v>
      </c>
      <c r="N163" t="s">
        <v>6505</v>
      </c>
      <c r="O163" t="s">
        <v>104</v>
      </c>
      <c r="P163" t="s">
        <v>6536</v>
      </c>
      <c r="Q163" t="s">
        <v>6537</v>
      </c>
      <c r="R163" s="16" t="s">
        <v>8409</v>
      </c>
      <c r="S163" s="16" t="s">
        <v>8112</v>
      </c>
      <c r="T163" t="s">
        <v>7747</v>
      </c>
      <c r="U163">
        <v>0</v>
      </c>
      <c r="V163" t="s">
        <v>8654</v>
      </c>
      <c r="W163" t="s">
        <v>104</v>
      </c>
      <c r="X163" t="s">
        <v>8659</v>
      </c>
      <c r="Y163">
        <f t="shared" si="5"/>
        <v>1</v>
      </c>
    </row>
    <row r="164" spans="1:25" hidden="1">
      <c r="A164" t="s">
        <v>7150</v>
      </c>
      <c r="B164" t="s">
        <v>766</v>
      </c>
      <c r="C164">
        <v>1280</v>
      </c>
      <c r="D164">
        <v>13</v>
      </c>
      <c r="E164" t="s">
        <v>104</v>
      </c>
      <c r="F164" t="s">
        <v>767</v>
      </c>
      <c r="H164" t="s">
        <v>768</v>
      </c>
      <c r="J164" t="s">
        <v>8668</v>
      </c>
      <c r="L164">
        <f t="shared" si="4"/>
        <v>0</v>
      </c>
      <c r="R164" s="16" t="s">
        <v>8064</v>
      </c>
      <c r="S164" s="16" t="s">
        <v>8064</v>
      </c>
      <c r="T164" t="s">
        <v>7150</v>
      </c>
      <c r="U164">
        <v>0</v>
      </c>
      <c r="V164" t="s">
        <v>8655</v>
      </c>
      <c r="X164" t="s">
        <v>8659</v>
      </c>
      <c r="Y164">
        <f t="shared" si="5"/>
        <v>0</v>
      </c>
    </row>
    <row r="165" spans="1:25" hidden="1">
      <c r="A165" t="s">
        <v>7207</v>
      </c>
      <c r="B165" t="s">
        <v>827</v>
      </c>
      <c r="C165">
        <v>1061</v>
      </c>
      <c r="D165">
        <v>11</v>
      </c>
      <c r="E165" t="s">
        <v>258</v>
      </c>
      <c r="F165" t="s">
        <v>838</v>
      </c>
      <c r="H165" t="s">
        <v>839</v>
      </c>
      <c r="I165" t="s">
        <v>8928</v>
      </c>
      <c r="J165" t="s">
        <v>8958</v>
      </c>
      <c r="L165">
        <f t="shared" si="4"/>
        <v>1</v>
      </c>
      <c r="M165" t="s">
        <v>6396</v>
      </c>
      <c r="N165" t="s">
        <v>6397</v>
      </c>
      <c r="O165" t="s">
        <v>12</v>
      </c>
      <c r="P165">
        <v>-35330</v>
      </c>
      <c r="Q165">
        <v>507180</v>
      </c>
      <c r="R165" s="16" t="s">
        <v>8359</v>
      </c>
      <c r="S165" s="16" t="s">
        <v>8062</v>
      </c>
      <c r="T165" t="s">
        <v>7207</v>
      </c>
      <c r="U165">
        <v>1</v>
      </c>
      <c r="V165" t="s">
        <v>8656</v>
      </c>
      <c r="W165" t="s">
        <v>12</v>
      </c>
      <c r="X165" t="s">
        <v>3012</v>
      </c>
      <c r="Y165">
        <f t="shared" si="5"/>
        <v>1</v>
      </c>
    </row>
    <row r="166" spans="1:25" hidden="1">
      <c r="A166" t="s">
        <v>7209</v>
      </c>
      <c r="B166" t="s">
        <v>827</v>
      </c>
      <c r="C166">
        <v>1061</v>
      </c>
      <c r="D166">
        <v>11</v>
      </c>
      <c r="E166" t="s">
        <v>258</v>
      </c>
      <c r="F166" t="s">
        <v>840</v>
      </c>
      <c r="H166" t="s">
        <v>841</v>
      </c>
      <c r="I166" t="s">
        <v>8928</v>
      </c>
      <c r="J166" t="s">
        <v>8960</v>
      </c>
      <c r="L166">
        <f t="shared" si="4"/>
        <v>1</v>
      </c>
      <c r="M166" t="s">
        <v>6396</v>
      </c>
      <c r="N166" t="s">
        <v>6397</v>
      </c>
      <c r="O166" t="s">
        <v>12</v>
      </c>
      <c r="P166">
        <v>-35330</v>
      </c>
      <c r="Q166">
        <v>507180</v>
      </c>
      <c r="R166" s="16" t="s">
        <v>8359</v>
      </c>
      <c r="S166" s="16" t="s">
        <v>8062</v>
      </c>
      <c r="T166" t="s">
        <v>7803</v>
      </c>
      <c r="U166">
        <v>1</v>
      </c>
      <c r="V166" t="s">
        <v>8656</v>
      </c>
      <c r="W166" t="s">
        <v>12</v>
      </c>
      <c r="X166" t="s">
        <v>3012</v>
      </c>
      <c r="Y166">
        <f t="shared" si="5"/>
        <v>1</v>
      </c>
    </row>
    <row r="167" spans="1:25" hidden="1">
      <c r="A167" t="s">
        <v>7084</v>
      </c>
      <c r="B167" t="s">
        <v>773</v>
      </c>
      <c r="C167">
        <v>1284</v>
      </c>
      <c r="D167">
        <v>13</v>
      </c>
      <c r="E167" t="s">
        <v>4068</v>
      </c>
      <c r="F167" t="s">
        <v>774</v>
      </c>
      <c r="H167" t="s">
        <v>775</v>
      </c>
      <c r="I167" t="s">
        <v>8928</v>
      </c>
      <c r="J167" t="s">
        <v>8711</v>
      </c>
      <c r="L167">
        <f t="shared" si="4"/>
        <v>1</v>
      </c>
      <c r="M167" t="s">
        <v>6471</v>
      </c>
      <c r="N167" t="s">
        <v>6359</v>
      </c>
      <c r="O167" t="s">
        <v>104</v>
      </c>
      <c r="P167">
        <v>19090</v>
      </c>
      <c r="Q167">
        <v>479020</v>
      </c>
      <c r="R167" s="16" t="s">
        <v>8369</v>
      </c>
      <c r="S167" s="16" t="s">
        <v>8074</v>
      </c>
      <c r="T167" t="s">
        <v>7748</v>
      </c>
      <c r="U167">
        <v>1</v>
      </c>
      <c r="V167" t="s">
        <v>8656</v>
      </c>
      <c r="W167" t="s">
        <v>104</v>
      </c>
      <c r="X167" t="s">
        <v>8659</v>
      </c>
      <c r="Y167">
        <f t="shared" si="5"/>
        <v>1</v>
      </c>
    </row>
    <row r="168" spans="1:25" hidden="1">
      <c r="A168" t="s">
        <v>5313</v>
      </c>
      <c r="B168" t="s">
        <v>827</v>
      </c>
      <c r="C168">
        <v>1061</v>
      </c>
      <c r="D168">
        <v>11</v>
      </c>
      <c r="E168" t="s">
        <v>258</v>
      </c>
      <c r="F168" t="s">
        <v>842</v>
      </c>
      <c r="H168" t="s">
        <v>843</v>
      </c>
      <c r="J168" t="s">
        <v>8671</v>
      </c>
      <c r="L168">
        <f t="shared" si="4"/>
        <v>1</v>
      </c>
      <c r="M168" t="s">
        <v>6396</v>
      </c>
      <c r="N168" t="s">
        <v>6397</v>
      </c>
      <c r="O168" t="s">
        <v>12</v>
      </c>
      <c r="P168">
        <v>-35330</v>
      </c>
      <c r="Q168">
        <v>507180</v>
      </c>
      <c r="R168" s="16" t="s">
        <v>8359</v>
      </c>
      <c r="S168" s="16" t="s">
        <v>8062</v>
      </c>
      <c r="T168" t="s">
        <v>8045</v>
      </c>
      <c r="U168">
        <v>1</v>
      </c>
      <c r="V168" t="s">
        <v>8654</v>
      </c>
      <c r="W168" t="s">
        <v>12</v>
      </c>
      <c r="X168" t="s">
        <v>3012</v>
      </c>
      <c r="Y168">
        <f t="shared" si="5"/>
        <v>1</v>
      </c>
    </row>
    <row r="169" spans="1:25" hidden="1">
      <c r="A169" t="s">
        <v>7171</v>
      </c>
      <c r="B169" t="s">
        <v>778</v>
      </c>
      <c r="C169">
        <v>1286</v>
      </c>
      <c r="D169">
        <v>13</v>
      </c>
      <c r="E169" t="s">
        <v>4197</v>
      </c>
      <c r="F169" t="s">
        <v>779</v>
      </c>
      <c r="H169" t="s">
        <v>780</v>
      </c>
      <c r="J169" t="s">
        <v>8668</v>
      </c>
      <c r="L169">
        <f t="shared" si="4"/>
        <v>1</v>
      </c>
      <c r="M169" t="s">
        <v>6805</v>
      </c>
      <c r="N169" t="s">
        <v>6604</v>
      </c>
      <c r="O169" t="s">
        <v>3995</v>
      </c>
      <c r="P169" t="s">
        <v>6806</v>
      </c>
      <c r="Q169" t="s">
        <v>6807</v>
      </c>
      <c r="R169" s="16" t="s">
        <v>8440</v>
      </c>
      <c r="S169" s="16" t="s">
        <v>8144</v>
      </c>
      <c r="T169" t="s">
        <v>7171</v>
      </c>
      <c r="U169">
        <v>0</v>
      </c>
      <c r="V169" t="s">
        <v>8654</v>
      </c>
      <c r="W169" t="s">
        <v>3995</v>
      </c>
      <c r="X169" t="s">
        <v>8659</v>
      </c>
      <c r="Y169">
        <f t="shared" si="5"/>
        <v>1</v>
      </c>
    </row>
    <row r="170" spans="1:25" hidden="1">
      <c r="A170" t="s">
        <v>7218</v>
      </c>
      <c r="B170" t="s">
        <v>847</v>
      </c>
      <c r="C170">
        <v>1061</v>
      </c>
      <c r="D170">
        <v>11</v>
      </c>
      <c r="E170" t="s">
        <v>4266</v>
      </c>
      <c r="F170" t="s">
        <v>848</v>
      </c>
      <c r="H170" t="s">
        <v>849</v>
      </c>
      <c r="I170" t="s">
        <v>8928</v>
      </c>
      <c r="J170" t="s">
        <v>8968</v>
      </c>
      <c r="L170">
        <f t="shared" si="4"/>
        <v>1</v>
      </c>
      <c r="M170" t="s">
        <v>4364</v>
      </c>
      <c r="N170" t="s">
        <v>6355</v>
      </c>
      <c r="O170" t="s">
        <v>12</v>
      </c>
      <c r="P170" t="s">
        <v>6833</v>
      </c>
      <c r="Q170" t="s">
        <v>6834</v>
      </c>
      <c r="R170" s="16" t="s">
        <v>8404</v>
      </c>
      <c r="S170" s="16" t="s">
        <v>8108</v>
      </c>
      <c r="T170" t="s">
        <v>7804</v>
      </c>
      <c r="U170">
        <v>1</v>
      </c>
      <c r="V170" t="s">
        <v>8656</v>
      </c>
      <c r="W170" t="s">
        <v>12</v>
      </c>
      <c r="X170" t="s">
        <v>3012</v>
      </c>
      <c r="Y170">
        <f t="shared" si="5"/>
        <v>1</v>
      </c>
    </row>
    <row r="171" spans="1:25" hidden="1">
      <c r="A171" t="s">
        <v>7047</v>
      </c>
      <c r="B171" t="s">
        <v>783</v>
      </c>
      <c r="C171">
        <v>1292</v>
      </c>
      <c r="D171">
        <v>13</v>
      </c>
      <c r="E171" t="s">
        <v>1444</v>
      </c>
      <c r="F171" t="s">
        <v>784</v>
      </c>
      <c r="H171" t="s">
        <v>785</v>
      </c>
      <c r="J171" t="s">
        <v>8668</v>
      </c>
      <c r="L171">
        <f t="shared" si="4"/>
        <v>0</v>
      </c>
      <c r="R171" s="16" t="s">
        <v>8064</v>
      </c>
      <c r="S171" s="16" t="s">
        <v>8064</v>
      </c>
      <c r="T171" t="s">
        <v>7047</v>
      </c>
      <c r="U171">
        <v>0</v>
      </c>
      <c r="V171" t="s">
        <v>8655</v>
      </c>
      <c r="X171" t="s">
        <v>8659</v>
      </c>
      <c r="Y171">
        <f t="shared" si="5"/>
        <v>0</v>
      </c>
    </row>
    <row r="172" spans="1:25" hidden="1">
      <c r="A172" t="s">
        <v>7658</v>
      </c>
      <c r="B172" t="s">
        <v>257</v>
      </c>
      <c r="C172">
        <v>1061</v>
      </c>
      <c r="D172">
        <v>11</v>
      </c>
      <c r="E172" t="s">
        <v>258</v>
      </c>
      <c r="F172" t="s">
        <v>1142</v>
      </c>
      <c r="H172" t="s">
        <v>1143</v>
      </c>
      <c r="J172" t="s">
        <v>8726</v>
      </c>
      <c r="L172">
        <f t="shared" si="4"/>
        <v>1</v>
      </c>
      <c r="M172" t="s">
        <v>6396</v>
      </c>
      <c r="N172" t="s">
        <v>6397</v>
      </c>
      <c r="O172" t="s">
        <v>12</v>
      </c>
      <c r="P172">
        <v>-35330</v>
      </c>
      <c r="Q172">
        <v>507180</v>
      </c>
      <c r="R172" s="16" t="s">
        <v>8359</v>
      </c>
      <c r="S172" s="16" t="s">
        <v>8062</v>
      </c>
      <c r="T172" t="s">
        <v>7658</v>
      </c>
      <c r="U172">
        <v>1</v>
      </c>
      <c r="V172" t="s">
        <v>8654</v>
      </c>
      <c r="W172" t="s">
        <v>12</v>
      </c>
      <c r="X172" t="s">
        <v>8661</v>
      </c>
      <c r="Y172">
        <f t="shared" si="5"/>
        <v>1</v>
      </c>
    </row>
    <row r="173" spans="1:25" hidden="1">
      <c r="A173" t="s">
        <v>7141</v>
      </c>
      <c r="B173" t="s">
        <v>790</v>
      </c>
      <c r="C173">
        <v>1295</v>
      </c>
      <c r="D173">
        <v>13</v>
      </c>
      <c r="E173" t="s">
        <v>4156</v>
      </c>
      <c r="F173" t="s">
        <v>791</v>
      </c>
      <c r="H173" t="s">
        <v>792</v>
      </c>
      <c r="J173" t="s">
        <v>8668</v>
      </c>
      <c r="L173">
        <f t="shared" si="4"/>
        <v>1</v>
      </c>
      <c r="M173" t="s">
        <v>7005</v>
      </c>
      <c r="N173" t="s">
        <v>7006</v>
      </c>
      <c r="O173" t="s">
        <v>6976</v>
      </c>
      <c r="P173">
        <v>112167</v>
      </c>
      <c r="Q173">
        <v>434000</v>
      </c>
      <c r="R173" s="16" t="s">
        <v>8429</v>
      </c>
      <c r="S173" s="16" t="s">
        <v>8133</v>
      </c>
      <c r="T173" t="s">
        <v>7141</v>
      </c>
      <c r="U173">
        <v>0</v>
      </c>
      <c r="V173" t="s">
        <v>8654</v>
      </c>
      <c r="W173" t="s">
        <v>6976</v>
      </c>
      <c r="X173" t="s">
        <v>8659</v>
      </c>
      <c r="Y173">
        <f t="shared" si="5"/>
        <v>1</v>
      </c>
    </row>
    <row r="174" spans="1:25" hidden="1">
      <c r="A174" t="s">
        <v>7173</v>
      </c>
      <c r="B174" t="s">
        <v>790</v>
      </c>
      <c r="C174">
        <v>1295</v>
      </c>
      <c r="D174">
        <v>13</v>
      </c>
      <c r="E174" t="s">
        <v>4200</v>
      </c>
      <c r="F174" t="s">
        <v>793</v>
      </c>
      <c r="H174" t="s">
        <v>794</v>
      </c>
      <c r="J174" t="s">
        <v>8668</v>
      </c>
      <c r="L174">
        <f t="shared" si="4"/>
        <v>1</v>
      </c>
      <c r="M174" t="s">
        <v>6687</v>
      </c>
      <c r="N174" t="s">
        <v>6324</v>
      </c>
      <c r="O174" t="s">
        <v>11</v>
      </c>
      <c r="P174" t="s">
        <v>6688</v>
      </c>
      <c r="Q174" t="s">
        <v>6689</v>
      </c>
      <c r="R174" s="16" t="s">
        <v>8442</v>
      </c>
      <c r="S174" s="16" t="s">
        <v>8146</v>
      </c>
      <c r="T174" t="s">
        <v>7173</v>
      </c>
      <c r="U174">
        <v>0</v>
      </c>
      <c r="V174" t="s">
        <v>8654</v>
      </c>
      <c r="W174" t="s">
        <v>11</v>
      </c>
      <c r="X174" t="s">
        <v>8659</v>
      </c>
      <c r="Y174">
        <f t="shared" si="5"/>
        <v>1</v>
      </c>
    </row>
    <row r="175" spans="1:25" hidden="1">
      <c r="A175" t="s">
        <v>7057</v>
      </c>
      <c r="B175" t="s">
        <v>418</v>
      </c>
      <c r="C175">
        <v>971</v>
      </c>
      <c r="D175">
        <v>10</v>
      </c>
      <c r="E175" t="s">
        <v>4022</v>
      </c>
      <c r="F175" t="s">
        <v>491</v>
      </c>
      <c r="H175" t="s">
        <v>492</v>
      </c>
      <c r="J175" s="5" t="s">
        <v>8707</v>
      </c>
      <c r="L175">
        <f t="shared" si="4"/>
        <v>1</v>
      </c>
      <c r="M175" t="s">
        <v>6372</v>
      </c>
      <c r="N175" t="s">
        <v>6373</v>
      </c>
      <c r="O175" t="s">
        <v>104</v>
      </c>
      <c r="P175">
        <v>46540</v>
      </c>
      <c r="Q175">
        <v>464340</v>
      </c>
      <c r="R175" s="16" t="s">
        <v>8392</v>
      </c>
      <c r="S175" s="16" t="s">
        <v>8096</v>
      </c>
      <c r="T175" t="s">
        <v>7057</v>
      </c>
      <c r="U175">
        <v>1</v>
      </c>
      <c r="V175" t="s">
        <v>8654</v>
      </c>
      <c r="W175" t="s">
        <v>104</v>
      </c>
      <c r="X175" t="s">
        <v>8659</v>
      </c>
      <c r="Y175">
        <f t="shared" si="5"/>
        <v>1</v>
      </c>
    </row>
    <row r="176" spans="1:25" hidden="1">
      <c r="A176" t="s">
        <v>7175</v>
      </c>
      <c r="B176" t="s">
        <v>790</v>
      </c>
      <c r="C176">
        <v>1295</v>
      </c>
      <c r="D176">
        <v>13</v>
      </c>
      <c r="E176" t="s">
        <v>104</v>
      </c>
      <c r="F176" t="s">
        <v>795</v>
      </c>
      <c r="H176" t="s">
        <v>796</v>
      </c>
      <c r="J176" t="s">
        <v>8668</v>
      </c>
      <c r="L176">
        <f t="shared" si="4"/>
        <v>0</v>
      </c>
      <c r="R176" s="16" t="s">
        <v>8064</v>
      </c>
      <c r="S176" s="16" t="s">
        <v>8064</v>
      </c>
      <c r="T176" t="s">
        <v>7798</v>
      </c>
      <c r="U176">
        <v>0</v>
      </c>
      <c r="V176" t="s">
        <v>8655</v>
      </c>
      <c r="X176" t="s">
        <v>8659</v>
      </c>
      <c r="Y176">
        <f t="shared" si="5"/>
        <v>0</v>
      </c>
    </row>
    <row r="177" spans="1:25" hidden="1">
      <c r="A177" t="s">
        <v>7215</v>
      </c>
      <c r="B177" t="s">
        <v>850</v>
      </c>
      <c r="C177">
        <v>1066</v>
      </c>
      <c r="D177">
        <v>11</v>
      </c>
      <c r="E177" t="s">
        <v>34</v>
      </c>
      <c r="F177" t="s">
        <v>851</v>
      </c>
      <c r="H177" t="s">
        <v>852</v>
      </c>
      <c r="I177" t="s">
        <v>8928</v>
      </c>
      <c r="J177" t="s">
        <v>8965</v>
      </c>
      <c r="L177">
        <f t="shared" si="4"/>
        <v>1</v>
      </c>
      <c r="M177" t="s">
        <v>6497</v>
      </c>
      <c r="N177" t="s">
        <v>6385</v>
      </c>
      <c r="O177" t="s">
        <v>12</v>
      </c>
      <c r="P177" t="s">
        <v>6968</v>
      </c>
      <c r="Q177" t="s">
        <v>6969</v>
      </c>
      <c r="R177" s="16" t="s">
        <v>8358</v>
      </c>
      <c r="S177" s="16" t="s">
        <v>8061</v>
      </c>
      <c r="T177" t="s">
        <v>7215</v>
      </c>
      <c r="U177">
        <v>1</v>
      </c>
      <c r="V177" t="s">
        <v>8656</v>
      </c>
      <c r="W177" t="s">
        <v>12</v>
      </c>
      <c r="X177" t="s">
        <v>3012</v>
      </c>
      <c r="Y177">
        <f t="shared" si="5"/>
        <v>1</v>
      </c>
    </row>
    <row r="178" spans="1:25" hidden="1">
      <c r="A178" t="s">
        <v>7119</v>
      </c>
      <c r="B178" t="s">
        <v>4126</v>
      </c>
      <c r="C178">
        <v>1067</v>
      </c>
      <c r="D178">
        <v>11</v>
      </c>
      <c r="E178" t="s">
        <v>34</v>
      </c>
      <c r="F178" t="s">
        <v>505</v>
      </c>
      <c r="H178" t="s">
        <v>506</v>
      </c>
      <c r="J178" t="s">
        <v>8668</v>
      </c>
      <c r="L178">
        <f t="shared" si="4"/>
        <v>1</v>
      </c>
      <c r="M178" t="s">
        <v>6497</v>
      </c>
      <c r="N178" t="s">
        <v>6385</v>
      </c>
      <c r="O178" t="s">
        <v>12</v>
      </c>
      <c r="P178" t="s">
        <v>6968</v>
      </c>
      <c r="Q178" t="s">
        <v>6969</v>
      </c>
      <c r="R178" s="16" t="s">
        <v>8358</v>
      </c>
      <c r="S178" s="16" t="s">
        <v>8061</v>
      </c>
      <c r="T178" t="s">
        <v>7778</v>
      </c>
      <c r="U178">
        <v>0</v>
      </c>
      <c r="V178" t="s">
        <v>8654</v>
      </c>
      <c r="W178" t="s">
        <v>12</v>
      </c>
      <c r="X178" t="s">
        <v>8659</v>
      </c>
      <c r="Y178">
        <f t="shared" si="5"/>
        <v>1</v>
      </c>
    </row>
    <row r="179" spans="1:25" hidden="1">
      <c r="A179" t="s">
        <v>7086</v>
      </c>
      <c r="B179" t="s">
        <v>437</v>
      </c>
      <c r="C179">
        <v>1073</v>
      </c>
      <c r="D179">
        <v>11</v>
      </c>
      <c r="E179" t="s">
        <v>13</v>
      </c>
      <c r="F179" t="s">
        <v>544</v>
      </c>
      <c r="H179" t="s">
        <v>545</v>
      </c>
      <c r="J179" t="s">
        <v>8712</v>
      </c>
      <c r="L179">
        <f t="shared" si="4"/>
        <v>1</v>
      </c>
      <c r="M179" t="s">
        <v>6348</v>
      </c>
      <c r="N179" t="s">
        <v>6349</v>
      </c>
      <c r="O179" t="s">
        <v>12</v>
      </c>
      <c r="P179">
        <v>10810</v>
      </c>
      <c r="Q179">
        <v>512810</v>
      </c>
      <c r="R179" s="16" t="s">
        <v>8360</v>
      </c>
      <c r="S179" s="16" t="s">
        <v>8063</v>
      </c>
      <c r="T179" t="s">
        <v>7750</v>
      </c>
      <c r="U179">
        <v>1</v>
      </c>
      <c r="V179" t="s">
        <v>8654</v>
      </c>
      <c r="W179" t="s">
        <v>12</v>
      </c>
      <c r="X179" t="s">
        <v>8659</v>
      </c>
      <c r="Y179">
        <f t="shared" si="5"/>
        <v>1</v>
      </c>
    </row>
    <row r="180" spans="1:25" hidden="1">
      <c r="A180" t="s">
        <v>7566</v>
      </c>
      <c r="B180" s="1" t="s">
        <v>102</v>
      </c>
      <c r="C180" s="1">
        <v>1073</v>
      </c>
      <c r="D180" s="1">
        <v>11</v>
      </c>
      <c r="E180" t="s">
        <v>34</v>
      </c>
      <c r="F180" t="s">
        <v>1062</v>
      </c>
      <c r="H180" t="s">
        <v>291</v>
      </c>
      <c r="J180" t="s">
        <v>8668</v>
      </c>
      <c r="L180">
        <f t="shared" si="4"/>
        <v>1</v>
      </c>
      <c r="M180" t="s">
        <v>6497</v>
      </c>
      <c r="N180" t="s">
        <v>6385</v>
      </c>
      <c r="O180" t="s">
        <v>12</v>
      </c>
      <c r="P180" t="s">
        <v>6968</v>
      </c>
      <c r="Q180" t="s">
        <v>6969</v>
      </c>
      <c r="R180" s="16" t="s">
        <v>8358</v>
      </c>
      <c r="S180" s="16" t="s">
        <v>8061</v>
      </c>
      <c r="T180" t="s">
        <v>7566</v>
      </c>
      <c r="U180">
        <v>0</v>
      </c>
      <c r="V180" t="s">
        <v>8654</v>
      </c>
      <c r="W180" t="s">
        <v>12</v>
      </c>
      <c r="X180" t="s">
        <v>8663</v>
      </c>
      <c r="Y180">
        <f t="shared" si="5"/>
        <v>1</v>
      </c>
    </row>
    <row r="181" spans="1:25" hidden="1">
      <c r="A181" t="s">
        <v>7567</v>
      </c>
      <c r="B181" s="1" t="s">
        <v>102</v>
      </c>
      <c r="C181" s="1">
        <v>1073</v>
      </c>
      <c r="D181" s="1">
        <v>11</v>
      </c>
      <c r="E181" t="s">
        <v>34</v>
      </c>
      <c r="F181" t="s">
        <v>1062</v>
      </c>
      <c r="H181" t="s">
        <v>292</v>
      </c>
      <c r="J181" t="s">
        <v>8668</v>
      </c>
      <c r="L181">
        <f t="shared" si="4"/>
        <v>1</v>
      </c>
      <c r="M181" t="s">
        <v>6497</v>
      </c>
      <c r="N181" t="s">
        <v>6385</v>
      </c>
      <c r="O181" t="s">
        <v>12</v>
      </c>
      <c r="P181" t="s">
        <v>6968</v>
      </c>
      <c r="Q181" t="s">
        <v>6969</v>
      </c>
      <c r="R181" s="16" t="s">
        <v>8358</v>
      </c>
      <c r="S181" s="16" t="s">
        <v>8061</v>
      </c>
      <c r="T181" t="s">
        <v>7567</v>
      </c>
      <c r="U181">
        <v>0</v>
      </c>
      <c r="V181" t="s">
        <v>8654</v>
      </c>
      <c r="W181" t="s">
        <v>12</v>
      </c>
      <c r="X181" t="s">
        <v>8663</v>
      </c>
      <c r="Y181">
        <f t="shared" si="5"/>
        <v>1</v>
      </c>
    </row>
    <row r="182" spans="1:25" hidden="1">
      <c r="A182" t="s">
        <v>7568</v>
      </c>
      <c r="B182" t="s">
        <v>102</v>
      </c>
      <c r="C182">
        <v>1073</v>
      </c>
      <c r="D182">
        <v>11</v>
      </c>
      <c r="E182" t="s">
        <v>34</v>
      </c>
      <c r="F182" t="s">
        <v>1063</v>
      </c>
      <c r="H182" t="s">
        <v>278</v>
      </c>
      <c r="J182" t="s">
        <v>8668</v>
      </c>
      <c r="L182">
        <f t="shared" si="4"/>
        <v>1</v>
      </c>
      <c r="M182" t="s">
        <v>6497</v>
      </c>
      <c r="N182" t="s">
        <v>6385</v>
      </c>
      <c r="O182" t="s">
        <v>12</v>
      </c>
      <c r="P182" t="s">
        <v>6968</v>
      </c>
      <c r="Q182" t="s">
        <v>6969</v>
      </c>
      <c r="R182" s="16" t="s">
        <v>8358</v>
      </c>
      <c r="S182" s="16" t="s">
        <v>8061</v>
      </c>
      <c r="T182" t="s">
        <v>7568</v>
      </c>
      <c r="U182">
        <v>0</v>
      </c>
      <c r="V182" t="s">
        <v>8654</v>
      </c>
      <c r="W182" t="s">
        <v>12</v>
      </c>
      <c r="X182" t="s">
        <v>8663</v>
      </c>
      <c r="Y182">
        <f t="shared" si="5"/>
        <v>1</v>
      </c>
    </row>
    <row r="183" spans="1:25" hidden="1">
      <c r="A183" t="s">
        <v>7132</v>
      </c>
      <c r="B183" t="s">
        <v>436</v>
      </c>
      <c r="C183">
        <v>1074</v>
      </c>
      <c r="D183">
        <v>11</v>
      </c>
      <c r="E183" t="s">
        <v>4142</v>
      </c>
      <c r="F183" t="s">
        <v>542</v>
      </c>
      <c r="H183" t="s">
        <v>543</v>
      </c>
      <c r="I183" t="s">
        <v>8928</v>
      </c>
      <c r="J183" t="s">
        <v>8944</v>
      </c>
      <c r="L183">
        <f t="shared" si="4"/>
        <v>1</v>
      </c>
      <c r="M183" t="s">
        <v>6496</v>
      </c>
      <c r="N183" t="s">
        <v>6413</v>
      </c>
      <c r="O183" t="s">
        <v>12</v>
      </c>
      <c r="P183">
        <v>-21170</v>
      </c>
      <c r="Q183">
        <v>512090</v>
      </c>
      <c r="R183" s="16" t="s">
        <v>8424</v>
      </c>
      <c r="S183" s="16" t="s">
        <v>8128</v>
      </c>
      <c r="T183" t="s">
        <v>7132</v>
      </c>
      <c r="U183">
        <v>1</v>
      </c>
      <c r="V183" t="s">
        <v>8656</v>
      </c>
      <c r="W183" t="s">
        <v>12</v>
      </c>
      <c r="X183" t="s">
        <v>8659</v>
      </c>
      <c r="Y183">
        <f t="shared" si="5"/>
        <v>1</v>
      </c>
    </row>
    <row r="184" spans="1:25" hidden="1">
      <c r="A184" t="s">
        <v>7620</v>
      </c>
      <c r="B184" t="s">
        <v>219</v>
      </c>
      <c r="C184">
        <v>1087</v>
      </c>
      <c r="D184">
        <v>11</v>
      </c>
      <c r="E184" t="s">
        <v>220</v>
      </c>
      <c r="F184" t="s">
        <v>1068</v>
      </c>
      <c r="G184" t="str">
        <f>VLOOKUP(TRIM(F184), [1]mss!$AA:$AA,1,0)</f>
        <v>Ox I 867</v>
      </c>
      <c r="H184" t="s">
        <v>284</v>
      </c>
      <c r="I184" t="s">
        <v>8928</v>
      </c>
      <c r="J184" t="s">
        <v>9092</v>
      </c>
      <c r="L184">
        <f t="shared" si="4"/>
        <v>1</v>
      </c>
      <c r="M184" t="s">
        <v>6725</v>
      </c>
      <c r="N184" t="s">
        <v>6726</v>
      </c>
      <c r="O184" t="s">
        <v>12</v>
      </c>
      <c r="P184" t="s">
        <v>6727</v>
      </c>
      <c r="Q184" t="s">
        <v>6728</v>
      </c>
      <c r="R184" s="16" t="s">
        <v>8402</v>
      </c>
      <c r="S184" s="16" t="s">
        <v>8117</v>
      </c>
      <c r="T184" t="s">
        <v>7620</v>
      </c>
      <c r="U184">
        <v>1</v>
      </c>
      <c r="V184" t="s">
        <v>8656</v>
      </c>
      <c r="W184" t="s">
        <v>12</v>
      </c>
      <c r="X184" t="s">
        <v>8663</v>
      </c>
      <c r="Y184">
        <f t="shared" si="5"/>
        <v>1</v>
      </c>
    </row>
    <row r="185" spans="1:25" hidden="1">
      <c r="A185" t="s">
        <v>5569</v>
      </c>
      <c r="B185" t="s">
        <v>853</v>
      </c>
      <c r="C185">
        <v>1090</v>
      </c>
      <c r="D185">
        <v>11</v>
      </c>
      <c r="E185" t="s">
        <v>13</v>
      </c>
      <c r="F185" t="s">
        <v>854</v>
      </c>
      <c r="G185" t="str">
        <f>VLOOKUP(TRIM(F185), [1]mss!$AA:$AA,1,0)</f>
        <v>Ca I 58</v>
      </c>
      <c r="H185" t="s">
        <v>855</v>
      </c>
      <c r="J185" t="s">
        <v>8668</v>
      </c>
      <c r="L185">
        <f t="shared" si="4"/>
        <v>1</v>
      </c>
      <c r="M185" t="s">
        <v>6348</v>
      </c>
      <c r="N185" t="s">
        <v>6349</v>
      </c>
      <c r="O185" t="s">
        <v>12</v>
      </c>
      <c r="P185">
        <v>10810</v>
      </c>
      <c r="Q185">
        <v>512810</v>
      </c>
      <c r="R185" s="16" t="s">
        <v>8360</v>
      </c>
      <c r="S185" s="16" t="s">
        <v>8063</v>
      </c>
      <c r="T185" t="s">
        <v>7912</v>
      </c>
      <c r="U185">
        <v>0</v>
      </c>
      <c r="V185" t="s">
        <v>8654</v>
      </c>
      <c r="W185" t="s">
        <v>12</v>
      </c>
      <c r="X185" t="s">
        <v>3012</v>
      </c>
      <c r="Y185">
        <f t="shared" si="5"/>
        <v>1</v>
      </c>
    </row>
    <row r="186" spans="1:25" hidden="1">
      <c r="A186" t="s">
        <v>7514</v>
      </c>
      <c r="B186" t="s">
        <v>4341</v>
      </c>
      <c r="C186">
        <v>1090</v>
      </c>
      <c r="D186">
        <v>11</v>
      </c>
      <c r="E186" t="s">
        <v>4434</v>
      </c>
      <c r="F186" t="s">
        <v>4827</v>
      </c>
      <c r="G186" t="e">
        <f>VLOOKUP(TRIM(F186), [1]mss!$AA:$AA,1,0)</f>
        <v>#N/A</v>
      </c>
      <c r="H186" t="s">
        <v>1997</v>
      </c>
      <c r="J186" t="s">
        <v>8668</v>
      </c>
      <c r="L186">
        <f t="shared" si="4"/>
        <v>1</v>
      </c>
      <c r="M186" t="s">
        <v>6285</v>
      </c>
      <c r="N186" t="s">
        <v>6286</v>
      </c>
      <c r="O186" t="s">
        <v>12</v>
      </c>
      <c r="P186">
        <v>-12833</v>
      </c>
      <c r="Q186">
        <v>516700</v>
      </c>
      <c r="R186" s="16" t="s">
        <v>8418</v>
      </c>
      <c r="S186" s="16" t="s">
        <v>8122</v>
      </c>
      <c r="T186" t="s">
        <v>7514</v>
      </c>
      <c r="U186">
        <v>0</v>
      </c>
      <c r="V186" t="s">
        <v>8654</v>
      </c>
      <c r="W186" t="s">
        <v>12</v>
      </c>
      <c r="X186" t="s">
        <v>8660</v>
      </c>
      <c r="Y186">
        <f t="shared" si="5"/>
        <v>1</v>
      </c>
    </row>
    <row r="187" spans="1:25" hidden="1">
      <c r="A187" t="s">
        <v>5303</v>
      </c>
      <c r="B187" t="s">
        <v>859</v>
      </c>
      <c r="C187">
        <v>1095</v>
      </c>
      <c r="D187">
        <v>11</v>
      </c>
      <c r="E187" t="s">
        <v>13</v>
      </c>
      <c r="F187" t="s">
        <v>860</v>
      </c>
      <c r="G187" t="str">
        <f>VLOOKUP(TRIM(F187), [1]mss!$AA:$AA,1,0)</f>
        <v>Ca I 148</v>
      </c>
      <c r="H187" t="s">
        <v>861</v>
      </c>
      <c r="J187" t="s">
        <v>8669</v>
      </c>
      <c r="L187">
        <f t="shared" si="4"/>
        <v>1</v>
      </c>
      <c r="M187" t="s">
        <v>6348</v>
      </c>
      <c r="N187" t="s">
        <v>6349</v>
      </c>
      <c r="O187" t="s">
        <v>12</v>
      </c>
      <c r="P187">
        <v>10810</v>
      </c>
      <c r="Q187">
        <v>512810</v>
      </c>
      <c r="R187" s="16" t="s">
        <v>8360</v>
      </c>
      <c r="S187" s="16" t="s">
        <v>8063</v>
      </c>
      <c r="T187" t="s">
        <v>8044</v>
      </c>
      <c r="U187">
        <v>1</v>
      </c>
      <c r="V187" t="s">
        <v>8654</v>
      </c>
      <c r="W187" t="s">
        <v>12</v>
      </c>
      <c r="X187" t="s">
        <v>3012</v>
      </c>
      <c r="Y187">
        <f t="shared" si="5"/>
        <v>1</v>
      </c>
    </row>
    <row r="188" spans="1:25" hidden="1">
      <c r="A188" t="s">
        <v>7148</v>
      </c>
      <c r="B188" t="s">
        <v>424</v>
      </c>
      <c r="C188">
        <v>1008</v>
      </c>
      <c r="D188">
        <v>11</v>
      </c>
      <c r="E188" t="s">
        <v>77</v>
      </c>
      <c r="F188" t="s">
        <v>507</v>
      </c>
      <c r="H188" t="s">
        <v>508</v>
      </c>
      <c r="J188" t="s">
        <v>8668</v>
      </c>
      <c r="L188">
        <f t="shared" si="4"/>
        <v>1</v>
      </c>
      <c r="M188" t="s">
        <v>77</v>
      </c>
      <c r="N188" t="s">
        <v>6416</v>
      </c>
      <c r="O188" t="s">
        <v>11</v>
      </c>
      <c r="P188">
        <v>91900</v>
      </c>
      <c r="Q188">
        <v>454640</v>
      </c>
      <c r="R188" s="16" t="s">
        <v>8432</v>
      </c>
      <c r="S188" s="16" t="s">
        <v>8136</v>
      </c>
      <c r="T188" t="s">
        <v>7148</v>
      </c>
      <c r="U188">
        <v>0</v>
      </c>
      <c r="V188" t="s">
        <v>8654</v>
      </c>
      <c r="W188" t="s">
        <v>11</v>
      </c>
      <c r="X188" t="s">
        <v>8659</v>
      </c>
      <c r="Y188">
        <f t="shared" si="5"/>
        <v>1</v>
      </c>
    </row>
    <row r="189" spans="1:25" hidden="1">
      <c r="A189" t="s">
        <v>7116</v>
      </c>
      <c r="B189" t="s">
        <v>440</v>
      </c>
      <c r="C189">
        <v>1096</v>
      </c>
      <c r="D189">
        <v>11</v>
      </c>
      <c r="E189" t="s">
        <v>34</v>
      </c>
      <c r="F189" t="s">
        <v>550</v>
      </c>
      <c r="G189" t="str">
        <f>VLOOKUP(TRIM(F189), [1]mss!$AA:$AA,1,0)</f>
        <v>BL I 551</v>
      </c>
      <c r="H189" t="s">
        <v>551</v>
      </c>
      <c r="J189" t="s">
        <v>8720</v>
      </c>
      <c r="L189">
        <f t="shared" si="4"/>
        <v>1</v>
      </c>
      <c r="M189" t="s">
        <v>6497</v>
      </c>
      <c r="N189" t="s">
        <v>6385</v>
      </c>
      <c r="O189" t="s">
        <v>12</v>
      </c>
      <c r="P189" t="s">
        <v>6968</v>
      </c>
      <c r="Q189" t="s">
        <v>6969</v>
      </c>
      <c r="R189" s="16" t="s">
        <v>8358</v>
      </c>
      <c r="S189" s="16" t="s">
        <v>8061</v>
      </c>
      <c r="T189" t="s">
        <v>7775</v>
      </c>
      <c r="U189">
        <v>1</v>
      </c>
      <c r="V189" t="s">
        <v>8654</v>
      </c>
      <c r="W189" t="s">
        <v>12</v>
      </c>
      <c r="X189" t="s">
        <v>8659</v>
      </c>
      <c r="Y189">
        <f t="shared" si="5"/>
        <v>1</v>
      </c>
    </row>
    <row r="190" spans="1:25" hidden="1">
      <c r="A190" t="s">
        <v>7081</v>
      </c>
      <c r="B190" t="s">
        <v>552</v>
      </c>
      <c r="C190">
        <v>1099</v>
      </c>
      <c r="D190">
        <v>11</v>
      </c>
      <c r="E190" t="s">
        <v>40</v>
      </c>
      <c r="F190" t="s">
        <v>553</v>
      </c>
      <c r="G190" t="str">
        <f>VLOOKUP(TRIM(F190), [1]mss!$AA:$AA,1,0)</f>
        <v>BL I 436</v>
      </c>
      <c r="H190" t="s">
        <v>554</v>
      </c>
      <c r="J190" t="s">
        <v>8711</v>
      </c>
      <c r="L190">
        <f t="shared" si="4"/>
        <v>1</v>
      </c>
      <c r="M190" t="s">
        <v>6419</v>
      </c>
      <c r="N190" t="s">
        <v>6420</v>
      </c>
      <c r="O190" t="s">
        <v>12</v>
      </c>
      <c r="P190">
        <v>-13160</v>
      </c>
      <c r="Q190">
        <v>510600</v>
      </c>
      <c r="R190" s="16" t="s">
        <v>8408</v>
      </c>
      <c r="S190" s="16" t="s">
        <v>8059</v>
      </c>
      <c r="T190" t="s">
        <v>7746</v>
      </c>
      <c r="U190">
        <v>1</v>
      </c>
      <c r="V190" t="s">
        <v>8654</v>
      </c>
      <c r="W190" t="s">
        <v>12</v>
      </c>
      <c r="X190" t="s">
        <v>8659</v>
      </c>
      <c r="Y190">
        <f t="shared" si="5"/>
        <v>1</v>
      </c>
    </row>
    <row r="191" spans="1:25" hidden="1">
      <c r="A191" t="s">
        <v>7073</v>
      </c>
      <c r="B191" t="s">
        <v>441</v>
      </c>
      <c r="C191">
        <v>1100</v>
      </c>
      <c r="D191">
        <v>12</v>
      </c>
      <c r="E191" t="s">
        <v>4047</v>
      </c>
      <c r="F191" t="s">
        <v>555</v>
      </c>
      <c r="G191" t="str">
        <f>VLOOKUP(TRIM(F191), [1]mss!$AA:$AA,1,0)</f>
        <v>BL I 400</v>
      </c>
      <c r="H191" t="s">
        <v>556</v>
      </c>
      <c r="I191" t="s">
        <v>8928</v>
      </c>
      <c r="J191" t="s">
        <v>8933</v>
      </c>
      <c r="L191">
        <f t="shared" si="4"/>
        <v>1</v>
      </c>
      <c r="M191" t="s">
        <v>6886</v>
      </c>
      <c r="N191" t="s">
        <v>6346</v>
      </c>
      <c r="O191" t="s">
        <v>12</v>
      </c>
      <c r="P191" t="s">
        <v>6727</v>
      </c>
      <c r="Q191" t="s">
        <v>6887</v>
      </c>
      <c r="R191" s="16" t="s">
        <v>8402</v>
      </c>
      <c r="S191" s="16" t="s">
        <v>8106</v>
      </c>
      <c r="T191" t="s">
        <v>7745</v>
      </c>
      <c r="U191">
        <v>1</v>
      </c>
      <c r="V191" t="s">
        <v>8656</v>
      </c>
      <c r="W191" t="s">
        <v>12</v>
      </c>
      <c r="X191" t="s">
        <v>8659</v>
      </c>
      <c r="Y191">
        <f t="shared" si="5"/>
        <v>1</v>
      </c>
    </row>
    <row r="192" spans="1:25" s="19" customFormat="1" hidden="1">
      <c r="A192" s="19" t="s">
        <v>5289</v>
      </c>
      <c r="B192" s="19" t="s">
        <v>867</v>
      </c>
      <c r="C192" s="19">
        <v>1104</v>
      </c>
      <c r="D192" s="19">
        <v>12</v>
      </c>
      <c r="E192" s="19" t="s">
        <v>34</v>
      </c>
      <c r="F192" s="19" t="s">
        <v>868</v>
      </c>
      <c r="G192" s="19" t="str">
        <f>VLOOKUP(TRIM(F192), [1]mss!$AA:$AA,1,0)</f>
        <v>Ca I 134</v>
      </c>
      <c r="H192" s="19" t="s">
        <v>869</v>
      </c>
      <c r="J192" s="20" t="s">
        <v>8670</v>
      </c>
      <c r="L192" s="19">
        <f t="shared" si="4"/>
        <v>1</v>
      </c>
      <c r="M192" s="19" t="s">
        <v>6497</v>
      </c>
      <c r="N192" s="19" t="s">
        <v>6385</v>
      </c>
      <c r="O192" s="19" t="s">
        <v>12</v>
      </c>
      <c r="P192" s="19" t="s">
        <v>6968</v>
      </c>
      <c r="Q192" s="19" t="s">
        <v>6969</v>
      </c>
      <c r="R192" s="21" t="s">
        <v>8358</v>
      </c>
      <c r="S192" s="21" t="s">
        <v>8061</v>
      </c>
      <c r="T192" s="19" t="s">
        <v>8042</v>
      </c>
      <c r="U192" s="19">
        <v>1</v>
      </c>
      <c r="V192" s="19" t="s">
        <v>8654</v>
      </c>
      <c r="W192" s="19" t="s">
        <v>12</v>
      </c>
      <c r="X192" s="19" t="s">
        <v>3012</v>
      </c>
      <c r="Y192" s="19">
        <f t="shared" si="5"/>
        <v>1</v>
      </c>
    </row>
    <row r="193" spans="1:25" hidden="1">
      <c r="A193" t="s">
        <v>7183</v>
      </c>
      <c r="B193" t="s">
        <v>429</v>
      </c>
      <c r="C193">
        <v>1031</v>
      </c>
      <c r="D193">
        <v>11</v>
      </c>
      <c r="E193" t="s">
        <v>4214</v>
      </c>
      <c r="F193" t="s">
        <v>517</v>
      </c>
      <c r="H193" t="s">
        <v>518</v>
      </c>
      <c r="J193" t="s">
        <v>8668</v>
      </c>
      <c r="L193">
        <f t="shared" si="4"/>
        <v>1</v>
      </c>
      <c r="M193" t="s">
        <v>6855</v>
      </c>
      <c r="N193" t="s">
        <v>6856</v>
      </c>
      <c r="O193" t="s">
        <v>104</v>
      </c>
      <c r="P193" t="s">
        <v>6857</v>
      </c>
      <c r="Q193" t="s">
        <v>6858</v>
      </c>
      <c r="R193" s="16" t="s">
        <v>8446</v>
      </c>
      <c r="S193" s="16" t="s">
        <v>8150</v>
      </c>
      <c r="T193" t="s">
        <v>7799</v>
      </c>
      <c r="U193">
        <v>0</v>
      </c>
      <c r="V193" t="s">
        <v>8654</v>
      </c>
      <c r="W193" t="s">
        <v>104</v>
      </c>
      <c r="X193" t="s">
        <v>8659</v>
      </c>
      <c r="Y193">
        <f t="shared" si="5"/>
        <v>1</v>
      </c>
    </row>
    <row r="194" spans="1:25" hidden="1">
      <c r="A194" t="s">
        <v>7134</v>
      </c>
      <c r="B194" t="s">
        <v>443</v>
      </c>
      <c r="C194">
        <v>1105</v>
      </c>
      <c r="D194">
        <v>12</v>
      </c>
      <c r="E194" t="s">
        <v>13</v>
      </c>
      <c r="F194" t="s">
        <v>559</v>
      </c>
      <c r="G194" t="str">
        <f>VLOOKUP(TRIM(F194), [1]mss!$AA:$AA,1,0)</f>
        <v>BL I 577</v>
      </c>
      <c r="H194" t="s">
        <v>560</v>
      </c>
      <c r="J194" t="s">
        <v>8668</v>
      </c>
      <c r="L194">
        <f t="shared" ref="L194:L257" si="6">IF(M194&lt;&gt;"",1,0)</f>
        <v>1</v>
      </c>
      <c r="M194" t="s">
        <v>6348</v>
      </c>
      <c r="N194" t="s">
        <v>6349</v>
      </c>
      <c r="O194" t="s">
        <v>12</v>
      </c>
      <c r="P194">
        <v>10810</v>
      </c>
      <c r="Q194">
        <v>512810</v>
      </c>
      <c r="R194" s="16" t="s">
        <v>8360</v>
      </c>
      <c r="S194" s="16" t="s">
        <v>8063</v>
      </c>
      <c r="T194" t="s">
        <v>7789</v>
      </c>
      <c r="U194">
        <v>0</v>
      </c>
      <c r="V194" t="s">
        <v>8654</v>
      </c>
      <c r="W194" t="s">
        <v>12</v>
      </c>
      <c r="X194" t="s">
        <v>8659</v>
      </c>
      <c r="Y194">
        <f t="shared" ref="Y194:Y257" si="7">IF(OR(V194="Loc",V194="IIIF"),1,0)</f>
        <v>1</v>
      </c>
    </row>
    <row r="195" spans="1:25" hidden="1">
      <c r="A195" t="s">
        <v>7107</v>
      </c>
      <c r="B195" t="s">
        <v>444</v>
      </c>
      <c r="C195">
        <v>1105</v>
      </c>
      <c r="D195">
        <v>12</v>
      </c>
      <c r="E195" t="s">
        <v>4106</v>
      </c>
      <c r="F195" t="s">
        <v>561</v>
      </c>
      <c r="G195" t="str">
        <f>VLOOKUP(TRIM(F195), [1]mss!$AA:$AA,1,0)</f>
        <v>BL I 540</v>
      </c>
      <c r="H195" t="s">
        <v>562</v>
      </c>
      <c r="I195" t="s">
        <v>8928</v>
      </c>
      <c r="J195" t="s">
        <v>8718</v>
      </c>
      <c r="L195">
        <f t="shared" si="6"/>
        <v>1</v>
      </c>
      <c r="M195" t="s">
        <v>6497</v>
      </c>
      <c r="N195" t="s">
        <v>6385</v>
      </c>
      <c r="O195" t="s">
        <v>12</v>
      </c>
      <c r="P195">
        <v>-22210</v>
      </c>
      <c r="Q195">
        <v>521920</v>
      </c>
      <c r="R195" s="16" t="s">
        <v>8358</v>
      </c>
      <c r="S195" s="16" t="s">
        <v>8061</v>
      </c>
      <c r="T195" t="s">
        <v>7767</v>
      </c>
      <c r="U195">
        <v>1</v>
      </c>
      <c r="V195" t="s">
        <v>8656</v>
      </c>
      <c r="W195" t="s">
        <v>12</v>
      </c>
      <c r="X195" t="s">
        <v>8659</v>
      </c>
      <c r="Y195">
        <f t="shared" si="7"/>
        <v>1</v>
      </c>
    </row>
    <row r="196" spans="1:25" hidden="1">
      <c r="A196" t="s">
        <v>7187</v>
      </c>
      <c r="B196" t="s">
        <v>445</v>
      </c>
      <c r="C196">
        <v>1111</v>
      </c>
      <c r="D196">
        <v>12</v>
      </c>
      <c r="E196" t="s">
        <v>41</v>
      </c>
      <c r="F196" t="s">
        <v>563</v>
      </c>
      <c r="G196" t="str">
        <f>VLOOKUP(TRIM(F196), [1]mss!$AA:$AA,1,0)</f>
        <v>BL I 875</v>
      </c>
      <c r="H196" t="s">
        <v>564</v>
      </c>
      <c r="J196" t="s">
        <v>8723</v>
      </c>
      <c r="L196">
        <f t="shared" si="6"/>
        <v>1</v>
      </c>
      <c r="M196" t="s">
        <v>6746</v>
      </c>
      <c r="N196" t="s">
        <v>6349</v>
      </c>
      <c r="O196" t="s">
        <v>12</v>
      </c>
      <c r="P196" t="s">
        <v>6747</v>
      </c>
      <c r="Q196" t="s">
        <v>6748</v>
      </c>
      <c r="R196" s="16" t="s">
        <v>8447</v>
      </c>
      <c r="S196" s="16" t="s">
        <v>8151</v>
      </c>
      <c r="T196" t="s">
        <v>7187</v>
      </c>
      <c r="U196">
        <v>1</v>
      </c>
      <c r="V196" t="s">
        <v>8654</v>
      </c>
      <c r="W196" t="s">
        <v>12</v>
      </c>
      <c r="X196" t="s">
        <v>8659</v>
      </c>
      <c r="Y196">
        <f t="shared" si="7"/>
        <v>1</v>
      </c>
    </row>
    <row r="197" spans="1:25">
      <c r="A197" t="s">
        <v>7170</v>
      </c>
      <c r="B197" t="s">
        <v>523</v>
      </c>
      <c r="C197">
        <v>1032</v>
      </c>
      <c r="D197">
        <v>11</v>
      </c>
      <c r="E197" t="s">
        <v>12</v>
      </c>
      <c r="F197" t="s">
        <v>524</v>
      </c>
      <c r="G197" t="e">
        <f>VLOOKUP(TRIM(F197),[1]mss!$AA:$AA,1,0)</f>
        <v>#N/A</v>
      </c>
      <c r="H197" t="s">
        <v>525</v>
      </c>
      <c r="J197" t="s">
        <v>8668</v>
      </c>
      <c r="L197">
        <f t="shared" si="6"/>
        <v>0</v>
      </c>
      <c r="R197" s="16" t="s">
        <v>8064</v>
      </c>
      <c r="S197" s="16" t="s">
        <v>8064</v>
      </c>
      <c r="T197" t="s">
        <v>7797</v>
      </c>
      <c r="U197">
        <v>0</v>
      </c>
      <c r="V197" t="s">
        <v>8655</v>
      </c>
      <c r="X197" t="s">
        <v>8659</v>
      </c>
      <c r="Y197">
        <f t="shared" si="7"/>
        <v>0</v>
      </c>
    </row>
    <row r="198" spans="1:25" hidden="1">
      <c r="A198" t="s">
        <v>7065</v>
      </c>
      <c r="B198" t="s">
        <v>432</v>
      </c>
      <c r="C198">
        <v>1040</v>
      </c>
      <c r="D198">
        <v>11</v>
      </c>
      <c r="E198" t="s">
        <v>4037</v>
      </c>
      <c r="F198" t="s">
        <v>526</v>
      </c>
      <c r="H198" t="s">
        <v>527</v>
      </c>
      <c r="J198" t="s">
        <v>8668</v>
      </c>
      <c r="L198">
        <f t="shared" si="6"/>
        <v>1</v>
      </c>
      <c r="M198" t="s">
        <v>5689</v>
      </c>
      <c r="N198" t="s">
        <v>6418</v>
      </c>
      <c r="O198" t="s">
        <v>3995</v>
      </c>
      <c r="P198">
        <v>91750</v>
      </c>
      <c r="Q198">
        <v>476770</v>
      </c>
      <c r="R198" s="16" t="s">
        <v>8396</v>
      </c>
      <c r="S198" s="16" t="s">
        <v>8100</v>
      </c>
      <c r="T198" t="s">
        <v>7065</v>
      </c>
      <c r="U198">
        <v>0</v>
      </c>
      <c r="V198" t="s">
        <v>8654</v>
      </c>
      <c r="W198" t="s">
        <v>3995</v>
      </c>
      <c r="X198" t="s">
        <v>8659</v>
      </c>
      <c r="Y198">
        <f t="shared" si="7"/>
        <v>1</v>
      </c>
    </row>
    <row r="199" spans="1:25" hidden="1">
      <c r="A199" t="s">
        <v>7585</v>
      </c>
      <c r="B199" t="s">
        <v>119</v>
      </c>
      <c r="C199">
        <v>1117</v>
      </c>
      <c r="D199">
        <v>12</v>
      </c>
      <c r="E199" t="s">
        <v>45</v>
      </c>
      <c r="F199" t="s">
        <v>1070</v>
      </c>
      <c r="G199" t="str">
        <f>VLOOKUP(TRIM(F199), [1]mss!$AA:$AA,1,0)</f>
        <v>Ox I 657</v>
      </c>
      <c r="H199" t="s">
        <v>286</v>
      </c>
      <c r="J199" t="s">
        <v>8668</v>
      </c>
      <c r="L199">
        <f t="shared" si="6"/>
        <v>1</v>
      </c>
      <c r="M199" t="s">
        <v>6339</v>
      </c>
      <c r="N199" t="s">
        <v>6340</v>
      </c>
      <c r="O199" t="s">
        <v>12</v>
      </c>
      <c r="P199" t="s">
        <v>6341</v>
      </c>
      <c r="Q199">
        <v>522480</v>
      </c>
      <c r="R199" s="16" t="s">
        <v>8414</v>
      </c>
      <c r="S199" s="16" t="s">
        <v>8118</v>
      </c>
      <c r="T199" t="s">
        <v>7585</v>
      </c>
      <c r="U199">
        <v>0</v>
      </c>
      <c r="V199" t="s">
        <v>8654</v>
      </c>
      <c r="W199" t="s">
        <v>12</v>
      </c>
      <c r="X199" t="s">
        <v>8663</v>
      </c>
      <c r="Y199">
        <f t="shared" si="7"/>
        <v>1</v>
      </c>
    </row>
    <row r="200" spans="1:25" hidden="1">
      <c r="A200" t="s">
        <v>5588</v>
      </c>
      <c r="B200" t="s">
        <v>5091</v>
      </c>
      <c r="C200">
        <v>1118</v>
      </c>
      <c r="D200">
        <v>12</v>
      </c>
      <c r="E200" t="s">
        <v>27</v>
      </c>
      <c r="F200" t="s">
        <v>5127</v>
      </c>
      <c r="G200" t="str">
        <f>VLOOKUP(TRIM(F200), [1]mss!$AA:$AA,1,0)</f>
        <v>NL 1 I 173</v>
      </c>
      <c r="H200" t="s">
        <v>3171</v>
      </c>
      <c r="I200" t="s">
        <v>8928</v>
      </c>
      <c r="J200" s="5" t="s">
        <v>5044</v>
      </c>
      <c r="K200" s="5" t="s">
        <v>2282</v>
      </c>
      <c r="L200">
        <f t="shared" si="6"/>
        <v>1</v>
      </c>
      <c r="M200" t="s">
        <v>6486</v>
      </c>
      <c r="N200" t="s">
        <v>6487</v>
      </c>
      <c r="O200" t="s">
        <v>12</v>
      </c>
      <c r="P200" t="s">
        <v>6488</v>
      </c>
      <c r="Q200">
        <v>517520</v>
      </c>
      <c r="R200" s="16" t="s">
        <v>8357</v>
      </c>
      <c r="S200" s="16" t="s">
        <v>8060</v>
      </c>
      <c r="T200" t="s">
        <v>5588</v>
      </c>
      <c r="U200">
        <v>1</v>
      </c>
      <c r="V200" t="s">
        <v>8656</v>
      </c>
      <c r="W200" t="s">
        <v>12</v>
      </c>
      <c r="X200" t="s">
        <v>8665</v>
      </c>
      <c r="Y200">
        <f t="shared" si="7"/>
        <v>1</v>
      </c>
    </row>
    <row r="201" spans="1:25" hidden="1">
      <c r="A201" t="s">
        <v>7185</v>
      </c>
      <c r="B201" t="s">
        <v>446</v>
      </c>
      <c r="C201">
        <v>1119</v>
      </c>
      <c r="D201">
        <v>12</v>
      </c>
      <c r="E201" t="s">
        <v>41</v>
      </c>
      <c r="F201" t="s">
        <v>565</v>
      </c>
      <c r="G201" t="str">
        <f>VLOOKUP(TRIM(F201), [1]mss!$AA:$AA,1,0)</f>
        <v>BL I 872</v>
      </c>
      <c r="H201" t="s">
        <v>566</v>
      </c>
      <c r="J201" t="s">
        <v>8668</v>
      </c>
      <c r="L201">
        <f t="shared" si="6"/>
        <v>1</v>
      </c>
      <c r="M201" t="s">
        <v>6746</v>
      </c>
      <c r="N201" t="s">
        <v>6349</v>
      </c>
      <c r="O201" t="s">
        <v>12</v>
      </c>
      <c r="P201" t="s">
        <v>6747</v>
      </c>
      <c r="Q201" t="s">
        <v>6748</v>
      </c>
      <c r="R201" s="16" t="s">
        <v>8447</v>
      </c>
      <c r="S201" s="16" t="s">
        <v>8151</v>
      </c>
      <c r="T201" t="s">
        <v>7185</v>
      </c>
      <c r="U201">
        <v>0</v>
      </c>
      <c r="V201" t="s">
        <v>8654</v>
      </c>
      <c r="W201" t="s">
        <v>12</v>
      </c>
      <c r="X201" t="s">
        <v>8659</v>
      </c>
      <c r="Y201">
        <f t="shared" si="7"/>
        <v>1</v>
      </c>
    </row>
    <row r="202" spans="1:25" hidden="1">
      <c r="A202" t="s">
        <v>7110</v>
      </c>
      <c r="B202" t="s">
        <v>448</v>
      </c>
      <c r="C202">
        <v>1120</v>
      </c>
      <c r="D202">
        <v>12</v>
      </c>
      <c r="E202" t="s">
        <v>4113</v>
      </c>
      <c r="F202" t="s">
        <v>569</v>
      </c>
      <c r="G202" t="str">
        <f>VLOOKUP(TRIM(F202), [1]mss!$AA:$AA,1,0)</f>
        <v>BL I 543</v>
      </c>
      <c r="H202" t="s">
        <v>570</v>
      </c>
      <c r="J202" t="s">
        <v>8668</v>
      </c>
      <c r="L202">
        <f t="shared" si="6"/>
        <v>1</v>
      </c>
      <c r="M202" t="s">
        <v>6312</v>
      </c>
      <c r="N202" t="s">
        <v>6313</v>
      </c>
      <c r="O202" t="s">
        <v>12</v>
      </c>
      <c r="P202" t="s">
        <v>6314</v>
      </c>
      <c r="Q202">
        <v>509200</v>
      </c>
      <c r="R202" s="16" t="s">
        <v>8416</v>
      </c>
      <c r="S202" s="16" t="s">
        <v>8120</v>
      </c>
      <c r="T202" t="s">
        <v>7770</v>
      </c>
      <c r="U202">
        <v>0</v>
      </c>
      <c r="V202" t="s">
        <v>8654</v>
      </c>
      <c r="W202" t="s">
        <v>12</v>
      </c>
      <c r="X202" t="s">
        <v>8659</v>
      </c>
      <c r="Y202">
        <f t="shared" si="7"/>
        <v>1</v>
      </c>
    </row>
    <row r="203" spans="1:25" hidden="1">
      <c r="A203" t="s">
        <v>7213</v>
      </c>
      <c r="B203" t="s">
        <v>873</v>
      </c>
      <c r="C203">
        <v>1121</v>
      </c>
      <c r="D203">
        <v>12</v>
      </c>
      <c r="E203" t="s">
        <v>13</v>
      </c>
      <c r="F203" t="s">
        <v>874</v>
      </c>
      <c r="G203" t="str">
        <f>VLOOKUP(TRIM(F203), [1]mss!$AA:$AA,1,0)</f>
        <v>Ca I 154</v>
      </c>
      <c r="H203" t="s">
        <v>875</v>
      </c>
      <c r="I203" t="s">
        <v>8928</v>
      </c>
      <c r="J203" t="s">
        <v>8963</v>
      </c>
      <c r="L203">
        <f t="shared" si="6"/>
        <v>1</v>
      </c>
      <c r="M203" t="s">
        <v>6348</v>
      </c>
      <c r="N203" t="s">
        <v>6349</v>
      </c>
      <c r="O203" t="s">
        <v>12</v>
      </c>
      <c r="P203">
        <v>10810</v>
      </c>
      <c r="Q203">
        <v>512810</v>
      </c>
      <c r="R203" s="16" t="s">
        <v>8360</v>
      </c>
      <c r="S203" s="16" t="s">
        <v>8063</v>
      </c>
      <c r="T203" t="s">
        <v>7213</v>
      </c>
      <c r="U203">
        <v>1</v>
      </c>
      <c r="V203" t="s">
        <v>8656</v>
      </c>
      <c r="W203" t="s">
        <v>12</v>
      </c>
      <c r="X203" t="s">
        <v>3012</v>
      </c>
      <c r="Y203">
        <f t="shared" si="7"/>
        <v>1</v>
      </c>
    </row>
    <row r="204" spans="1:25" hidden="1">
      <c r="A204" t="s">
        <v>7607</v>
      </c>
      <c r="B204" t="s">
        <v>194</v>
      </c>
      <c r="C204">
        <v>1121</v>
      </c>
      <c r="D204">
        <v>12</v>
      </c>
      <c r="E204" t="s">
        <v>195</v>
      </c>
      <c r="F204" t="s">
        <v>1071</v>
      </c>
      <c r="G204" t="str">
        <f>VLOOKUP(TRIM(F204), [1]mss!$AA:$AA,1,0)</f>
        <v>Ox I 797</v>
      </c>
      <c r="H204" t="s">
        <v>287</v>
      </c>
      <c r="J204" t="s">
        <v>8668</v>
      </c>
      <c r="L204">
        <f t="shared" si="6"/>
        <v>1</v>
      </c>
      <c r="M204" t="s">
        <v>6366</v>
      </c>
      <c r="N204" t="s">
        <v>6367</v>
      </c>
      <c r="O204" t="s">
        <v>12</v>
      </c>
      <c r="P204">
        <v>-19680</v>
      </c>
      <c r="Q204">
        <v>517120</v>
      </c>
      <c r="R204" s="16" t="s">
        <v>8445</v>
      </c>
      <c r="S204" s="16" t="s">
        <v>8149</v>
      </c>
      <c r="T204" t="s">
        <v>7607</v>
      </c>
      <c r="U204">
        <v>0</v>
      </c>
      <c r="V204" t="s">
        <v>8654</v>
      </c>
      <c r="W204" t="s">
        <v>12</v>
      </c>
      <c r="X204" t="s">
        <v>8663</v>
      </c>
      <c r="Y204">
        <f t="shared" si="7"/>
        <v>1</v>
      </c>
    </row>
    <row r="205" spans="1:25" hidden="1">
      <c r="A205" t="s">
        <v>7186</v>
      </c>
      <c r="B205" t="s">
        <v>435</v>
      </c>
      <c r="C205">
        <v>1049</v>
      </c>
      <c r="D205">
        <v>11</v>
      </c>
      <c r="E205" t="s">
        <v>4218</v>
      </c>
      <c r="F205" t="s">
        <v>540</v>
      </c>
      <c r="H205" t="s">
        <v>541</v>
      </c>
      <c r="J205" t="s">
        <v>8668</v>
      </c>
      <c r="L205">
        <f t="shared" si="6"/>
        <v>1</v>
      </c>
      <c r="M205" t="s">
        <v>6593</v>
      </c>
      <c r="N205" t="s">
        <v>6594</v>
      </c>
      <c r="O205" t="s">
        <v>4016</v>
      </c>
      <c r="P205" t="s">
        <v>6595</v>
      </c>
      <c r="Q205" t="s">
        <v>6596</v>
      </c>
      <c r="R205" s="16" t="s">
        <v>8448</v>
      </c>
      <c r="S205" s="16" t="s">
        <v>8152</v>
      </c>
      <c r="T205" t="s">
        <v>7186</v>
      </c>
      <c r="U205">
        <v>0</v>
      </c>
      <c r="V205" t="s">
        <v>8654</v>
      </c>
      <c r="W205" t="s">
        <v>4016</v>
      </c>
      <c r="X205" t="s">
        <v>8659</v>
      </c>
      <c r="Y205">
        <f t="shared" si="7"/>
        <v>1</v>
      </c>
    </row>
    <row r="206" spans="1:25" hidden="1">
      <c r="A206" t="s">
        <v>7578</v>
      </c>
      <c r="B206" t="s">
        <v>311</v>
      </c>
      <c r="C206">
        <v>1124</v>
      </c>
      <c r="D206">
        <v>12</v>
      </c>
      <c r="E206" t="s">
        <v>112</v>
      </c>
      <c r="F206" t="s">
        <v>1072</v>
      </c>
      <c r="G206" t="str">
        <f>VLOOKUP(TRIM(F206), [1]mss!$AA:$AA,1,0)</f>
        <v>Ox I 620</v>
      </c>
      <c r="H206" t="s">
        <v>290</v>
      </c>
      <c r="I206" t="s">
        <v>8928</v>
      </c>
      <c r="J206" t="s">
        <v>9091</v>
      </c>
      <c r="L206">
        <f t="shared" si="6"/>
        <v>1</v>
      </c>
      <c r="M206" t="s">
        <v>6684</v>
      </c>
      <c r="N206" t="s">
        <v>6346</v>
      </c>
      <c r="O206" t="s">
        <v>12</v>
      </c>
      <c r="P206" t="s">
        <v>6685</v>
      </c>
      <c r="Q206" t="s">
        <v>6686</v>
      </c>
      <c r="R206" s="16" t="s">
        <v>8420</v>
      </c>
      <c r="S206" s="16" t="s">
        <v>8124</v>
      </c>
      <c r="T206" t="s">
        <v>7885</v>
      </c>
      <c r="U206">
        <v>1</v>
      </c>
      <c r="V206" t="s">
        <v>8656</v>
      </c>
      <c r="W206" t="s">
        <v>12</v>
      </c>
      <c r="X206" t="s">
        <v>8663</v>
      </c>
      <c r="Y206">
        <f t="shared" si="7"/>
        <v>1</v>
      </c>
    </row>
    <row r="207" spans="1:25" hidden="1">
      <c r="A207" t="s">
        <v>7216</v>
      </c>
      <c r="B207" t="s">
        <v>879</v>
      </c>
      <c r="C207">
        <v>1125</v>
      </c>
      <c r="D207">
        <v>12</v>
      </c>
      <c r="E207" t="s">
        <v>4124</v>
      </c>
      <c r="F207" t="s">
        <v>880</v>
      </c>
      <c r="G207" t="str">
        <f>VLOOKUP(TRIM(F207), [1]mss!$AA:$AA,1,0)</f>
        <v>Ca I 158</v>
      </c>
      <c r="H207" t="s">
        <v>881</v>
      </c>
      <c r="I207" t="s">
        <v>8928</v>
      </c>
      <c r="J207" t="s">
        <v>8966</v>
      </c>
      <c r="L207">
        <f t="shared" si="6"/>
        <v>1</v>
      </c>
      <c r="M207" t="s">
        <v>6391</v>
      </c>
      <c r="N207" t="s">
        <v>6346</v>
      </c>
      <c r="O207" t="s">
        <v>12</v>
      </c>
      <c r="P207" t="s">
        <v>6392</v>
      </c>
      <c r="Q207">
        <v>523970</v>
      </c>
      <c r="R207" s="16" t="s">
        <v>8419</v>
      </c>
      <c r="S207" s="16" t="s">
        <v>8123</v>
      </c>
      <c r="T207" t="s">
        <v>7216</v>
      </c>
      <c r="U207">
        <v>1</v>
      </c>
      <c r="V207" t="s">
        <v>8656</v>
      </c>
      <c r="W207" t="s">
        <v>12</v>
      </c>
      <c r="X207" t="s">
        <v>3012</v>
      </c>
      <c r="Y207">
        <f t="shared" si="7"/>
        <v>1</v>
      </c>
    </row>
    <row r="208" spans="1:25" hidden="1">
      <c r="A208" t="s">
        <v>7136</v>
      </c>
      <c r="B208" t="s">
        <v>438</v>
      </c>
      <c r="C208">
        <v>1091</v>
      </c>
      <c r="D208">
        <v>11</v>
      </c>
      <c r="E208" t="s">
        <v>4147</v>
      </c>
      <c r="F208" t="s">
        <v>546</v>
      </c>
      <c r="H208" t="s">
        <v>547</v>
      </c>
      <c r="J208" t="s">
        <v>8668</v>
      </c>
      <c r="L208">
        <f t="shared" si="6"/>
        <v>1</v>
      </c>
      <c r="M208" t="s">
        <v>6483</v>
      </c>
      <c r="N208" t="s">
        <v>6484</v>
      </c>
      <c r="O208" t="s">
        <v>6290</v>
      </c>
      <c r="P208">
        <v>-38090</v>
      </c>
      <c r="Q208">
        <v>423540</v>
      </c>
      <c r="R208" s="16" t="s">
        <v>8425</v>
      </c>
      <c r="S208" s="16" t="s">
        <v>8129</v>
      </c>
      <c r="T208" t="s">
        <v>7136</v>
      </c>
      <c r="U208">
        <v>0</v>
      </c>
      <c r="V208" t="s">
        <v>8654</v>
      </c>
      <c r="W208" t="s">
        <v>6290</v>
      </c>
      <c r="X208" t="s">
        <v>8659</v>
      </c>
      <c r="Y208">
        <f t="shared" si="7"/>
        <v>1</v>
      </c>
    </row>
    <row r="209" spans="1:25" hidden="1">
      <c r="A209" t="s">
        <v>7062</v>
      </c>
      <c r="B209" t="s">
        <v>439</v>
      </c>
      <c r="C209">
        <v>1095</v>
      </c>
      <c r="D209">
        <v>11</v>
      </c>
      <c r="E209" t="s">
        <v>4031</v>
      </c>
      <c r="F209" t="s">
        <v>548</v>
      </c>
      <c r="H209" t="s">
        <v>549</v>
      </c>
      <c r="J209" t="s">
        <v>8668</v>
      </c>
      <c r="L209">
        <f t="shared" si="6"/>
        <v>1</v>
      </c>
      <c r="M209" t="s">
        <v>6873</v>
      </c>
      <c r="N209" t="s">
        <v>6874</v>
      </c>
      <c r="O209" t="s">
        <v>4016</v>
      </c>
      <c r="P209" t="s">
        <v>6875</v>
      </c>
      <c r="Q209" t="s">
        <v>6876</v>
      </c>
      <c r="R209" s="16" t="s">
        <v>8395</v>
      </c>
      <c r="S209" s="16" t="s">
        <v>8099</v>
      </c>
      <c r="T209" t="s">
        <v>7062</v>
      </c>
      <c r="U209">
        <v>0</v>
      </c>
      <c r="V209" t="s">
        <v>8654</v>
      </c>
      <c r="W209" t="s">
        <v>4016</v>
      </c>
      <c r="X209" t="s">
        <v>8659</v>
      </c>
      <c r="Y209">
        <f t="shared" si="7"/>
        <v>1</v>
      </c>
    </row>
    <row r="210" spans="1:25" hidden="1">
      <c r="A210" t="s">
        <v>7063</v>
      </c>
      <c r="B210" t="s">
        <v>439</v>
      </c>
      <c r="C210">
        <v>1095</v>
      </c>
      <c r="D210">
        <v>11</v>
      </c>
      <c r="E210" t="s">
        <v>4031</v>
      </c>
      <c r="F210" t="s">
        <v>548</v>
      </c>
      <c r="H210" t="s">
        <v>549</v>
      </c>
      <c r="J210" t="s">
        <v>8668</v>
      </c>
      <c r="L210">
        <f t="shared" si="6"/>
        <v>1</v>
      </c>
      <c r="M210" t="s">
        <v>6873</v>
      </c>
      <c r="N210" t="s">
        <v>6874</v>
      </c>
      <c r="O210" t="s">
        <v>4016</v>
      </c>
      <c r="P210" t="s">
        <v>6875</v>
      </c>
      <c r="Q210" t="s">
        <v>6876</v>
      </c>
      <c r="R210" s="16" t="s">
        <v>8395</v>
      </c>
      <c r="S210" s="16" t="s">
        <v>8099</v>
      </c>
      <c r="T210" t="s">
        <v>7063</v>
      </c>
      <c r="U210">
        <v>0</v>
      </c>
      <c r="V210" t="s">
        <v>8654</v>
      </c>
      <c r="W210" t="s">
        <v>4016</v>
      </c>
      <c r="X210" t="s">
        <v>8659</v>
      </c>
      <c r="Y210">
        <f t="shared" si="7"/>
        <v>1</v>
      </c>
    </row>
    <row r="211" spans="1:25" s="19" customFormat="1" hidden="1">
      <c r="A211" s="19" t="s">
        <v>5570</v>
      </c>
      <c r="B211" s="19" t="s">
        <v>882</v>
      </c>
      <c r="C211" s="19">
        <v>1125</v>
      </c>
      <c r="D211" s="19">
        <v>12</v>
      </c>
      <c r="E211" s="19" t="s">
        <v>13</v>
      </c>
      <c r="F211" s="19" t="s">
        <v>862</v>
      </c>
      <c r="G211" s="19" t="str">
        <f>VLOOKUP(TRIM(F211), [1]mss!$AA:$AA,1,0)</f>
        <v>Ca I 63</v>
      </c>
      <c r="H211" s="19" t="s">
        <v>863</v>
      </c>
      <c r="J211" s="19" t="s">
        <v>8668</v>
      </c>
      <c r="L211" s="19">
        <f t="shared" si="6"/>
        <v>1</v>
      </c>
      <c r="M211" s="19" t="s">
        <v>6348</v>
      </c>
      <c r="N211" s="19" t="s">
        <v>6349</v>
      </c>
      <c r="O211" s="19" t="s">
        <v>12</v>
      </c>
      <c r="P211" s="19">
        <v>10810</v>
      </c>
      <c r="Q211" s="19">
        <v>512810</v>
      </c>
      <c r="R211" s="21" t="s">
        <v>8360</v>
      </c>
      <c r="S211" s="21" t="s">
        <v>8063</v>
      </c>
      <c r="T211" s="19" t="s">
        <v>5570</v>
      </c>
      <c r="U211" s="19">
        <v>0</v>
      </c>
      <c r="V211" s="19" t="s">
        <v>8654</v>
      </c>
      <c r="W211" s="19" t="s">
        <v>12</v>
      </c>
      <c r="X211" s="19" t="s">
        <v>3012</v>
      </c>
      <c r="Y211" s="19">
        <f t="shared" si="7"/>
        <v>1</v>
      </c>
    </row>
    <row r="212" spans="1:25" hidden="1">
      <c r="A212" t="s">
        <v>7614</v>
      </c>
      <c r="B212" t="s">
        <v>210</v>
      </c>
      <c r="C212">
        <v>1125</v>
      </c>
      <c r="D212">
        <v>12</v>
      </c>
      <c r="E212" t="s">
        <v>35</v>
      </c>
      <c r="F212" t="s">
        <v>1074</v>
      </c>
      <c r="G212" t="str">
        <f>VLOOKUP(TRIM(F212), [1]mss!$AA:$AA,1,0)</f>
        <v>Ox I 818</v>
      </c>
      <c r="H212" s="1" t="s">
        <v>294</v>
      </c>
      <c r="I212" s="1"/>
      <c r="J212" t="s">
        <v>8668</v>
      </c>
      <c r="L212">
        <f t="shared" si="6"/>
        <v>1</v>
      </c>
      <c r="M212" t="s">
        <v>6450</v>
      </c>
      <c r="N212" t="s">
        <v>6451</v>
      </c>
      <c r="O212" t="s">
        <v>12</v>
      </c>
      <c r="P212">
        <v>-20390</v>
      </c>
      <c r="Q212">
        <v>515870</v>
      </c>
      <c r="R212" s="16" t="s">
        <v>8362</v>
      </c>
      <c r="S212" s="16" t="s">
        <v>8066</v>
      </c>
      <c r="T212" t="s">
        <v>7614</v>
      </c>
      <c r="U212">
        <v>0</v>
      </c>
      <c r="V212" t="s">
        <v>8654</v>
      </c>
      <c r="W212" t="s">
        <v>12</v>
      </c>
      <c r="X212" t="s">
        <v>8663</v>
      </c>
      <c r="Y212">
        <f t="shared" si="7"/>
        <v>1</v>
      </c>
    </row>
    <row r="213" spans="1:25" hidden="1">
      <c r="A213" t="s">
        <v>7220</v>
      </c>
      <c r="B213" t="s">
        <v>886</v>
      </c>
      <c r="C213">
        <v>1126</v>
      </c>
      <c r="D213">
        <v>12</v>
      </c>
      <c r="E213" t="s">
        <v>13</v>
      </c>
      <c r="F213" t="s">
        <v>887</v>
      </c>
      <c r="G213" t="str">
        <f>VLOOKUP(TRIM(F213), [1]mss!$AA:$AA,1,0)</f>
        <v>Ca I 167</v>
      </c>
      <c r="H213" t="s">
        <v>888</v>
      </c>
      <c r="I213" t="s">
        <v>8928</v>
      </c>
      <c r="J213" t="s">
        <v>8970</v>
      </c>
      <c r="L213">
        <f t="shared" si="6"/>
        <v>1</v>
      </c>
      <c r="M213" t="s">
        <v>6348</v>
      </c>
      <c r="N213" t="s">
        <v>6349</v>
      </c>
      <c r="O213" t="s">
        <v>12</v>
      </c>
      <c r="P213">
        <v>10810</v>
      </c>
      <c r="Q213">
        <v>512810</v>
      </c>
      <c r="R213" s="16" t="s">
        <v>8360</v>
      </c>
      <c r="S213" s="16" t="s">
        <v>8063</v>
      </c>
      <c r="T213" t="s">
        <v>7220</v>
      </c>
      <c r="U213">
        <v>1</v>
      </c>
      <c r="V213" t="s">
        <v>8656</v>
      </c>
      <c r="W213" t="s">
        <v>12</v>
      </c>
      <c r="X213" t="s">
        <v>3012</v>
      </c>
      <c r="Y213">
        <f t="shared" si="7"/>
        <v>1</v>
      </c>
    </row>
    <row r="214" spans="1:25" hidden="1">
      <c r="A214" t="s">
        <v>7174</v>
      </c>
      <c r="B214" t="s">
        <v>442</v>
      </c>
      <c r="C214">
        <v>1100</v>
      </c>
      <c r="D214">
        <v>12</v>
      </c>
      <c r="E214" t="s">
        <v>1444</v>
      </c>
      <c r="F214" t="s">
        <v>557</v>
      </c>
      <c r="H214" t="s">
        <v>558</v>
      </c>
      <c r="I214" t="s">
        <v>8928</v>
      </c>
      <c r="J214" t="s">
        <v>8797</v>
      </c>
      <c r="L214">
        <f t="shared" si="6"/>
        <v>0</v>
      </c>
      <c r="R214" s="16" t="s">
        <v>8064</v>
      </c>
      <c r="S214" s="16" t="s">
        <v>8064</v>
      </c>
      <c r="T214" t="s">
        <v>7174</v>
      </c>
      <c r="U214">
        <v>1</v>
      </c>
      <c r="V214" t="s">
        <v>8655</v>
      </c>
      <c r="X214" t="s">
        <v>8659</v>
      </c>
      <c r="Y214">
        <f t="shared" si="7"/>
        <v>0</v>
      </c>
    </row>
    <row r="215" spans="1:25" hidden="1">
      <c r="A215" t="s">
        <v>7121</v>
      </c>
      <c r="B215" t="s">
        <v>450</v>
      </c>
      <c r="C215">
        <v>1128</v>
      </c>
      <c r="D215">
        <v>12</v>
      </c>
      <c r="E215" t="s">
        <v>112</v>
      </c>
      <c r="F215" t="s">
        <v>575</v>
      </c>
      <c r="G215" t="str">
        <f>VLOOKUP(TRIM(F215), [1]mss!$AA:$AA,1,0)</f>
        <v>BL I 559</v>
      </c>
      <c r="H215" t="s">
        <v>576</v>
      </c>
      <c r="I215" t="s">
        <v>8928</v>
      </c>
      <c r="J215" t="s">
        <v>8938</v>
      </c>
      <c r="L215">
        <f t="shared" si="6"/>
        <v>1</v>
      </c>
      <c r="M215" t="s">
        <v>6684</v>
      </c>
      <c r="N215" t="s">
        <v>6346</v>
      </c>
      <c r="O215" t="s">
        <v>12</v>
      </c>
      <c r="P215" t="s">
        <v>6685</v>
      </c>
      <c r="Q215" t="s">
        <v>6686</v>
      </c>
      <c r="R215" s="16" t="s">
        <v>8420</v>
      </c>
      <c r="S215" s="16" t="s">
        <v>8124</v>
      </c>
      <c r="T215" t="s">
        <v>7780</v>
      </c>
      <c r="U215">
        <v>1</v>
      </c>
      <c r="V215" t="s">
        <v>8656</v>
      </c>
      <c r="W215" t="s">
        <v>12</v>
      </c>
      <c r="X215" t="s">
        <v>8659</v>
      </c>
      <c r="Y215">
        <f t="shared" si="7"/>
        <v>1</v>
      </c>
    </row>
    <row r="216" spans="1:25" hidden="1">
      <c r="A216" t="s">
        <v>7122</v>
      </c>
      <c r="B216" t="s">
        <v>450</v>
      </c>
      <c r="C216">
        <v>1128</v>
      </c>
      <c r="D216">
        <v>12</v>
      </c>
      <c r="E216" t="s">
        <v>112</v>
      </c>
      <c r="F216" t="s">
        <v>575</v>
      </c>
      <c r="G216" t="str">
        <f>VLOOKUP(TRIM(F216), [1]mss!$AA:$AA,1,0)</f>
        <v>BL I 559</v>
      </c>
      <c r="H216" t="s">
        <v>576</v>
      </c>
      <c r="I216" t="s">
        <v>8928</v>
      </c>
      <c r="J216" t="s">
        <v>8939</v>
      </c>
      <c r="L216">
        <f t="shared" si="6"/>
        <v>1</v>
      </c>
      <c r="M216" t="s">
        <v>6684</v>
      </c>
      <c r="N216" t="s">
        <v>6346</v>
      </c>
      <c r="O216" t="s">
        <v>12</v>
      </c>
      <c r="P216" t="s">
        <v>6685</v>
      </c>
      <c r="Q216" t="s">
        <v>6686</v>
      </c>
      <c r="R216" s="16" t="s">
        <v>8420</v>
      </c>
      <c r="S216" s="16" t="s">
        <v>8124</v>
      </c>
      <c r="T216" t="s">
        <v>7122</v>
      </c>
      <c r="U216">
        <v>1</v>
      </c>
      <c r="V216" t="s">
        <v>8656</v>
      </c>
      <c r="W216" t="s">
        <v>12</v>
      </c>
      <c r="X216" t="s">
        <v>8659</v>
      </c>
      <c r="Y216">
        <f t="shared" si="7"/>
        <v>1</v>
      </c>
    </row>
    <row r="217" spans="1:25" hidden="1">
      <c r="A217" t="s">
        <v>7197</v>
      </c>
      <c r="B217" t="s">
        <v>912</v>
      </c>
      <c r="C217">
        <v>1129</v>
      </c>
      <c r="D217">
        <v>12</v>
      </c>
      <c r="E217" t="s">
        <v>45</v>
      </c>
      <c r="F217" t="s">
        <v>913</v>
      </c>
      <c r="G217" t="str">
        <f>VLOOKUP(TRIM(F217), [1]mss!$AA:$AA,1,0)</f>
        <v>Ca I 119</v>
      </c>
      <c r="H217" t="s">
        <v>914</v>
      </c>
      <c r="I217" t="s">
        <v>8928</v>
      </c>
      <c r="J217" t="s">
        <v>8951</v>
      </c>
      <c r="L217">
        <f t="shared" si="6"/>
        <v>1</v>
      </c>
      <c r="M217" t="s">
        <v>6339</v>
      </c>
      <c r="N217" t="s">
        <v>6340</v>
      </c>
      <c r="O217" t="s">
        <v>12</v>
      </c>
      <c r="P217" t="s">
        <v>6341</v>
      </c>
      <c r="Q217">
        <v>522480</v>
      </c>
      <c r="R217" s="16" t="s">
        <v>8414</v>
      </c>
      <c r="S217" s="16" t="s">
        <v>8118</v>
      </c>
      <c r="T217" t="s">
        <v>7197</v>
      </c>
      <c r="U217">
        <v>1</v>
      </c>
      <c r="V217" t="s">
        <v>8656</v>
      </c>
      <c r="W217" t="s">
        <v>12</v>
      </c>
      <c r="X217" t="s">
        <v>3012</v>
      </c>
      <c r="Y217">
        <f t="shared" si="7"/>
        <v>1</v>
      </c>
    </row>
    <row r="218" spans="1:25" hidden="1">
      <c r="A218" t="s">
        <v>7595</v>
      </c>
      <c r="B218">
        <v>1129</v>
      </c>
      <c r="C218">
        <v>1129</v>
      </c>
      <c r="D218">
        <v>12</v>
      </c>
      <c r="E218" t="s">
        <v>35</v>
      </c>
      <c r="F218" t="s">
        <v>1075</v>
      </c>
      <c r="G218" t="str">
        <f>VLOOKUP(TRIM(F218), [1]mss!$AA:$AA,1,0)</f>
        <v>Ox I 696</v>
      </c>
      <c r="H218" t="s">
        <v>383</v>
      </c>
      <c r="J218" t="s">
        <v>8668</v>
      </c>
      <c r="L218">
        <f t="shared" si="6"/>
        <v>1</v>
      </c>
      <c r="M218" t="s">
        <v>6450</v>
      </c>
      <c r="N218" t="s">
        <v>6451</v>
      </c>
      <c r="O218" t="s">
        <v>12</v>
      </c>
      <c r="P218">
        <v>-20390</v>
      </c>
      <c r="Q218">
        <v>515870</v>
      </c>
      <c r="R218" s="16" t="s">
        <v>8362</v>
      </c>
      <c r="S218" s="16" t="s">
        <v>8066</v>
      </c>
      <c r="T218" t="s">
        <v>7595</v>
      </c>
      <c r="U218">
        <v>0</v>
      </c>
      <c r="V218" t="s">
        <v>8654</v>
      </c>
      <c r="W218" t="s">
        <v>12</v>
      </c>
      <c r="X218" t="s">
        <v>8663</v>
      </c>
      <c r="Y218">
        <f t="shared" si="7"/>
        <v>1</v>
      </c>
    </row>
    <row r="219" spans="1:25" hidden="1">
      <c r="A219" t="s">
        <v>7251</v>
      </c>
      <c r="B219" t="s">
        <v>883</v>
      </c>
      <c r="C219">
        <v>1130</v>
      </c>
      <c r="D219">
        <v>12</v>
      </c>
      <c r="E219" t="s">
        <v>45</v>
      </c>
      <c r="F219" t="s">
        <v>884</v>
      </c>
      <c r="G219" t="str">
        <f>VLOOKUP(TRIM(F219), [1]mss!$AA:$AA,1,0)</f>
        <v>Ca I 351</v>
      </c>
      <c r="H219" t="s">
        <v>885</v>
      </c>
      <c r="J219" s="5" t="s">
        <v>8694</v>
      </c>
      <c r="L219">
        <f t="shared" si="6"/>
        <v>1</v>
      </c>
      <c r="M219" t="s">
        <v>6339</v>
      </c>
      <c r="N219" t="s">
        <v>6340</v>
      </c>
      <c r="O219" t="s">
        <v>12</v>
      </c>
      <c r="P219" t="s">
        <v>6341</v>
      </c>
      <c r="Q219">
        <v>522480</v>
      </c>
      <c r="R219" s="16" t="s">
        <v>8414</v>
      </c>
      <c r="S219" s="16" t="s">
        <v>8118</v>
      </c>
      <c r="T219" t="s">
        <v>7810</v>
      </c>
      <c r="U219">
        <v>1</v>
      </c>
      <c r="V219" t="s">
        <v>8654</v>
      </c>
      <c r="W219" t="s">
        <v>12</v>
      </c>
      <c r="X219" t="s">
        <v>3012</v>
      </c>
      <c r="Y219">
        <f t="shared" si="7"/>
        <v>1</v>
      </c>
    </row>
    <row r="220" spans="1:25" hidden="1">
      <c r="A220" t="s">
        <v>5459</v>
      </c>
      <c r="B220" t="s">
        <v>249</v>
      </c>
      <c r="C220">
        <v>1131</v>
      </c>
      <c r="D220">
        <v>12</v>
      </c>
      <c r="E220" t="s">
        <v>35</v>
      </c>
      <c r="F220" t="s">
        <v>1149</v>
      </c>
      <c r="G220" t="str">
        <f>VLOOKUP(TRIM(F220), [1]mss!$AA:$AA,1,0)</f>
        <v>Lo I 65</v>
      </c>
      <c r="H220" t="s">
        <v>1150</v>
      </c>
      <c r="J220" t="s">
        <v>8668</v>
      </c>
      <c r="K220" s="5" t="s">
        <v>8672</v>
      </c>
      <c r="L220">
        <f t="shared" si="6"/>
        <v>1</v>
      </c>
      <c r="M220" t="s">
        <v>6450</v>
      </c>
      <c r="N220" t="s">
        <v>6451</v>
      </c>
      <c r="O220" t="s">
        <v>12</v>
      </c>
      <c r="P220">
        <v>-20390</v>
      </c>
      <c r="Q220">
        <v>515870</v>
      </c>
      <c r="R220" s="16" t="s">
        <v>8362</v>
      </c>
      <c r="S220" s="16" t="s">
        <v>8066</v>
      </c>
      <c r="T220" t="s">
        <v>8048</v>
      </c>
      <c r="U220">
        <v>0</v>
      </c>
      <c r="V220" t="s">
        <v>8654</v>
      </c>
      <c r="W220" t="s">
        <v>12</v>
      </c>
      <c r="X220" t="s">
        <v>8661</v>
      </c>
      <c r="Y220">
        <f t="shared" si="7"/>
        <v>1</v>
      </c>
    </row>
    <row r="221" spans="1:25" s="19" customFormat="1" hidden="1">
      <c r="A221" s="19" t="s">
        <v>7147</v>
      </c>
      <c r="B221" s="19" t="s">
        <v>447</v>
      </c>
      <c r="C221" s="19">
        <v>1132</v>
      </c>
      <c r="D221" s="19">
        <v>12</v>
      </c>
      <c r="E221" s="19" t="s">
        <v>27</v>
      </c>
      <c r="F221" s="19" t="s">
        <v>567</v>
      </c>
      <c r="G221" s="19" t="str">
        <f>VLOOKUP(TRIM(F221), [1]mss!$AA:$AA,1,0)</f>
        <v>BL I 627</v>
      </c>
      <c r="H221" s="19" t="s">
        <v>568</v>
      </c>
      <c r="I221" s="19" t="s">
        <v>8928</v>
      </c>
      <c r="J221" s="19" t="s">
        <v>8946</v>
      </c>
      <c r="L221" s="19">
        <f t="shared" si="6"/>
        <v>1</v>
      </c>
      <c r="M221" s="19" t="s">
        <v>6486</v>
      </c>
      <c r="N221" s="19" t="s">
        <v>6487</v>
      </c>
      <c r="O221" s="19" t="s">
        <v>12</v>
      </c>
      <c r="P221" s="19" t="s">
        <v>6488</v>
      </c>
      <c r="Q221" s="19">
        <v>517520</v>
      </c>
      <c r="R221" s="21" t="s">
        <v>8357</v>
      </c>
      <c r="S221" s="21" t="s">
        <v>8060</v>
      </c>
      <c r="T221" s="19" t="s">
        <v>7147</v>
      </c>
      <c r="U221" s="19">
        <v>1</v>
      </c>
      <c r="V221" s="19" t="s">
        <v>8656</v>
      </c>
      <c r="W221" s="19" t="s">
        <v>12</v>
      </c>
      <c r="X221" s="19" t="s">
        <v>8659</v>
      </c>
      <c r="Y221" s="19">
        <f t="shared" si="7"/>
        <v>1</v>
      </c>
    </row>
    <row r="222" spans="1:25" hidden="1">
      <c r="A222" t="s">
        <v>7231</v>
      </c>
      <c r="B222" t="s">
        <v>898</v>
      </c>
      <c r="C222">
        <v>1132</v>
      </c>
      <c r="D222">
        <v>12</v>
      </c>
      <c r="E222" t="s">
        <v>4305</v>
      </c>
      <c r="F222" t="s">
        <v>899</v>
      </c>
      <c r="G222" t="str">
        <f>VLOOKUP(TRIM(F222), [1]mss!$AA:$AA,1,0)</f>
        <v>Ca I 293</v>
      </c>
      <c r="H222" t="s">
        <v>900</v>
      </c>
      <c r="J222" t="s">
        <v>8668</v>
      </c>
      <c r="L222">
        <f t="shared" si="6"/>
        <v>1</v>
      </c>
      <c r="M222" t="s">
        <v>6729</v>
      </c>
      <c r="N222" t="s">
        <v>6730</v>
      </c>
      <c r="O222" t="s">
        <v>12</v>
      </c>
      <c r="P222" t="s">
        <v>6731</v>
      </c>
      <c r="Q222" t="s">
        <v>6732</v>
      </c>
      <c r="R222" s="16" t="s">
        <v>8422</v>
      </c>
      <c r="S222" s="16" t="s">
        <v>8126</v>
      </c>
      <c r="T222" t="s">
        <v>7231</v>
      </c>
      <c r="U222">
        <v>0</v>
      </c>
      <c r="V222" t="s">
        <v>8654</v>
      </c>
      <c r="W222" t="s">
        <v>12</v>
      </c>
      <c r="X222" t="s">
        <v>3012</v>
      </c>
      <c r="Y222">
        <f t="shared" si="7"/>
        <v>1</v>
      </c>
    </row>
    <row r="223" spans="1:25" hidden="1">
      <c r="A223" t="s">
        <v>7600</v>
      </c>
      <c r="B223" t="s">
        <v>44</v>
      </c>
      <c r="C223">
        <v>1132</v>
      </c>
      <c r="D223">
        <v>12</v>
      </c>
      <c r="E223" t="s">
        <v>45</v>
      </c>
      <c r="F223" t="s">
        <v>96</v>
      </c>
      <c r="G223" t="str">
        <f>VLOOKUP(TRIM(F223), [1]mss!$AA:$AA,1,0)</f>
        <v>Ox I 75</v>
      </c>
      <c r="H223" t="s">
        <v>295</v>
      </c>
      <c r="J223" t="s">
        <v>8668</v>
      </c>
      <c r="L223">
        <f t="shared" si="6"/>
        <v>1</v>
      </c>
      <c r="M223" t="s">
        <v>6339</v>
      </c>
      <c r="N223" t="s">
        <v>6340</v>
      </c>
      <c r="O223" t="s">
        <v>12</v>
      </c>
      <c r="P223" t="s">
        <v>6341</v>
      </c>
      <c r="Q223">
        <v>522480</v>
      </c>
      <c r="R223" s="16" t="s">
        <v>8414</v>
      </c>
      <c r="S223" s="16" t="s">
        <v>8118</v>
      </c>
      <c r="T223" t="s">
        <v>7600</v>
      </c>
      <c r="U223">
        <v>0</v>
      </c>
      <c r="V223" t="s">
        <v>8654</v>
      </c>
      <c r="W223" t="s">
        <v>12</v>
      </c>
      <c r="X223" t="s">
        <v>8663</v>
      </c>
      <c r="Y223">
        <f t="shared" si="7"/>
        <v>1</v>
      </c>
    </row>
    <row r="224" spans="1:25" hidden="1">
      <c r="A224" t="s">
        <v>7255</v>
      </c>
      <c r="B224" t="s">
        <v>889</v>
      </c>
      <c r="C224">
        <v>1134</v>
      </c>
      <c r="D224">
        <v>12</v>
      </c>
      <c r="E224" t="s">
        <v>35</v>
      </c>
      <c r="F224" t="s">
        <v>890</v>
      </c>
      <c r="G224" t="str">
        <f>VLOOKUP(TRIM(F224), [1]mss!$AA:$AA,1,0)</f>
        <v>Ca I 379</v>
      </c>
      <c r="H224" t="s">
        <v>891</v>
      </c>
      <c r="J224" t="s">
        <v>8677</v>
      </c>
      <c r="L224">
        <f t="shared" si="6"/>
        <v>1</v>
      </c>
      <c r="M224" t="s">
        <v>6450</v>
      </c>
      <c r="N224" t="s">
        <v>6451</v>
      </c>
      <c r="O224" t="s">
        <v>12</v>
      </c>
      <c r="P224">
        <v>-20390</v>
      </c>
      <c r="Q224">
        <v>515870</v>
      </c>
      <c r="R224" s="16" t="s">
        <v>8362</v>
      </c>
      <c r="S224" s="16" t="s">
        <v>8066</v>
      </c>
      <c r="T224" t="s">
        <v>7813</v>
      </c>
      <c r="U224">
        <v>1</v>
      </c>
      <c r="V224" t="s">
        <v>8654</v>
      </c>
      <c r="W224" t="s">
        <v>12</v>
      </c>
      <c r="X224" t="s">
        <v>3012</v>
      </c>
      <c r="Y224">
        <f t="shared" si="7"/>
        <v>1</v>
      </c>
    </row>
    <row r="225" spans="1:25" hidden="1">
      <c r="A225" t="s">
        <v>7051</v>
      </c>
      <c r="B225" t="s">
        <v>577</v>
      </c>
      <c r="C225">
        <v>1129</v>
      </c>
      <c r="D225">
        <v>12</v>
      </c>
      <c r="E225" t="s">
        <v>4008</v>
      </c>
      <c r="F225" t="s">
        <v>578</v>
      </c>
      <c r="H225" t="s">
        <v>579</v>
      </c>
      <c r="J225" s="5" t="s">
        <v>8705</v>
      </c>
      <c r="L225">
        <f t="shared" si="6"/>
        <v>1</v>
      </c>
      <c r="M225" t="s">
        <v>6862</v>
      </c>
      <c r="N225" t="s">
        <v>6770</v>
      </c>
      <c r="O225" t="s">
        <v>104</v>
      </c>
      <c r="P225" t="s">
        <v>6863</v>
      </c>
      <c r="Q225" t="s">
        <v>6864</v>
      </c>
      <c r="R225" s="16" t="s">
        <v>8387</v>
      </c>
      <c r="S225" s="16" t="s">
        <v>8091</v>
      </c>
      <c r="T225" t="s">
        <v>7051</v>
      </c>
      <c r="U225">
        <v>1</v>
      </c>
      <c r="V225" t="s">
        <v>8654</v>
      </c>
      <c r="W225" t="s">
        <v>104</v>
      </c>
      <c r="X225" t="s">
        <v>8659</v>
      </c>
      <c r="Y225">
        <f t="shared" si="7"/>
        <v>1</v>
      </c>
    </row>
    <row r="226" spans="1:25" hidden="1">
      <c r="A226" t="s">
        <v>7048</v>
      </c>
      <c r="B226" t="s">
        <v>451</v>
      </c>
      <c r="C226">
        <v>1130</v>
      </c>
      <c r="D226">
        <v>12</v>
      </c>
      <c r="E226" t="s">
        <v>4008</v>
      </c>
      <c r="F226" t="s">
        <v>580</v>
      </c>
      <c r="H226" t="s">
        <v>581</v>
      </c>
      <c r="J226" s="5" t="s">
        <v>8705</v>
      </c>
      <c r="L226">
        <f t="shared" si="6"/>
        <v>1</v>
      </c>
      <c r="M226" t="s">
        <v>6862</v>
      </c>
      <c r="N226" t="s">
        <v>6770</v>
      </c>
      <c r="O226" t="s">
        <v>104</v>
      </c>
      <c r="P226" t="s">
        <v>6863</v>
      </c>
      <c r="Q226" t="s">
        <v>6864</v>
      </c>
      <c r="R226" s="16" t="s">
        <v>8387</v>
      </c>
      <c r="S226" s="16" t="s">
        <v>8091</v>
      </c>
      <c r="T226" t="s">
        <v>7048</v>
      </c>
      <c r="U226">
        <v>1</v>
      </c>
      <c r="V226" t="s">
        <v>8654</v>
      </c>
      <c r="W226" t="s">
        <v>104</v>
      </c>
      <c r="X226" t="s">
        <v>8659</v>
      </c>
      <c r="Y226">
        <f t="shared" si="7"/>
        <v>1</v>
      </c>
    </row>
    <row r="227" spans="1:25">
      <c r="A227" t="s">
        <v>7127</v>
      </c>
      <c r="B227" t="s">
        <v>452</v>
      </c>
      <c r="C227">
        <v>1131</v>
      </c>
      <c r="D227">
        <v>12</v>
      </c>
      <c r="E227" t="s">
        <v>12</v>
      </c>
      <c r="F227" t="s">
        <v>582</v>
      </c>
      <c r="G227" t="str">
        <f>VLOOKUP(TRIM(F227),[1]mss!$AA:$AA,1,0)</f>
        <v>BL I 563</v>
      </c>
      <c r="H227" t="s">
        <v>583</v>
      </c>
      <c r="J227" t="s">
        <v>8668</v>
      </c>
      <c r="L227">
        <f t="shared" si="6"/>
        <v>0</v>
      </c>
      <c r="R227" s="16" t="s">
        <v>8064</v>
      </c>
      <c r="S227" s="16" t="s">
        <v>8064</v>
      </c>
      <c r="T227" t="s">
        <v>7783</v>
      </c>
      <c r="U227">
        <v>0</v>
      </c>
      <c r="V227" t="s">
        <v>8655</v>
      </c>
      <c r="X227" t="s">
        <v>8659</v>
      </c>
      <c r="Y227">
        <f t="shared" si="7"/>
        <v>0</v>
      </c>
    </row>
    <row r="228" spans="1:25" hidden="1">
      <c r="A228" t="s">
        <v>7135</v>
      </c>
      <c r="B228" t="s">
        <v>453</v>
      </c>
      <c r="C228">
        <v>1137</v>
      </c>
      <c r="D228">
        <v>12</v>
      </c>
      <c r="E228" t="s">
        <v>4052</v>
      </c>
      <c r="F228" t="s">
        <v>584</v>
      </c>
      <c r="H228" t="s">
        <v>585</v>
      </c>
      <c r="J228" t="s">
        <v>8668</v>
      </c>
      <c r="L228">
        <f t="shared" si="6"/>
        <v>1</v>
      </c>
      <c r="M228" t="s">
        <v>6421</v>
      </c>
      <c r="N228" t="s">
        <v>6422</v>
      </c>
      <c r="O228" t="s">
        <v>6423</v>
      </c>
      <c r="P228">
        <v>352137</v>
      </c>
      <c r="Q228">
        <v>317683</v>
      </c>
      <c r="R228" s="16" t="s">
        <v>8407</v>
      </c>
      <c r="S228" s="16" t="s">
        <v>8111</v>
      </c>
      <c r="T228" t="s">
        <v>7135</v>
      </c>
      <c r="U228">
        <v>0</v>
      </c>
      <c r="V228" t="s">
        <v>8654</v>
      </c>
      <c r="W228" t="s">
        <v>6423</v>
      </c>
      <c r="X228" t="s">
        <v>8659</v>
      </c>
      <c r="Y228">
        <f t="shared" si="7"/>
        <v>1</v>
      </c>
    </row>
    <row r="229" spans="1:25" hidden="1">
      <c r="A229" t="s">
        <v>7169</v>
      </c>
      <c r="B229" t="s">
        <v>586</v>
      </c>
      <c r="C229">
        <v>1134</v>
      </c>
      <c r="D229">
        <v>12</v>
      </c>
      <c r="E229" t="s">
        <v>4193</v>
      </c>
      <c r="F229" t="s">
        <v>587</v>
      </c>
      <c r="H229" t="s">
        <v>588</v>
      </c>
      <c r="J229" t="s">
        <v>8668</v>
      </c>
      <c r="L229">
        <f t="shared" si="6"/>
        <v>1</v>
      </c>
      <c r="M229" t="s">
        <v>6653</v>
      </c>
      <c r="N229" t="s">
        <v>6654</v>
      </c>
      <c r="O229" t="s">
        <v>4016</v>
      </c>
      <c r="P229" t="s">
        <v>6655</v>
      </c>
      <c r="Q229" t="s">
        <v>6656</v>
      </c>
      <c r="R229" s="16" t="s">
        <v>8439</v>
      </c>
      <c r="S229" s="16" t="s">
        <v>8143</v>
      </c>
      <c r="T229" t="s">
        <v>7169</v>
      </c>
      <c r="U229">
        <v>0</v>
      </c>
      <c r="V229" t="s">
        <v>8654</v>
      </c>
      <c r="W229" t="s">
        <v>4016</v>
      </c>
      <c r="X229" t="s">
        <v>8659</v>
      </c>
      <c r="Y229">
        <f t="shared" si="7"/>
        <v>1</v>
      </c>
    </row>
    <row r="230" spans="1:25" hidden="1">
      <c r="A230" t="s">
        <v>7158</v>
      </c>
      <c r="B230" t="s">
        <v>589</v>
      </c>
      <c r="C230">
        <v>1136</v>
      </c>
      <c r="D230">
        <v>12</v>
      </c>
      <c r="E230" t="s">
        <v>3995</v>
      </c>
      <c r="F230" t="s">
        <v>590</v>
      </c>
      <c r="H230" t="s">
        <v>591</v>
      </c>
      <c r="J230" t="s">
        <v>8668</v>
      </c>
      <c r="L230">
        <f t="shared" si="6"/>
        <v>1</v>
      </c>
      <c r="M230" t="s">
        <v>3995</v>
      </c>
      <c r="N230" t="s">
        <v>3995</v>
      </c>
      <c r="O230" t="s">
        <v>3995</v>
      </c>
      <c r="P230" t="s">
        <v>6556</v>
      </c>
      <c r="Q230" t="s">
        <v>6557</v>
      </c>
      <c r="R230" s="16" t="s">
        <v>6556</v>
      </c>
      <c r="S230" s="16" t="s">
        <v>6557</v>
      </c>
      <c r="T230" t="s">
        <v>7158</v>
      </c>
      <c r="U230">
        <v>0</v>
      </c>
      <c r="V230" t="s">
        <v>8654</v>
      </c>
      <c r="W230" t="s">
        <v>3995</v>
      </c>
      <c r="X230" t="s">
        <v>8659</v>
      </c>
      <c r="Y230">
        <f t="shared" si="7"/>
        <v>1</v>
      </c>
    </row>
    <row r="231" spans="1:25" hidden="1">
      <c r="A231" t="s">
        <v>7157</v>
      </c>
      <c r="B231" t="s">
        <v>592</v>
      </c>
      <c r="C231">
        <v>1138</v>
      </c>
      <c r="D231">
        <v>12</v>
      </c>
      <c r="E231" t="s">
        <v>4178</v>
      </c>
      <c r="F231" t="s">
        <v>593</v>
      </c>
      <c r="H231" t="s">
        <v>594</v>
      </c>
      <c r="J231" t="s">
        <v>8668</v>
      </c>
      <c r="L231">
        <f t="shared" si="6"/>
        <v>1</v>
      </c>
      <c r="M231" t="s">
        <v>6302</v>
      </c>
      <c r="N231" t="s">
        <v>6302</v>
      </c>
      <c r="O231" t="s">
        <v>6303</v>
      </c>
      <c r="P231">
        <v>-66528</v>
      </c>
      <c r="Q231">
        <v>543503</v>
      </c>
      <c r="R231" s="16" t="s">
        <v>8435</v>
      </c>
      <c r="S231" s="16" t="s">
        <v>8139</v>
      </c>
      <c r="T231" t="s">
        <v>7157</v>
      </c>
      <c r="U231">
        <v>0</v>
      </c>
      <c r="V231" t="s">
        <v>8654</v>
      </c>
      <c r="W231" t="s">
        <v>6303</v>
      </c>
      <c r="X231" t="s">
        <v>8659</v>
      </c>
      <c r="Y231">
        <f t="shared" si="7"/>
        <v>1</v>
      </c>
    </row>
    <row r="232" spans="1:25" hidden="1">
      <c r="A232" t="s">
        <v>7579</v>
      </c>
      <c r="B232" t="s">
        <v>309</v>
      </c>
      <c r="C232">
        <v>1136</v>
      </c>
      <c r="D232">
        <v>12</v>
      </c>
      <c r="E232" t="s">
        <v>112</v>
      </c>
      <c r="F232" t="s">
        <v>1072</v>
      </c>
      <c r="G232" t="str">
        <f>VLOOKUP(TRIM(F232), [1]mss!$AA:$AA,1,0)</f>
        <v>Ox I 620</v>
      </c>
      <c r="H232" t="s">
        <v>310</v>
      </c>
      <c r="I232" t="s">
        <v>8928</v>
      </c>
      <c r="J232" t="s">
        <v>9091</v>
      </c>
      <c r="L232">
        <f t="shared" si="6"/>
        <v>1</v>
      </c>
      <c r="M232" t="s">
        <v>6684</v>
      </c>
      <c r="N232" t="s">
        <v>6346</v>
      </c>
      <c r="O232" t="s">
        <v>12</v>
      </c>
      <c r="P232" t="s">
        <v>6685</v>
      </c>
      <c r="Q232" t="s">
        <v>6686</v>
      </c>
      <c r="R232" s="16" t="s">
        <v>8420</v>
      </c>
      <c r="S232" s="16" t="s">
        <v>8124</v>
      </c>
      <c r="T232" t="s">
        <v>7885</v>
      </c>
      <c r="U232">
        <v>1</v>
      </c>
      <c r="V232" t="s">
        <v>8656</v>
      </c>
      <c r="W232" t="s">
        <v>12</v>
      </c>
      <c r="X232" t="s">
        <v>8663</v>
      </c>
      <c r="Y232">
        <f t="shared" si="7"/>
        <v>1</v>
      </c>
    </row>
    <row r="233" spans="1:25" s="19" customFormat="1" hidden="1">
      <c r="A233" s="19" t="s">
        <v>2068</v>
      </c>
      <c r="B233" s="19" t="s">
        <v>1369</v>
      </c>
      <c r="C233" s="19">
        <v>1136</v>
      </c>
      <c r="D233" s="19">
        <v>12</v>
      </c>
      <c r="E233" s="19" t="s">
        <v>4463</v>
      </c>
      <c r="F233" s="19" t="s">
        <v>4690</v>
      </c>
      <c r="G233" s="19" t="str">
        <f>VLOOKUP(TRIM(F233), [1]mss!$AA:$AA,1,0)</f>
        <v>Fr 3</v>
      </c>
      <c r="J233" s="19" t="s">
        <v>9009</v>
      </c>
      <c r="L233" s="19">
        <f t="shared" si="6"/>
        <v>1</v>
      </c>
      <c r="M233" s="19" t="s">
        <v>4463</v>
      </c>
      <c r="N233" s="19" t="s">
        <v>6364</v>
      </c>
      <c r="O233" s="19" t="s">
        <v>12</v>
      </c>
      <c r="P233" s="19" t="s">
        <v>6365</v>
      </c>
      <c r="Q233" s="19">
        <v>508360</v>
      </c>
      <c r="R233" s="21" t="s">
        <v>8423</v>
      </c>
      <c r="S233" s="21" t="s">
        <v>8127</v>
      </c>
      <c r="T233" s="19" t="s">
        <v>7946</v>
      </c>
      <c r="U233" s="19">
        <v>1</v>
      </c>
      <c r="V233" s="19" t="s">
        <v>8656</v>
      </c>
      <c r="W233" s="19" t="s">
        <v>12</v>
      </c>
      <c r="X233" s="19" t="s">
        <v>8660</v>
      </c>
      <c r="Y233" s="19">
        <f t="shared" si="7"/>
        <v>1</v>
      </c>
    </row>
    <row r="234" spans="1:25" hidden="1">
      <c r="A234" t="s">
        <v>7046</v>
      </c>
      <c r="B234" t="s">
        <v>599</v>
      </c>
      <c r="C234">
        <v>1142</v>
      </c>
      <c r="D234">
        <v>12</v>
      </c>
      <c r="E234" t="s">
        <v>4005</v>
      </c>
      <c r="F234" t="s">
        <v>600</v>
      </c>
      <c r="H234" t="s">
        <v>601</v>
      </c>
      <c r="I234" t="s">
        <v>8928</v>
      </c>
      <c r="J234" t="s">
        <v>8931</v>
      </c>
      <c r="L234">
        <f t="shared" si="6"/>
        <v>1</v>
      </c>
      <c r="M234" t="s">
        <v>6368</v>
      </c>
      <c r="N234" t="s">
        <v>6369</v>
      </c>
      <c r="O234" t="s">
        <v>104</v>
      </c>
      <c r="P234">
        <v>50860</v>
      </c>
      <c r="Q234">
        <v>472440</v>
      </c>
      <c r="R234" s="16" t="s">
        <v>8386</v>
      </c>
      <c r="S234" s="16" t="s">
        <v>8090</v>
      </c>
      <c r="T234" t="s">
        <v>7742</v>
      </c>
      <c r="U234">
        <v>1</v>
      </c>
      <c r="V234" t="s">
        <v>8656</v>
      </c>
      <c r="W234" t="s">
        <v>104</v>
      </c>
      <c r="X234" t="s">
        <v>8659</v>
      </c>
      <c r="Y234">
        <f t="shared" si="7"/>
        <v>1</v>
      </c>
    </row>
    <row r="235" spans="1:25" s="19" customFormat="1" hidden="1">
      <c r="A235" s="19" t="s">
        <v>7106</v>
      </c>
      <c r="B235" s="19" t="s">
        <v>480</v>
      </c>
      <c r="C235" s="19">
        <v>1137</v>
      </c>
      <c r="D235" s="19">
        <v>12</v>
      </c>
      <c r="E235" s="19" t="s">
        <v>3993</v>
      </c>
      <c r="F235" s="19" t="s">
        <v>573</v>
      </c>
      <c r="G235" s="19" t="e">
        <f>VLOOKUP(TRIM(F235), [1]mss!$AA:$AA,1,0)</f>
        <v>#N/A</v>
      </c>
      <c r="H235" s="19" t="s">
        <v>574</v>
      </c>
      <c r="I235" s="19" t="s">
        <v>8928</v>
      </c>
      <c r="J235" s="19" t="s">
        <v>8935</v>
      </c>
      <c r="L235" s="19">
        <f t="shared" si="6"/>
        <v>1</v>
      </c>
      <c r="M235" s="19" t="s">
        <v>6960</v>
      </c>
      <c r="N235" s="19" t="s">
        <v>6420</v>
      </c>
      <c r="O235" s="19" t="s">
        <v>12</v>
      </c>
      <c r="P235" s="19" t="s">
        <v>6961</v>
      </c>
      <c r="Q235" s="19" t="s">
        <v>6962</v>
      </c>
      <c r="R235" s="21" t="s">
        <v>8356</v>
      </c>
      <c r="S235" s="21" t="s">
        <v>8059</v>
      </c>
      <c r="T235" s="19" t="s">
        <v>7106</v>
      </c>
      <c r="U235" s="19">
        <v>1</v>
      </c>
      <c r="V235" s="19" t="s">
        <v>8656</v>
      </c>
      <c r="W235" s="19" t="s">
        <v>12</v>
      </c>
      <c r="X235" s="19" t="s">
        <v>8659</v>
      </c>
      <c r="Y235" s="19">
        <f t="shared" si="7"/>
        <v>1</v>
      </c>
    </row>
    <row r="236" spans="1:25" hidden="1">
      <c r="A236" t="s">
        <v>5571</v>
      </c>
      <c r="B236" t="s">
        <v>895</v>
      </c>
      <c r="C236">
        <v>1137</v>
      </c>
      <c r="D236">
        <v>12</v>
      </c>
      <c r="E236" t="s">
        <v>34</v>
      </c>
      <c r="F236" t="s">
        <v>896</v>
      </c>
      <c r="G236" t="str">
        <f>VLOOKUP(TRIM(F236), [1]mss!$AA:$AA,1,0)</f>
        <v>Ca I 65</v>
      </c>
      <c r="H236" t="s">
        <v>897</v>
      </c>
      <c r="J236" t="s">
        <v>8668</v>
      </c>
      <c r="L236">
        <f t="shared" si="6"/>
        <v>1</v>
      </c>
      <c r="M236" t="s">
        <v>6497</v>
      </c>
      <c r="N236" t="s">
        <v>6385</v>
      </c>
      <c r="O236" t="s">
        <v>12</v>
      </c>
      <c r="P236" t="s">
        <v>6968</v>
      </c>
      <c r="Q236" t="s">
        <v>6969</v>
      </c>
      <c r="R236" s="16" t="s">
        <v>8358</v>
      </c>
      <c r="S236" s="16" t="s">
        <v>8061</v>
      </c>
      <c r="T236" t="s">
        <v>5571</v>
      </c>
      <c r="U236">
        <v>0</v>
      </c>
      <c r="V236" t="s">
        <v>8654</v>
      </c>
      <c r="W236" t="s">
        <v>12</v>
      </c>
      <c r="X236" t="s">
        <v>3012</v>
      </c>
      <c r="Y236">
        <f t="shared" si="7"/>
        <v>1</v>
      </c>
    </row>
    <row r="237" spans="1:25" hidden="1">
      <c r="A237" t="s">
        <v>7603</v>
      </c>
      <c r="B237" t="s">
        <v>299</v>
      </c>
      <c r="C237">
        <v>1139</v>
      </c>
      <c r="D237">
        <v>12</v>
      </c>
      <c r="E237" t="s">
        <v>34</v>
      </c>
      <c r="F237" t="s">
        <v>1076</v>
      </c>
      <c r="G237" t="str">
        <f>VLOOKUP(TRIM(F237), [1]mss!$AA:$AA,1,0)</f>
        <v>Ox I 775</v>
      </c>
      <c r="H237" t="s">
        <v>297</v>
      </c>
      <c r="J237" t="s">
        <v>8668</v>
      </c>
      <c r="L237">
        <f t="shared" si="6"/>
        <v>1</v>
      </c>
      <c r="M237" t="s">
        <v>6497</v>
      </c>
      <c r="N237" t="s">
        <v>6385</v>
      </c>
      <c r="O237" t="s">
        <v>12</v>
      </c>
      <c r="P237" t="s">
        <v>6968</v>
      </c>
      <c r="Q237" t="s">
        <v>6969</v>
      </c>
      <c r="R237" s="16" t="s">
        <v>8358</v>
      </c>
      <c r="S237" s="16" t="s">
        <v>8061</v>
      </c>
      <c r="T237" t="s">
        <v>7893</v>
      </c>
      <c r="U237">
        <v>0</v>
      </c>
      <c r="V237" t="s">
        <v>8654</v>
      </c>
      <c r="W237" t="s">
        <v>12</v>
      </c>
      <c r="X237" t="s">
        <v>8663</v>
      </c>
      <c r="Y237">
        <f t="shared" si="7"/>
        <v>1</v>
      </c>
    </row>
    <row r="238" spans="1:25" hidden="1">
      <c r="A238" t="s">
        <v>7164</v>
      </c>
      <c r="B238" t="s">
        <v>608</v>
      </c>
      <c r="C238">
        <v>1148</v>
      </c>
      <c r="D238">
        <v>12</v>
      </c>
      <c r="E238" t="s">
        <v>4187</v>
      </c>
      <c r="F238" t="s">
        <v>611</v>
      </c>
      <c r="H238" t="s">
        <v>612</v>
      </c>
      <c r="J238" t="s">
        <v>8668</v>
      </c>
      <c r="L238">
        <f t="shared" si="6"/>
        <v>1</v>
      </c>
      <c r="M238" t="s">
        <v>6621</v>
      </c>
      <c r="N238" t="s">
        <v>6622</v>
      </c>
      <c r="O238" t="s">
        <v>3995</v>
      </c>
      <c r="P238" t="s">
        <v>6623</v>
      </c>
      <c r="Q238" t="s">
        <v>6624</v>
      </c>
      <c r="R238" s="16" t="s">
        <v>8437</v>
      </c>
      <c r="S238" s="16" t="s">
        <v>8141</v>
      </c>
      <c r="T238" t="s">
        <v>7164</v>
      </c>
      <c r="U238">
        <v>0</v>
      </c>
      <c r="V238" t="s">
        <v>8654</v>
      </c>
      <c r="W238" t="s">
        <v>3995</v>
      </c>
      <c r="X238" t="s">
        <v>8659</v>
      </c>
      <c r="Y238">
        <f t="shared" si="7"/>
        <v>1</v>
      </c>
    </row>
    <row r="239" spans="1:25" hidden="1">
      <c r="A239" t="s">
        <v>7165</v>
      </c>
      <c r="B239" t="s">
        <v>608</v>
      </c>
      <c r="C239">
        <v>1148</v>
      </c>
      <c r="D239">
        <v>12</v>
      </c>
      <c r="E239" t="s">
        <v>4187</v>
      </c>
      <c r="F239" t="s">
        <v>611</v>
      </c>
      <c r="H239" t="s">
        <v>612</v>
      </c>
      <c r="J239" t="s">
        <v>8668</v>
      </c>
      <c r="L239">
        <f t="shared" si="6"/>
        <v>1</v>
      </c>
      <c r="M239" t="s">
        <v>6621</v>
      </c>
      <c r="N239" t="s">
        <v>6622</v>
      </c>
      <c r="O239" t="s">
        <v>3995</v>
      </c>
      <c r="P239" t="s">
        <v>6623</v>
      </c>
      <c r="Q239" t="s">
        <v>6624</v>
      </c>
      <c r="R239" s="16" t="s">
        <v>8437</v>
      </c>
      <c r="S239" s="16" t="s">
        <v>8141</v>
      </c>
      <c r="T239" t="s">
        <v>7165</v>
      </c>
      <c r="U239">
        <v>0</v>
      </c>
      <c r="V239" t="s">
        <v>8654</v>
      </c>
      <c r="W239" t="s">
        <v>3995</v>
      </c>
      <c r="X239" t="s">
        <v>8659</v>
      </c>
      <c r="Y239">
        <f t="shared" si="7"/>
        <v>1</v>
      </c>
    </row>
    <row r="240" spans="1:25" hidden="1">
      <c r="A240" t="s">
        <v>7043</v>
      </c>
      <c r="B240" t="s">
        <v>454</v>
      </c>
      <c r="C240">
        <v>1140</v>
      </c>
      <c r="D240">
        <v>12</v>
      </c>
      <c r="E240" t="s">
        <v>3999</v>
      </c>
      <c r="F240" t="s">
        <v>595</v>
      </c>
      <c r="G240" t="str">
        <f>VLOOKUP(TRIM(F240), [1]mss!$AA:$AA,1,0)</f>
        <v>BL I 103</v>
      </c>
      <c r="H240" t="s">
        <v>596</v>
      </c>
      <c r="J240" s="5" t="s">
        <v>8704</v>
      </c>
      <c r="L240">
        <f t="shared" si="6"/>
        <v>1</v>
      </c>
      <c r="M240" t="s">
        <v>6693</v>
      </c>
      <c r="N240" t="s">
        <v>6397</v>
      </c>
      <c r="O240" t="s">
        <v>12</v>
      </c>
      <c r="P240" t="s">
        <v>6694</v>
      </c>
      <c r="Q240" t="s">
        <v>6695</v>
      </c>
      <c r="R240" s="16" t="s">
        <v>8384</v>
      </c>
      <c r="S240" s="16" t="s">
        <v>8088</v>
      </c>
      <c r="T240" t="s">
        <v>7043</v>
      </c>
      <c r="U240">
        <v>1</v>
      </c>
      <c r="V240" t="s">
        <v>8654</v>
      </c>
      <c r="W240" t="s">
        <v>12</v>
      </c>
      <c r="X240" t="s">
        <v>8659</v>
      </c>
      <c r="Y240">
        <f t="shared" si="7"/>
        <v>1</v>
      </c>
    </row>
    <row r="241" spans="1:25" hidden="1">
      <c r="A241" t="s">
        <v>7108</v>
      </c>
      <c r="B241" t="s">
        <v>454</v>
      </c>
      <c r="C241">
        <v>1140</v>
      </c>
      <c r="D241">
        <v>12</v>
      </c>
      <c r="E241" t="s">
        <v>4108</v>
      </c>
      <c r="F241" t="s">
        <v>597</v>
      </c>
      <c r="G241" t="str">
        <f>VLOOKUP(TRIM(F241), [1]mss!$AA:$AA,1,0)</f>
        <v>BL I 541</v>
      </c>
      <c r="H241" t="s">
        <v>598</v>
      </c>
      <c r="J241" t="s">
        <v>8718</v>
      </c>
      <c r="L241">
        <f t="shared" si="6"/>
        <v>1</v>
      </c>
      <c r="M241" t="s">
        <v>6348</v>
      </c>
      <c r="N241" t="s">
        <v>6349</v>
      </c>
      <c r="O241" t="s">
        <v>12</v>
      </c>
      <c r="P241">
        <v>10810</v>
      </c>
      <c r="Q241">
        <v>512810</v>
      </c>
      <c r="R241" s="16" t="s">
        <v>8360</v>
      </c>
      <c r="S241" s="16" t="s">
        <v>8063</v>
      </c>
      <c r="T241" t="s">
        <v>7768</v>
      </c>
      <c r="U241">
        <v>1</v>
      </c>
      <c r="V241" t="s">
        <v>8654</v>
      </c>
      <c r="W241" t="s">
        <v>12</v>
      </c>
      <c r="X241" t="s">
        <v>8659</v>
      </c>
      <c r="Y241">
        <f t="shared" si="7"/>
        <v>1</v>
      </c>
    </row>
    <row r="242" spans="1:25" hidden="1">
      <c r="A242" t="s">
        <v>7053</v>
      </c>
      <c r="B242" t="s">
        <v>459</v>
      </c>
      <c r="C242">
        <v>1155</v>
      </c>
      <c r="D242">
        <v>12</v>
      </c>
      <c r="E242" t="s">
        <v>4016</v>
      </c>
      <c r="F242" t="s">
        <v>617</v>
      </c>
      <c r="H242" t="s">
        <v>618</v>
      </c>
      <c r="J242" t="s">
        <v>8668</v>
      </c>
      <c r="L242">
        <f t="shared" si="6"/>
        <v>0</v>
      </c>
      <c r="R242" s="16" t="s">
        <v>8064</v>
      </c>
      <c r="S242" s="16" t="s">
        <v>8064</v>
      </c>
      <c r="T242" t="s">
        <v>7053</v>
      </c>
      <c r="U242">
        <v>0</v>
      </c>
      <c r="V242" t="s">
        <v>8655</v>
      </c>
      <c r="X242" t="s">
        <v>8659</v>
      </c>
      <c r="Y242">
        <f t="shared" si="7"/>
        <v>0</v>
      </c>
    </row>
    <row r="243" spans="1:25" hidden="1">
      <c r="A243" t="s">
        <v>7054</v>
      </c>
      <c r="B243" t="s">
        <v>459</v>
      </c>
      <c r="C243">
        <v>1155</v>
      </c>
      <c r="D243">
        <v>12</v>
      </c>
      <c r="E243" t="s">
        <v>4016</v>
      </c>
      <c r="F243" t="s">
        <v>617</v>
      </c>
      <c r="H243" t="s">
        <v>618</v>
      </c>
      <c r="J243" t="s">
        <v>8668</v>
      </c>
      <c r="L243">
        <f t="shared" si="6"/>
        <v>0</v>
      </c>
      <c r="R243" s="16" t="s">
        <v>8064</v>
      </c>
      <c r="S243" s="16" t="s">
        <v>8064</v>
      </c>
      <c r="T243" t="s">
        <v>7054</v>
      </c>
      <c r="U243">
        <v>0</v>
      </c>
      <c r="V243" t="s">
        <v>8655</v>
      </c>
      <c r="X243" t="s">
        <v>8659</v>
      </c>
      <c r="Y243">
        <f t="shared" si="7"/>
        <v>0</v>
      </c>
    </row>
    <row r="244" spans="1:25" hidden="1">
      <c r="A244" t="s">
        <v>7045</v>
      </c>
      <c r="B244" t="s">
        <v>619</v>
      </c>
      <c r="C244">
        <v>1163</v>
      </c>
      <c r="D244">
        <v>12</v>
      </c>
      <c r="E244" t="s">
        <v>4003</v>
      </c>
      <c r="F244" t="s">
        <v>620</v>
      </c>
      <c r="H244" t="s">
        <v>621</v>
      </c>
      <c r="J244" t="s">
        <v>8668</v>
      </c>
      <c r="L244">
        <f t="shared" si="6"/>
        <v>0</v>
      </c>
      <c r="R244" s="16" t="s">
        <v>8064</v>
      </c>
      <c r="S244" s="16" t="s">
        <v>8064</v>
      </c>
      <c r="T244" t="s">
        <v>7045</v>
      </c>
      <c r="U244">
        <v>0</v>
      </c>
      <c r="V244" t="s">
        <v>8655</v>
      </c>
      <c r="X244" t="s">
        <v>8659</v>
      </c>
      <c r="Y244">
        <f t="shared" si="7"/>
        <v>0</v>
      </c>
    </row>
    <row r="245" spans="1:25" hidden="1">
      <c r="A245" t="s">
        <v>7044</v>
      </c>
      <c r="B245" t="s">
        <v>608</v>
      </c>
      <c r="C245">
        <v>1148</v>
      </c>
      <c r="D245">
        <v>12</v>
      </c>
      <c r="E245" t="s">
        <v>4001</v>
      </c>
      <c r="F245" t="s">
        <v>609</v>
      </c>
      <c r="H245" t="s">
        <v>610</v>
      </c>
      <c r="I245" t="s">
        <v>8928</v>
      </c>
      <c r="J245" t="s">
        <v>8930</v>
      </c>
      <c r="L245">
        <f t="shared" si="6"/>
        <v>1</v>
      </c>
      <c r="M245" t="s">
        <v>6493</v>
      </c>
      <c r="N245" t="s">
        <v>6473</v>
      </c>
      <c r="O245" t="s">
        <v>11</v>
      </c>
      <c r="P245">
        <v>123155</v>
      </c>
      <c r="Q245">
        <v>454408</v>
      </c>
      <c r="R245" s="16" t="s">
        <v>8385</v>
      </c>
      <c r="S245" s="16" t="s">
        <v>8089</v>
      </c>
      <c r="T245" t="s">
        <v>7044</v>
      </c>
      <c r="U245">
        <v>1</v>
      </c>
      <c r="V245" t="s">
        <v>8656</v>
      </c>
      <c r="W245" t="s">
        <v>11</v>
      </c>
      <c r="X245" t="s">
        <v>8659</v>
      </c>
      <c r="Y245">
        <f t="shared" si="7"/>
        <v>1</v>
      </c>
    </row>
    <row r="246" spans="1:25" hidden="1">
      <c r="A246" t="s">
        <v>7095</v>
      </c>
      <c r="B246" t="s">
        <v>449</v>
      </c>
      <c r="C246">
        <v>1141</v>
      </c>
      <c r="D246">
        <v>12</v>
      </c>
      <c r="E246" t="s">
        <v>13</v>
      </c>
      <c r="F246" t="s">
        <v>571</v>
      </c>
      <c r="G246" t="e">
        <f>VLOOKUP(TRIM(F246), [1]mss!$AA:$AA,1,0)</f>
        <v>#N/A</v>
      </c>
      <c r="H246" t="s">
        <v>572</v>
      </c>
      <c r="J246" t="s">
        <v>8668</v>
      </c>
      <c r="L246">
        <f t="shared" si="6"/>
        <v>1</v>
      </c>
      <c r="M246" t="s">
        <v>6348</v>
      </c>
      <c r="N246" t="s">
        <v>6349</v>
      </c>
      <c r="O246" t="s">
        <v>12</v>
      </c>
      <c r="P246">
        <v>10810</v>
      </c>
      <c r="Q246">
        <v>512810</v>
      </c>
      <c r="R246" s="16" t="s">
        <v>8360</v>
      </c>
      <c r="S246" s="16" t="s">
        <v>8063</v>
      </c>
      <c r="T246" t="s">
        <v>7759</v>
      </c>
      <c r="U246">
        <v>0</v>
      </c>
      <c r="V246" t="s">
        <v>8654</v>
      </c>
      <c r="W246" t="s">
        <v>12</v>
      </c>
      <c r="X246" t="s">
        <v>8659</v>
      </c>
      <c r="Y246">
        <f t="shared" si="7"/>
        <v>1</v>
      </c>
    </row>
    <row r="247" spans="1:25" hidden="1">
      <c r="A247" t="s">
        <v>7176</v>
      </c>
      <c r="B247" t="s">
        <v>461</v>
      </c>
      <c r="C247">
        <v>1178</v>
      </c>
      <c r="D247">
        <v>12</v>
      </c>
      <c r="E247" t="s">
        <v>4204</v>
      </c>
      <c r="F247" t="s">
        <v>624</v>
      </c>
      <c r="H247" t="s">
        <v>625</v>
      </c>
      <c r="J247" t="s">
        <v>8668</v>
      </c>
      <c r="L247">
        <f t="shared" si="6"/>
        <v>1</v>
      </c>
      <c r="M247" t="s">
        <v>6574</v>
      </c>
      <c r="N247" t="s">
        <v>6575</v>
      </c>
      <c r="O247" t="s">
        <v>3995</v>
      </c>
      <c r="P247" t="s">
        <v>6576</v>
      </c>
      <c r="Q247" t="s">
        <v>6577</v>
      </c>
      <c r="R247" s="16" t="s">
        <v>8443</v>
      </c>
      <c r="S247" s="16" t="s">
        <v>8147</v>
      </c>
      <c r="T247" t="s">
        <v>7176</v>
      </c>
      <c r="U247">
        <v>0</v>
      </c>
      <c r="V247" t="s">
        <v>8654</v>
      </c>
      <c r="W247" t="s">
        <v>3995</v>
      </c>
      <c r="X247" t="s">
        <v>8659</v>
      </c>
      <c r="Y247">
        <f t="shared" si="7"/>
        <v>1</v>
      </c>
    </row>
    <row r="248" spans="1:25">
      <c r="A248" t="s">
        <v>7146</v>
      </c>
      <c r="B248" t="s">
        <v>462</v>
      </c>
      <c r="C248">
        <v>1169</v>
      </c>
      <c r="D248">
        <v>12</v>
      </c>
      <c r="E248" t="s">
        <v>12</v>
      </c>
      <c r="F248" t="s">
        <v>626</v>
      </c>
      <c r="G248" t="str">
        <f>VLOOKUP(TRIM(F248),[1]mss!$AA:$AA,1,0)</f>
        <v>BL I 626</v>
      </c>
      <c r="H248" t="s">
        <v>627</v>
      </c>
      <c r="J248" t="s">
        <v>8668</v>
      </c>
      <c r="L248">
        <f t="shared" si="6"/>
        <v>0</v>
      </c>
      <c r="R248" s="16" t="s">
        <v>8064</v>
      </c>
      <c r="S248" s="16" t="s">
        <v>8064</v>
      </c>
      <c r="T248" t="s">
        <v>7146</v>
      </c>
      <c r="U248">
        <v>0</v>
      </c>
      <c r="V248" t="s">
        <v>8655</v>
      </c>
      <c r="X248" t="s">
        <v>8659</v>
      </c>
      <c r="Y248">
        <f t="shared" si="7"/>
        <v>0</v>
      </c>
    </row>
    <row r="249" spans="1:25">
      <c r="A249" t="s">
        <v>7088</v>
      </c>
      <c r="B249" t="s">
        <v>628</v>
      </c>
      <c r="C249">
        <v>1171</v>
      </c>
      <c r="D249">
        <v>12</v>
      </c>
      <c r="E249" t="s">
        <v>12</v>
      </c>
      <c r="F249" t="s">
        <v>629</v>
      </c>
      <c r="G249" t="str">
        <f>VLOOKUP(TRIM(F249),[1]mss!$AA:$AA,1,0)</f>
        <v>BL I 519</v>
      </c>
      <c r="H249" t="s">
        <v>630</v>
      </c>
      <c r="I249" t="s">
        <v>8928</v>
      </c>
      <c r="J249" t="s">
        <v>8795</v>
      </c>
      <c r="L249">
        <f t="shared" si="6"/>
        <v>0</v>
      </c>
      <c r="R249" s="16" t="s">
        <v>8064</v>
      </c>
      <c r="S249" s="16" t="s">
        <v>8064</v>
      </c>
      <c r="T249" t="s">
        <v>7752</v>
      </c>
      <c r="U249">
        <v>1</v>
      </c>
      <c r="V249" t="s">
        <v>8655</v>
      </c>
      <c r="X249" t="s">
        <v>8659</v>
      </c>
      <c r="Y249">
        <f t="shared" si="7"/>
        <v>0</v>
      </c>
    </row>
    <row r="250" spans="1:25" hidden="1">
      <c r="A250" t="s">
        <v>7159</v>
      </c>
      <c r="B250" t="s">
        <v>631</v>
      </c>
      <c r="C250">
        <v>1172</v>
      </c>
      <c r="D250">
        <v>12</v>
      </c>
      <c r="E250" t="s">
        <v>4181</v>
      </c>
      <c r="F250" t="s">
        <v>632</v>
      </c>
      <c r="H250" t="s">
        <v>633</v>
      </c>
      <c r="J250" t="s">
        <v>8668</v>
      </c>
      <c r="L250">
        <f t="shared" si="6"/>
        <v>1</v>
      </c>
      <c r="M250" t="s">
        <v>6304</v>
      </c>
      <c r="N250" t="s">
        <v>6291</v>
      </c>
      <c r="O250" t="s">
        <v>3995</v>
      </c>
      <c r="P250">
        <v>97940</v>
      </c>
      <c r="Q250">
        <v>499820</v>
      </c>
      <c r="R250" s="16" t="s">
        <v>8436</v>
      </c>
      <c r="S250" s="16" t="s">
        <v>8140</v>
      </c>
      <c r="T250" t="s">
        <v>7159</v>
      </c>
      <c r="U250">
        <v>0</v>
      </c>
      <c r="V250" t="s">
        <v>8654</v>
      </c>
      <c r="W250" t="s">
        <v>3995</v>
      </c>
      <c r="X250" t="s">
        <v>8659</v>
      </c>
      <c r="Y250">
        <f t="shared" si="7"/>
        <v>1</v>
      </c>
    </row>
    <row r="251" spans="1:25" hidden="1">
      <c r="A251" t="s">
        <v>7160</v>
      </c>
      <c r="B251" t="s">
        <v>631</v>
      </c>
      <c r="C251">
        <v>1172</v>
      </c>
      <c r="D251">
        <v>12</v>
      </c>
      <c r="E251" t="s">
        <v>4181</v>
      </c>
      <c r="F251" t="s">
        <v>632</v>
      </c>
      <c r="H251" t="s">
        <v>633</v>
      </c>
      <c r="J251" t="s">
        <v>8668</v>
      </c>
      <c r="L251">
        <f t="shared" si="6"/>
        <v>1</v>
      </c>
      <c r="M251" t="s">
        <v>6304</v>
      </c>
      <c r="N251" t="s">
        <v>6291</v>
      </c>
      <c r="O251" t="s">
        <v>3995</v>
      </c>
      <c r="P251">
        <v>97940</v>
      </c>
      <c r="Q251">
        <v>499820</v>
      </c>
      <c r="R251" s="16" t="s">
        <v>8436</v>
      </c>
      <c r="S251" s="16" t="s">
        <v>8140</v>
      </c>
      <c r="T251" t="s">
        <v>7160</v>
      </c>
      <c r="U251">
        <v>0</v>
      </c>
      <c r="V251" t="s">
        <v>8654</v>
      </c>
      <c r="W251" t="s">
        <v>3995</v>
      </c>
      <c r="X251" t="s">
        <v>8659</v>
      </c>
      <c r="Y251">
        <f t="shared" si="7"/>
        <v>1</v>
      </c>
    </row>
    <row r="252" spans="1:25" hidden="1">
      <c r="A252" t="s">
        <v>7161</v>
      </c>
      <c r="B252" t="s">
        <v>464</v>
      </c>
      <c r="C252">
        <v>1172</v>
      </c>
      <c r="D252">
        <v>12</v>
      </c>
      <c r="E252" t="s">
        <v>4181</v>
      </c>
      <c r="F252" t="s">
        <v>636</v>
      </c>
      <c r="H252" t="s">
        <v>637</v>
      </c>
      <c r="J252" t="s">
        <v>8668</v>
      </c>
      <c r="L252">
        <f t="shared" si="6"/>
        <v>1</v>
      </c>
      <c r="M252" t="s">
        <v>6304</v>
      </c>
      <c r="N252" t="s">
        <v>6291</v>
      </c>
      <c r="O252" t="s">
        <v>3995</v>
      </c>
      <c r="P252">
        <v>97940</v>
      </c>
      <c r="Q252">
        <v>499820</v>
      </c>
      <c r="R252" s="16" t="s">
        <v>8436</v>
      </c>
      <c r="S252" s="16" t="s">
        <v>8140</v>
      </c>
      <c r="T252" t="s">
        <v>7161</v>
      </c>
      <c r="U252">
        <v>0</v>
      </c>
      <c r="V252" t="s">
        <v>8654</v>
      </c>
      <c r="W252" t="s">
        <v>3995</v>
      </c>
      <c r="X252" t="s">
        <v>8659</v>
      </c>
      <c r="Y252">
        <f t="shared" si="7"/>
        <v>1</v>
      </c>
    </row>
    <row r="253" spans="1:25" hidden="1">
      <c r="A253" t="s">
        <v>7162</v>
      </c>
      <c r="B253" t="s">
        <v>464</v>
      </c>
      <c r="C253">
        <v>1172</v>
      </c>
      <c r="D253">
        <v>12</v>
      </c>
      <c r="E253" t="s">
        <v>4181</v>
      </c>
      <c r="F253" t="s">
        <v>636</v>
      </c>
      <c r="H253" t="s">
        <v>637</v>
      </c>
      <c r="J253" t="s">
        <v>8668</v>
      </c>
      <c r="L253">
        <f t="shared" si="6"/>
        <v>1</v>
      </c>
      <c r="M253" t="s">
        <v>6304</v>
      </c>
      <c r="N253" t="s">
        <v>6291</v>
      </c>
      <c r="O253" t="s">
        <v>3995</v>
      </c>
      <c r="P253">
        <v>97940</v>
      </c>
      <c r="Q253">
        <v>499820</v>
      </c>
      <c r="R253" s="16" t="s">
        <v>8436</v>
      </c>
      <c r="S253" s="16" t="s">
        <v>8140</v>
      </c>
      <c r="T253" t="s">
        <v>7162</v>
      </c>
      <c r="U253">
        <v>0</v>
      </c>
      <c r="V253" t="s">
        <v>8654</v>
      </c>
      <c r="W253" t="s">
        <v>3995</v>
      </c>
      <c r="X253" t="s">
        <v>8659</v>
      </c>
      <c r="Y253">
        <f t="shared" si="7"/>
        <v>1</v>
      </c>
    </row>
    <row r="254" spans="1:25" hidden="1">
      <c r="A254" t="s">
        <v>7163</v>
      </c>
      <c r="B254" t="s">
        <v>464</v>
      </c>
      <c r="C254">
        <v>1172</v>
      </c>
      <c r="D254">
        <v>12</v>
      </c>
      <c r="E254" t="s">
        <v>4181</v>
      </c>
      <c r="F254" t="s">
        <v>636</v>
      </c>
      <c r="H254" t="s">
        <v>637</v>
      </c>
      <c r="J254" t="s">
        <v>8668</v>
      </c>
      <c r="L254">
        <f t="shared" si="6"/>
        <v>1</v>
      </c>
      <c r="M254" t="s">
        <v>6304</v>
      </c>
      <c r="N254" t="s">
        <v>6291</v>
      </c>
      <c r="O254" t="s">
        <v>3995</v>
      </c>
      <c r="P254">
        <v>97940</v>
      </c>
      <c r="Q254">
        <v>499820</v>
      </c>
      <c r="R254" s="16" t="s">
        <v>8436</v>
      </c>
      <c r="S254" s="16" t="s">
        <v>8140</v>
      </c>
      <c r="T254" t="s">
        <v>7163</v>
      </c>
      <c r="U254">
        <v>0</v>
      </c>
      <c r="V254" t="s">
        <v>8654</v>
      </c>
      <c r="W254" t="s">
        <v>3995</v>
      </c>
      <c r="X254" t="s">
        <v>8659</v>
      </c>
      <c r="Y254">
        <f t="shared" si="7"/>
        <v>1</v>
      </c>
    </row>
    <row r="255" spans="1:25" hidden="1">
      <c r="A255" t="s">
        <v>7168</v>
      </c>
      <c r="B255" t="s">
        <v>463</v>
      </c>
      <c r="C255">
        <v>1172</v>
      </c>
      <c r="D255">
        <v>12</v>
      </c>
      <c r="E255" t="s">
        <v>4181</v>
      </c>
      <c r="F255" t="s">
        <v>634</v>
      </c>
      <c r="H255" t="s">
        <v>635</v>
      </c>
      <c r="J255" t="s">
        <v>8668</v>
      </c>
      <c r="L255">
        <f t="shared" si="6"/>
        <v>1</v>
      </c>
      <c r="M255" t="s">
        <v>6304</v>
      </c>
      <c r="N255" t="s">
        <v>6291</v>
      </c>
      <c r="O255" t="s">
        <v>3995</v>
      </c>
      <c r="P255">
        <v>97940</v>
      </c>
      <c r="Q255">
        <v>499820</v>
      </c>
      <c r="R255" s="16" t="s">
        <v>8436</v>
      </c>
      <c r="S255" s="16" t="s">
        <v>8140</v>
      </c>
      <c r="T255" t="s">
        <v>7168</v>
      </c>
      <c r="U255">
        <v>0</v>
      </c>
      <c r="V255" t="s">
        <v>8654</v>
      </c>
      <c r="W255" t="s">
        <v>3995</v>
      </c>
      <c r="X255" t="s">
        <v>8659</v>
      </c>
      <c r="Y255">
        <f t="shared" si="7"/>
        <v>1</v>
      </c>
    </row>
    <row r="256" spans="1:25" hidden="1">
      <c r="A256" t="s">
        <v>7076</v>
      </c>
      <c r="B256" t="s">
        <v>455</v>
      </c>
      <c r="C256">
        <v>1146</v>
      </c>
      <c r="D256">
        <v>12</v>
      </c>
      <c r="E256" t="s">
        <v>4049</v>
      </c>
      <c r="F256" t="s">
        <v>602</v>
      </c>
      <c r="G256" t="str">
        <f>VLOOKUP(TRIM(F256), [1]mss!$AA:$AA,1,0)</f>
        <v>BL I 417</v>
      </c>
      <c r="H256" t="s">
        <v>603</v>
      </c>
      <c r="J256" t="s">
        <v>8710</v>
      </c>
      <c r="L256">
        <f t="shared" si="6"/>
        <v>1</v>
      </c>
      <c r="M256" t="s">
        <v>4364</v>
      </c>
      <c r="N256" t="s">
        <v>6355</v>
      </c>
      <c r="O256" t="s">
        <v>12</v>
      </c>
      <c r="P256" t="s">
        <v>6833</v>
      </c>
      <c r="Q256" t="s">
        <v>6834</v>
      </c>
      <c r="R256" s="16" t="s">
        <v>8404</v>
      </c>
      <c r="S256" s="16" t="s">
        <v>8108</v>
      </c>
      <c r="T256" t="s">
        <v>7076</v>
      </c>
      <c r="U256">
        <v>1</v>
      </c>
      <c r="V256" t="s">
        <v>8654</v>
      </c>
      <c r="W256" t="s">
        <v>12</v>
      </c>
      <c r="X256" t="s">
        <v>8659</v>
      </c>
      <c r="Y256">
        <f t="shared" si="7"/>
        <v>1</v>
      </c>
    </row>
    <row r="257" spans="1:25" hidden="1">
      <c r="A257" t="s">
        <v>7645</v>
      </c>
      <c r="B257" t="s">
        <v>1154</v>
      </c>
      <c r="C257">
        <v>1148</v>
      </c>
      <c r="D257">
        <v>12</v>
      </c>
      <c r="E257" t="s">
        <v>3993</v>
      </c>
      <c r="F257" t="s">
        <v>1155</v>
      </c>
      <c r="G257" t="str">
        <f>VLOOKUP(TRIM(F257), [1]mss!$AA:$AA,1,0)</f>
        <v>Lo I 152</v>
      </c>
      <c r="H257" t="s">
        <v>1156</v>
      </c>
      <c r="J257" t="s">
        <v>8668</v>
      </c>
      <c r="L257">
        <f t="shared" si="6"/>
        <v>1</v>
      </c>
      <c r="M257" t="s">
        <v>6960</v>
      </c>
      <c r="N257" t="s">
        <v>6420</v>
      </c>
      <c r="O257" t="s">
        <v>12</v>
      </c>
      <c r="P257" t="s">
        <v>6961</v>
      </c>
      <c r="Q257" t="s">
        <v>6962</v>
      </c>
      <c r="R257" s="16" t="s">
        <v>8356</v>
      </c>
      <c r="S257" s="16" t="s">
        <v>8059</v>
      </c>
      <c r="T257" t="s">
        <v>7645</v>
      </c>
      <c r="U257">
        <v>0</v>
      </c>
      <c r="V257" t="s">
        <v>8654</v>
      </c>
      <c r="W257" t="s">
        <v>12</v>
      </c>
      <c r="X257" t="s">
        <v>8661</v>
      </c>
      <c r="Y257">
        <f t="shared" si="7"/>
        <v>1</v>
      </c>
    </row>
    <row r="258" spans="1:25" hidden="1">
      <c r="A258" t="s">
        <v>5405</v>
      </c>
      <c r="B258" t="s">
        <v>972</v>
      </c>
      <c r="C258">
        <v>1204</v>
      </c>
      <c r="D258">
        <v>13</v>
      </c>
      <c r="E258" t="s">
        <v>4291</v>
      </c>
      <c r="F258" t="s">
        <v>973</v>
      </c>
      <c r="H258" t="s">
        <v>974</v>
      </c>
      <c r="J258" t="s">
        <v>8668</v>
      </c>
      <c r="L258">
        <f t="shared" ref="L258:L321" si="8">IF(M258&lt;&gt;"",1,0)</f>
        <v>1</v>
      </c>
      <c r="M258" t="s">
        <v>6444</v>
      </c>
      <c r="N258" t="s">
        <v>6416</v>
      </c>
      <c r="O258" t="s">
        <v>11</v>
      </c>
      <c r="P258">
        <v>95030</v>
      </c>
      <c r="Q258">
        <v>453140</v>
      </c>
      <c r="R258" s="16" t="s">
        <v>8548</v>
      </c>
      <c r="S258" s="16" t="s">
        <v>8254</v>
      </c>
      <c r="T258" t="s">
        <v>7909</v>
      </c>
      <c r="U258">
        <v>0</v>
      </c>
      <c r="V258" t="s">
        <v>8654</v>
      </c>
      <c r="W258" t="s">
        <v>11</v>
      </c>
      <c r="X258" t="s">
        <v>3012</v>
      </c>
      <c r="Y258">
        <f t="shared" ref="Y258:Y321" si="9">IF(OR(V258="Loc",V258="IIIF"),1,0)</f>
        <v>1</v>
      </c>
    </row>
    <row r="259" spans="1:25">
      <c r="A259" t="s">
        <v>8800</v>
      </c>
      <c r="B259" t="s">
        <v>975</v>
      </c>
      <c r="C259">
        <v>1212</v>
      </c>
      <c r="D259">
        <v>13</v>
      </c>
      <c r="E259" t="s">
        <v>12</v>
      </c>
      <c r="F259" t="s">
        <v>976</v>
      </c>
      <c r="G259" t="str">
        <f>VLOOKUP(TRIM(F259),[1]mss!$AA:$AA,1,0)</f>
        <v>Ca I 151</v>
      </c>
      <c r="H259" t="s">
        <v>977</v>
      </c>
      <c r="I259" t="s">
        <v>8928</v>
      </c>
      <c r="J259" t="s">
        <v>8801</v>
      </c>
      <c r="L259">
        <f t="shared" si="8"/>
        <v>0</v>
      </c>
      <c r="R259" s="16" t="s">
        <v>8064</v>
      </c>
      <c r="S259" s="16" t="s">
        <v>8064</v>
      </c>
      <c r="T259" t="s">
        <v>7211</v>
      </c>
      <c r="U259">
        <v>1</v>
      </c>
      <c r="V259" t="s">
        <v>8655</v>
      </c>
      <c r="X259" t="s">
        <v>3012</v>
      </c>
      <c r="Y259">
        <f t="shared" si="9"/>
        <v>0</v>
      </c>
    </row>
    <row r="260" spans="1:25" hidden="1">
      <c r="A260" t="s">
        <v>7550</v>
      </c>
      <c r="B260" t="s">
        <v>26</v>
      </c>
      <c r="C260">
        <v>1148</v>
      </c>
      <c r="D260">
        <v>12</v>
      </c>
      <c r="E260" t="s">
        <v>27</v>
      </c>
      <c r="F260" t="s">
        <v>1077</v>
      </c>
      <c r="G260" t="str">
        <f>VLOOKUP(TRIM(F260), [1]mss!$AA:$AA,1,0)</f>
        <v>Ox I 42</v>
      </c>
      <c r="H260" t="s">
        <v>298</v>
      </c>
      <c r="J260" t="s">
        <v>8668</v>
      </c>
      <c r="L260">
        <f t="shared" si="8"/>
        <v>1</v>
      </c>
      <c r="M260" t="s">
        <v>6486</v>
      </c>
      <c r="N260" t="s">
        <v>6487</v>
      </c>
      <c r="O260" t="s">
        <v>12</v>
      </c>
      <c r="P260" t="s">
        <v>6488</v>
      </c>
      <c r="Q260">
        <v>517520</v>
      </c>
      <c r="R260" s="16" t="s">
        <v>8357</v>
      </c>
      <c r="S260" s="16" t="s">
        <v>8060</v>
      </c>
      <c r="T260" t="s">
        <v>7877</v>
      </c>
      <c r="U260">
        <v>0</v>
      </c>
      <c r="V260" t="s">
        <v>8654</v>
      </c>
      <c r="W260" t="s">
        <v>12</v>
      </c>
      <c r="X260" t="s">
        <v>8663</v>
      </c>
      <c r="Y260">
        <f t="shared" si="9"/>
        <v>1</v>
      </c>
    </row>
    <row r="261" spans="1:25" hidden="1">
      <c r="A261" t="s">
        <v>7249</v>
      </c>
      <c r="B261" t="s">
        <v>981</v>
      </c>
      <c r="C261">
        <v>1219</v>
      </c>
      <c r="D261">
        <v>13</v>
      </c>
      <c r="E261" t="s">
        <v>22</v>
      </c>
      <c r="F261" t="s">
        <v>982</v>
      </c>
      <c r="H261" t="s">
        <v>983</v>
      </c>
      <c r="J261" s="5" t="s">
        <v>8693</v>
      </c>
      <c r="L261">
        <f t="shared" si="8"/>
        <v>1</v>
      </c>
      <c r="M261" t="s">
        <v>4502</v>
      </c>
      <c r="N261" t="s">
        <v>6456</v>
      </c>
      <c r="O261" t="s">
        <v>104</v>
      </c>
      <c r="P261">
        <v>23522</v>
      </c>
      <c r="Q261">
        <v>488566</v>
      </c>
      <c r="R261" s="16" t="s">
        <v>8364</v>
      </c>
      <c r="S261" s="16" t="s">
        <v>8069</v>
      </c>
      <c r="T261" t="s">
        <v>7809</v>
      </c>
      <c r="U261">
        <v>1</v>
      </c>
      <c r="V261" t="s">
        <v>8654</v>
      </c>
      <c r="W261" t="s">
        <v>104</v>
      </c>
      <c r="X261" t="s">
        <v>3012</v>
      </c>
      <c r="Y261">
        <f t="shared" si="9"/>
        <v>1</v>
      </c>
    </row>
    <row r="262" spans="1:25" hidden="1">
      <c r="A262" t="s">
        <v>7131</v>
      </c>
      <c r="B262" t="s">
        <v>457</v>
      </c>
      <c r="C262">
        <v>1151</v>
      </c>
      <c r="D262">
        <v>12</v>
      </c>
      <c r="E262" t="s">
        <v>4140</v>
      </c>
      <c r="F262" t="s">
        <v>613</v>
      </c>
      <c r="G262" t="str">
        <f>VLOOKUP(TRIM(F262), [1]mss!$AA:$AA,1,0)</f>
        <v>BL I 574</v>
      </c>
      <c r="H262" t="s">
        <v>614</v>
      </c>
      <c r="I262" t="s">
        <v>8928</v>
      </c>
      <c r="J262" t="s">
        <v>8943</v>
      </c>
      <c r="L262">
        <f t="shared" si="8"/>
        <v>1</v>
      </c>
      <c r="M262" t="s">
        <v>4463</v>
      </c>
      <c r="N262" t="s">
        <v>6364</v>
      </c>
      <c r="O262" t="s">
        <v>12</v>
      </c>
      <c r="P262" t="s">
        <v>6365</v>
      </c>
      <c r="Q262">
        <v>508360</v>
      </c>
      <c r="R262" s="16" t="s">
        <v>8423</v>
      </c>
      <c r="S262" s="16" t="s">
        <v>8127</v>
      </c>
      <c r="T262" t="s">
        <v>7787</v>
      </c>
      <c r="U262">
        <v>1</v>
      </c>
      <c r="V262" t="s">
        <v>8656</v>
      </c>
      <c r="W262" t="s">
        <v>12</v>
      </c>
      <c r="X262" t="s">
        <v>8659</v>
      </c>
      <c r="Y262">
        <f t="shared" si="9"/>
        <v>1</v>
      </c>
    </row>
    <row r="263" spans="1:25" hidden="1">
      <c r="A263" t="s">
        <v>7246</v>
      </c>
      <c r="B263" t="s">
        <v>459</v>
      </c>
      <c r="C263">
        <v>1155</v>
      </c>
      <c r="D263">
        <v>12</v>
      </c>
      <c r="E263" t="s">
        <v>13</v>
      </c>
      <c r="F263" t="s">
        <v>910</v>
      </c>
      <c r="G263" t="str">
        <f>VLOOKUP(TRIM(F263), [1]mss!$AA:$AA,1,0)</f>
        <v>Ca I 336</v>
      </c>
      <c r="H263" t="s">
        <v>911</v>
      </c>
      <c r="J263" t="s">
        <v>8679</v>
      </c>
      <c r="L263">
        <f t="shared" si="8"/>
        <v>1</v>
      </c>
      <c r="M263" t="s">
        <v>6348</v>
      </c>
      <c r="N263" t="s">
        <v>6349</v>
      </c>
      <c r="O263" t="s">
        <v>12</v>
      </c>
      <c r="P263">
        <v>10810</v>
      </c>
      <c r="Q263">
        <v>512810</v>
      </c>
      <c r="R263" s="16" t="s">
        <v>8360</v>
      </c>
      <c r="S263" s="16" t="s">
        <v>8063</v>
      </c>
      <c r="T263" t="s">
        <v>7246</v>
      </c>
      <c r="U263">
        <v>1</v>
      </c>
      <c r="V263" t="s">
        <v>8654</v>
      </c>
      <c r="W263" t="s">
        <v>12</v>
      </c>
      <c r="X263" t="s">
        <v>3012</v>
      </c>
      <c r="Y263">
        <f t="shared" si="9"/>
        <v>1</v>
      </c>
    </row>
    <row r="264" spans="1:25" hidden="1">
      <c r="A264" t="s">
        <v>7253</v>
      </c>
      <c r="B264" t="s">
        <v>904</v>
      </c>
      <c r="C264">
        <v>1157</v>
      </c>
      <c r="D264">
        <v>12</v>
      </c>
      <c r="E264" t="s">
        <v>13</v>
      </c>
      <c r="F264" t="s">
        <v>905</v>
      </c>
      <c r="G264" t="str">
        <f>VLOOKUP(TRIM(F264), [1]mss!$AA:$AA,1,0)</f>
        <v>Ca I 358</v>
      </c>
      <c r="H264" t="s">
        <v>906</v>
      </c>
      <c r="J264" s="5" t="s">
        <v>8692</v>
      </c>
      <c r="L264">
        <f t="shared" si="8"/>
        <v>1</v>
      </c>
      <c r="M264" t="s">
        <v>6348</v>
      </c>
      <c r="N264" t="s">
        <v>6349</v>
      </c>
      <c r="O264" t="s">
        <v>12</v>
      </c>
      <c r="P264">
        <v>10810</v>
      </c>
      <c r="Q264">
        <v>512810</v>
      </c>
      <c r="R264" s="16" t="s">
        <v>8360</v>
      </c>
      <c r="S264" s="16" t="s">
        <v>8063</v>
      </c>
      <c r="T264" t="s">
        <v>7253</v>
      </c>
      <c r="U264">
        <v>1</v>
      </c>
      <c r="V264" t="s">
        <v>8654</v>
      </c>
      <c r="W264" t="s">
        <v>12</v>
      </c>
      <c r="X264" t="s">
        <v>3012</v>
      </c>
      <c r="Y264">
        <f t="shared" si="9"/>
        <v>1</v>
      </c>
    </row>
    <row r="265" spans="1:25" hidden="1">
      <c r="A265" t="s">
        <v>7181</v>
      </c>
      <c r="B265" t="s">
        <v>456</v>
      </c>
      <c r="C265">
        <v>1161</v>
      </c>
      <c r="D265">
        <v>12</v>
      </c>
      <c r="E265" t="s">
        <v>198</v>
      </c>
      <c r="F265" t="s">
        <v>604</v>
      </c>
      <c r="G265" t="str">
        <f>VLOOKUP(TRIM(F265), [1]mss!$AA:$AA,1,0)</f>
        <v>BL I 864</v>
      </c>
      <c r="H265" t="s">
        <v>605</v>
      </c>
      <c r="J265" t="s">
        <v>8668</v>
      </c>
      <c r="L265">
        <f t="shared" si="8"/>
        <v>1</v>
      </c>
      <c r="M265" t="s">
        <v>6366</v>
      </c>
      <c r="N265" t="s">
        <v>6367</v>
      </c>
      <c r="O265" t="s">
        <v>12</v>
      </c>
      <c r="P265">
        <v>-19680</v>
      </c>
      <c r="Q265">
        <v>517120</v>
      </c>
      <c r="R265" s="16" t="s">
        <v>8445</v>
      </c>
      <c r="S265" s="16" t="s">
        <v>8149</v>
      </c>
      <c r="T265" t="s">
        <v>7181</v>
      </c>
      <c r="U265">
        <v>0</v>
      </c>
      <c r="V265" t="s">
        <v>8654</v>
      </c>
      <c r="W265" t="s">
        <v>12</v>
      </c>
      <c r="X265" t="s">
        <v>8659</v>
      </c>
      <c r="Y265">
        <f t="shared" si="9"/>
        <v>1</v>
      </c>
    </row>
    <row r="266" spans="1:25" hidden="1">
      <c r="A266" t="s">
        <v>7190</v>
      </c>
      <c r="B266" t="s">
        <v>456</v>
      </c>
      <c r="C266">
        <v>1161</v>
      </c>
      <c r="D266">
        <v>12</v>
      </c>
      <c r="E266" t="s">
        <v>198</v>
      </c>
      <c r="F266" t="s">
        <v>606</v>
      </c>
      <c r="G266" t="str">
        <f>VLOOKUP(TRIM(F266), [1]mss!$AA:$AA,1,0)</f>
        <v>BL I 879</v>
      </c>
      <c r="H266" t="s">
        <v>607</v>
      </c>
      <c r="I266" t="s">
        <v>8928</v>
      </c>
      <c r="J266" t="s">
        <v>8950</v>
      </c>
      <c r="L266">
        <f t="shared" si="8"/>
        <v>1</v>
      </c>
      <c r="M266" t="s">
        <v>6366</v>
      </c>
      <c r="N266" t="s">
        <v>6367</v>
      </c>
      <c r="O266" t="s">
        <v>12</v>
      </c>
      <c r="P266">
        <v>-19680</v>
      </c>
      <c r="Q266">
        <v>517120</v>
      </c>
      <c r="R266" s="16" t="s">
        <v>8445</v>
      </c>
      <c r="S266" s="16" t="s">
        <v>8149</v>
      </c>
      <c r="T266" t="s">
        <v>7190</v>
      </c>
      <c r="U266">
        <v>1</v>
      </c>
      <c r="V266" t="s">
        <v>8656</v>
      </c>
      <c r="W266" t="s">
        <v>12</v>
      </c>
      <c r="X266" t="s">
        <v>8659</v>
      </c>
      <c r="Y266">
        <f t="shared" si="9"/>
        <v>1</v>
      </c>
    </row>
    <row r="267" spans="1:25">
      <c r="A267" t="s">
        <v>5573</v>
      </c>
      <c r="B267" t="s">
        <v>996</v>
      </c>
      <c r="C267">
        <v>1257</v>
      </c>
      <c r="D267">
        <v>13</v>
      </c>
      <c r="E267" t="s">
        <v>12</v>
      </c>
      <c r="F267" t="s">
        <v>997</v>
      </c>
      <c r="G267" t="e">
        <f>VLOOKUP(TRIM(F267),[1]mss!$AA:$AA,1,0)</f>
        <v>#N/A</v>
      </c>
      <c r="H267" t="s">
        <v>998</v>
      </c>
      <c r="J267" t="s">
        <v>8668</v>
      </c>
      <c r="L267">
        <f t="shared" si="8"/>
        <v>0</v>
      </c>
      <c r="R267" s="16" t="s">
        <v>8064</v>
      </c>
      <c r="S267" s="16" t="s">
        <v>8064</v>
      </c>
      <c r="T267" t="s">
        <v>7913</v>
      </c>
      <c r="U267">
        <v>0</v>
      </c>
      <c r="V267" t="s">
        <v>8655</v>
      </c>
      <c r="X267" t="s">
        <v>3012</v>
      </c>
      <c r="Y267">
        <f t="shared" si="9"/>
        <v>0</v>
      </c>
    </row>
    <row r="268" spans="1:25" hidden="1">
      <c r="A268" t="s">
        <v>7257</v>
      </c>
      <c r="B268" t="s">
        <v>999</v>
      </c>
      <c r="C268">
        <v>1261</v>
      </c>
      <c r="D268">
        <v>13</v>
      </c>
      <c r="E268" t="s">
        <v>22</v>
      </c>
      <c r="F268" t="s">
        <v>1000</v>
      </c>
      <c r="H268" t="s">
        <v>1001</v>
      </c>
      <c r="I268" t="s">
        <v>8928</v>
      </c>
      <c r="J268" t="s">
        <v>8972</v>
      </c>
      <c r="L268">
        <f t="shared" si="8"/>
        <v>1</v>
      </c>
      <c r="M268" t="s">
        <v>4502</v>
      </c>
      <c r="N268" t="s">
        <v>6456</v>
      </c>
      <c r="O268" t="s">
        <v>104</v>
      </c>
      <c r="P268">
        <v>23522</v>
      </c>
      <c r="Q268">
        <v>488566</v>
      </c>
      <c r="R268" s="16" t="s">
        <v>8364</v>
      </c>
      <c r="S268" s="16" t="s">
        <v>8069</v>
      </c>
      <c r="T268" t="s">
        <v>7257</v>
      </c>
      <c r="U268">
        <v>1</v>
      </c>
      <c r="V268" t="s">
        <v>8656</v>
      </c>
      <c r="W268" t="s">
        <v>104</v>
      </c>
      <c r="X268" t="s">
        <v>3012</v>
      </c>
      <c r="Y268">
        <f t="shared" si="9"/>
        <v>1</v>
      </c>
    </row>
    <row r="269" spans="1:25" hidden="1">
      <c r="A269" t="s">
        <v>7554</v>
      </c>
      <c r="B269" t="s">
        <v>28</v>
      </c>
      <c r="C269">
        <v>1161</v>
      </c>
      <c r="D269">
        <v>12</v>
      </c>
      <c r="E269" t="s">
        <v>29</v>
      </c>
      <c r="F269" t="s">
        <v>68</v>
      </c>
      <c r="G269" t="str">
        <f>VLOOKUP(TRIM(F269), [1]mss!$AA:$AA,1,0)</f>
        <v>Ox I 45</v>
      </c>
      <c r="H269" t="s">
        <v>312</v>
      </c>
      <c r="J269" t="s">
        <v>8668</v>
      </c>
      <c r="L269">
        <f t="shared" si="8"/>
        <v>1</v>
      </c>
      <c r="M269" t="s">
        <v>6729</v>
      </c>
      <c r="N269" t="s">
        <v>6730</v>
      </c>
      <c r="O269" t="s">
        <v>12</v>
      </c>
      <c r="P269" t="s">
        <v>6731</v>
      </c>
      <c r="Q269" t="s">
        <v>6732</v>
      </c>
      <c r="R269" s="16" t="s">
        <v>8422</v>
      </c>
      <c r="S269" s="16" t="s">
        <v>8126</v>
      </c>
      <c r="T269" t="s">
        <v>7554</v>
      </c>
      <c r="U269">
        <v>0</v>
      </c>
      <c r="V269" t="s">
        <v>8654</v>
      </c>
      <c r="W269" t="s">
        <v>12</v>
      </c>
      <c r="X269" t="s">
        <v>8663</v>
      </c>
      <c r="Y269">
        <f t="shared" si="9"/>
        <v>1</v>
      </c>
    </row>
    <row r="270" spans="1:25" hidden="1">
      <c r="A270" t="s">
        <v>7258</v>
      </c>
      <c r="B270" t="s">
        <v>1005</v>
      </c>
      <c r="C270">
        <v>1261</v>
      </c>
      <c r="D270">
        <v>13</v>
      </c>
      <c r="E270" t="s">
        <v>3995</v>
      </c>
      <c r="F270" t="s">
        <v>1006</v>
      </c>
      <c r="H270" t="s">
        <v>1007</v>
      </c>
      <c r="J270" t="s">
        <v>8668</v>
      </c>
      <c r="L270">
        <f t="shared" si="8"/>
        <v>1</v>
      </c>
      <c r="M270" t="s">
        <v>3995</v>
      </c>
      <c r="N270" t="s">
        <v>3995</v>
      </c>
      <c r="O270" t="s">
        <v>3995</v>
      </c>
      <c r="P270" t="s">
        <v>6556</v>
      </c>
      <c r="Q270" t="s">
        <v>6557</v>
      </c>
      <c r="R270" s="16" t="s">
        <v>6556</v>
      </c>
      <c r="S270" s="16" t="s">
        <v>6557</v>
      </c>
      <c r="T270" t="s">
        <v>7258</v>
      </c>
      <c r="U270">
        <v>0</v>
      </c>
      <c r="V270" t="s">
        <v>8654</v>
      </c>
      <c r="W270" t="s">
        <v>3995</v>
      </c>
      <c r="X270" t="s">
        <v>3012</v>
      </c>
      <c r="Y270">
        <f t="shared" si="9"/>
        <v>1</v>
      </c>
    </row>
    <row r="271" spans="1:25" hidden="1">
      <c r="A271" t="s">
        <v>2069</v>
      </c>
      <c r="B271" t="s">
        <v>1373</v>
      </c>
      <c r="C271">
        <v>1161</v>
      </c>
      <c r="D271">
        <v>12</v>
      </c>
      <c r="E271" t="s">
        <v>4476</v>
      </c>
      <c r="F271" t="s">
        <v>4690</v>
      </c>
      <c r="G271" t="str">
        <f>VLOOKUP(TRIM(F271), [1]mss!$AA:$AA,1,0)</f>
        <v>Fr 3</v>
      </c>
      <c r="J271" t="s">
        <v>8999</v>
      </c>
      <c r="L271">
        <f t="shared" si="8"/>
        <v>1</v>
      </c>
      <c r="M271" t="s">
        <v>6883</v>
      </c>
      <c r="N271" t="s">
        <v>6367</v>
      </c>
      <c r="O271" t="s">
        <v>12</v>
      </c>
      <c r="P271" t="s">
        <v>6884</v>
      </c>
      <c r="Q271" t="s">
        <v>6885</v>
      </c>
      <c r="R271" s="16" t="s">
        <v>8410</v>
      </c>
      <c r="S271" s="16" t="s">
        <v>8113</v>
      </c>
      <c r="T271" t="s">
        <v>7937</v>
      </c>
      <c r="U271">
        <v>1</v>
      </c>
      <c r="V271" t="s">
        <v>8656</v>
      </c>
      <c r="W271" t="s">
        <v>12</v>
      </c>
      <c r="X271" t="s">
        <v>8660</v>
      </c>
      <c r="Y271">
        <f t="shared" si="9"/>
        <v>1</v>
      </c>
    </row>
    <row r="272" spans="1:25" hidden="1">
      <c r="A272" t="s">
        <v>7233</v>
      </c>
      <c r="B272" t="s">
        <v>907</v>
      </c>
      <c r="C272">
        <v>1162</v>
      </c>
      <c r="D272">
        <v>12</v>
      </c>
      <c r="E272" t="s">
        <v>27</v>
      </c>
      <c r="F272" t="s">
        <v>908</v>
      </c>
      <c r="G272" t="str">
        <f>VLOOKUP(TRIM(F272), [1]mss!$AA:$AA,1,0)</f>
        <v>Ca I 296</v>
      </c>
      <c r="H272" t="s">
        <v>909</v>
      </c>
      <c r="J272" t="s">
        <v>8668</v>
      </c>
      <c r="L272">
        <f t="shared" si="8"/>
        <v>1</v>
      </c>
      <c r="M272" t="s">
        <v>6486</v>
      </c>
      <c r="N272" t="s">
        <v>6487</v>
      </c>
      <c r="O272" t="s">
        <v>12</v>
      </c>
      <c r="P272" t="s">
        <v>6488</v>
      </c>
      <c r="Q272">
        <v>517520</v>
      </c>
      <c r="R272" s="16" t="s">
        <v>8357</v>
      </c>
      <c r="S272" s="16" t="s">
        <v>8060</v>
      </c>
      <c r="T272" t="s">
        <v>7233</v>
      </c>
      <c r="U272">
        <v>0</v>
      </c>
      <c r="V272" t="s">
        <v>8654</v>
      </c>
      <c r="W272" t="s">
        <v>12</v>
      </c>
      <c r="X272" t="s">
        <v>3012</v>
      </c>
      <c r="Y272">
        <f t="shared" si="9"/>
        <v>1</v>
      </c>
    </row>
    <row r="273" spans="1:25">
      <c r="A273" t="s">
        <v>5574</v>
      </c>
      <c r="B273" t="s">
        <v>1014</v>
      </c>
      <c r="C273">
        <v>1270</v>
      </c>
      <c r="D273">
        <v>13</v>
      </c>
      <c r="E273" t="s">
        <v>12</v>
      </c>
      <c r="F273" t="s">
        <v>1015</v>
      </c>
      <c r="G273" t="e">
        <f>VLOOKUP(TRIM(F273),[1]mss!$AA:$AA,1,0)</f>
        <v>#N/A</v>
      </c>
      <c r="H273" t="s">
        <v>1016</v>
      </c>
      <c r="J273" t="s">
        <v>8668</v>
      </c>
      <c r="L273">
        <f t="shared" si="8"/>
        <v>0</v>
      </c>
      <c r="R273" s="16" t="s">
        <v>8064</v>
      </c>
      <c r="S273" s="16" t="s">
        <v>8064</v>
      </c>
      <c r="T273" t="s">
        <v>7913</v>
      </c>
      <c r="U273">
        <v>0</v>
      </c>
      <c r="V273" t="s">
        <v>8655</v>
      </c>
      <c r="X273" t="s">
        <v>3012</v>
      </c>
      <c r="Y273">
        <f t="shared" si="9"/>
        <v>0</v>
      </c>
    </row>
    <row r="274" spans="1:25" hidden="1">
      <c r="A274" t="s">
        <v>7261</v>
      </c>
      <c r="B274" t="s">
        <v>1017</v>
      </c>
      <c r="C274">
        <v>1282</v>
      </c>
      <c r="D274">
        <v>13</v>
      </c>
      <c r="E274" t="s">
        <v>4251</v>
      </c>
      <c r="F274" t="s">
        <v>1018</v>
      </c>
      <c r="H274" t="s">
        <v>1019</v>
      </c>
      <c r="J274" t="s">
        <v>8668</v>
      </c>
      <c r="L274">
        <f t="shared" si="8"/>
        <v>1</v>
      </c>
      <c r="M274" t="s">
        <v>6454</v>
      </c>
      <c r="N274" t="s">
        <v>6455</v>
      </c>
      <c r="O274" t="s">
        <v>3995</v>
      </c>
      <c r="P274">
        <v>98330</v>
      </c>
      <c r="Q274">
        <v>526710</v>
      </c>
      <c r="R274" s="16" t="s">
        <v>8460</v>
      </c>
      <c r="S274" s="16" t="s">
        <v>8164</v>
      </c>
      <c r="T274" t="s">
        <v>7261</v>
      </c>
      <c r="U274">
        <v>0</v>
      </c>
      <c r="V274" t="s">
        <v>8654</v>
      </c>
      <c r="W274" t="s">
        <v>3995</v>
      </c>
      <c r="X274" t="s">
        <v>3012</v>
      </c>
      <c r="Y274">
        <f t="shared" si="9"/>
        <v>1</v>
      </c>
    </row>
    <row r="275" spans="1:25" hidden="1">
      <c r="A275" t="s">
        <v>5568</v>
      </c>
      <c r="B275" t="s">
        <v>1020</v>
      </c>
      <c r="C275">
        <v>1276</v>
      </c>
      <c r="D275">
        <v>13</v>
      </c>
      <c r="E275" t="s">
        <v>1444</v>
      </c>
      <c r="F275" t="s">
        <v>1021</v>
      </c>
      <c r="H275" t="s">
        <v>1022</v>
      </c>
      <c r="J275" t="s">
        <v>8668</v>
      </c>
      <c r="L275">
        <f t="shared" si="8"/>
        <v>0</v>
      </c>
      <c r="R275" s="16" t="s">
        <v>8064</v>
      </c>
      <c r="S275" s="16" t="s">
        <v>8064</v>
      </c>
      <c r="T275" t="s">
        <v>7911</v>
      </c>
      <c r="U275">
        <v>0</v>
      </c>
      <c r="V275" t="s">
        <v>8655</v>
      </c>
      <c r="X275" t="s">
        <v>3012</v>
      </c>
      <c r="Y275">
        <f t="shared" si="9"/>
        <v>0</v>
      </c>
    </row>
    <row r="276" spans="1:25">
      <c r="A276" t="s">
        <v>7227</v>
      </c>
      <c r="B276" t="s">
        <v>1023</v>
      </c>
      <c r="C276">
        <v>1276</v>
      </c>
      <c r="D276">
        <v>13</v>
      </c>
      <c r="E276" t="s">
        <v>12</v>
      </c>
      <c r="F276" t="s">
        <v>1024</v>
      </c>
      <c r="G276" t="e">
        <f>VLOOKUP(TRIM(F276),[1]mss!$AA:$AA,1,0)</f>
        <v>#N/A</v>
      </c>
      <c r="H276" t="s">
        <v>1025</v>
      </c>
      <c r="J276" t="s">
        <v>8668</v>
      </c>
      <c r="L276">
        <f t="shared" si="8"/>
        <v>0</v>
      </c>
      <c r="R276" s="16" t="s">
        <v>8064</v>
      </c>
      <c r="S276" s="16" t="s">
        <v>8064</v>
      </c>
      <c r="T276" t="s">
        <v>7807</v>
      </c>
      <c r="U276">
        <v>0</v>
      </c>
      <c r="V276" t="s">
        <v>8655</v>
      </c>
      <c r="X276" t="s">
        <v>3012</v>
      </c>
      <c r="Y276">
        <f t="shared" si="9"/>
        <v>0</v>
      </c>
    </row>
    <row r="277" spans="1:25" hidden="1">
      <c r="A277" t="s">
        <v>7206</v>
      </c>
      <c r="B277" t="s">
        <v>818</v>
      </c>
      <c r="C277">
        <v>952</v>
      </c>
      <c r="D277">
        <v>10</v>
      </c>
      <c r="E277" t="s">
        <v>4263</v>
      </c>
      <c r="F277" t="s">
        <v>819</v>
      </c>
      <c r="H277" t="s">
        <v>820</v>
      </c>
      <c r="I277" t="s">
        <v>8928</v>
      </c>
      <c r="J277" t="s">
        <v>8957</v>
      </c>
      <c r="L277">
        <f t="shared" si="8"/>
        <v>1</v>
      </c>
      <c r="M277" t="s">
        <v>6584</v>
      </c>
      <c r="N277" t="s">
        <v>6585</v>
      </c>
      <c r="O277" t="s">
        <v>104</v>
      </c>
      <c r="P277" t="s">
        <v>6586</v>
      </c>
      <c r="Q277" t="s">
        <v>6587</v>
      </c>
      <c r="R277" s="16" t="s">
        <v>8451</v>
      </c>
      <c r="S277" s="16" t="s">
        <v>8155</v>
      </c>
      <c r="T277" t="s">
        <v>7206</v>
      </c>
      <c r="U277">
        <v>1</v>
      </c>
      <c r="V277" t="s">
        <v>8656</v>
      </c>
      <c r="W277" t="s">
        <v>104</v>
      </c>
      <c r="X277" t="s">
        <v>3012</v>
      </c>
      <c r="Y277">
        <f t="shared" si="9"/>
        <v>1</v>
      </c>
    </row>
    <row r="278" spans="1:25">
      <c r="A278" t="s">
        <v>5561</v>
      </c>
      <c r="B278" t="s">
        <v>1026</v>
      </c>
      <c r="C278">
        <v>1278</v>
      </c>
      <c r="D278">
        <v>13</v>
      </c>
      <c r="E278" t="s">
        <v>12</v>
      </c>
      <c r="F278" t="s">
        <v>1027</v>
      </c>
      <c r="G278" t="e">
        <f>VLOOKUP(TRIM(F278),[1]mss!$AA:$AA,1,0)</f>
        <v>#N/A</v>
      </c>
      <c r="H278" t="s">
        <v>1028</v>
      </c>
      <c r="J278" t="s">
        <v>8668</v>
      </c>
      <c r="L278">
        <f t="shared" si="8"/>
        <v>0</v>
      </c>
      <c r="R278" s="16" t="s">
        <v>8064</v>
      </c>
      <c r="S278" s="16" t="s">
        <v>8064</v>
      </c>
      <c r="T278" t="s">
        <v>5561</v>
      </c>
      <c r="U278">
        <v>0</v>
      </c>
      <c r="V278" t="s">
        <v>8655</v>
      </c>
      <c r="X278" t="s">
        <v>3012</v>
      </c>
      <c r="Y278">
        <f t="shared" si="9"/>
        <v>0</v>
      </c>
    </row>
    <row r="279" spans="1:25">
      <c r="A279" t="s">
        <v>7223</v>
      </c>
      <c r="B279" t="s">
        <v>1029</v>
      </c>
      <c r="C279">
        <v>1280</v>
      </c>
      <c r="D279">
        <v>13</v>
      </c>
      <c r="E279" t="s">
        <v>12</v>
      </c>
      <c r="F279" t="s">
        <v>1030</v>
      </c>
      <c r="G279" t="e">
        <f>VLOOKUP(TRIM(F279),[1]mss!$AA:$AA,1,0)</f>
        <v>#N/A</v>
      </c>
      <c r="H279" t="s">
        <v>1031</v>
      </c>
      <c r="J279" t="s">
        <v>8668</v>
      </c>
      <c r="L279">
        <f t="shared" si="8"/>
        <v>0</v>
      </c>
      <c r="R279" s="16" t="s">
        <v>8064</v>
      </c>
      <c r="S279" s="16" t="s">
        <v>8064</v>
      </c>
      <c r="T279" t="s">
        <v>7223</v>
      </c>
      <c r="U279">
        <v>0</v>
      </c>
      <c r="V279" t="s">
        <v>8655</v>
      </c>
      <c r="X279" t="s">
        <v>3012</v>
      </c>
      <c r="Y279">
        <f t="shared" si="9"/>
        <v>0</v>
      </c>
    </row>
    <row r="280" spans="1:25" hidden="1">
      <c r="A280" t="s">
        <v>7608</v>
      </c>
      <c r="B280" t="s">
        <v>197</v>
      </c>
      <c r="C280">
        <v>1162</v>
      </c>
      <c r="D280">
        <v>12</v>
      </c>
      <c r="E280" t="s">
        <v>198</v>
      </c>
      <c r="F280" t="s">
        <v>1082</v>
      </c>
      <c r="G280" t="str">
        <f>VLOOKUP(TRIM(F280), [1]mss!$AA:$AA,1,0)</f>
        <v>Ox I 798</v>
      </c>
      <c r="H280" t="s">
        <v>304</v>
      </c>
      <c r="J280" t="s">
        <v>8668</v>
      </c>
      <c r="L280">
        <f t="shared" si="8"/>
        <v>1</v>
      </c>
      <c r="M280" t="s">
        <v>6366</v>
      </c>
      <c r="N280" t="s">
        <v>6367</v>
      </c>
      <c r="O280" t="s">
        <v>12</v>
      </c>
      <c r="P280">
        <v>-19680</v>
      </c>
      <c r="Q280">
        <v>517120</v>
      </c>
      <c r="R280" s="16" t="s">
        <v>8445</v>
      </c>
      <c r="S280" s="16" t="s">
        <v>8149</v>
      </c>
      <c r="T280" t="s">
        <v>7608</v>
      </c>
      <c r="U280">
        <v>0</v>
      </c>
      <c r="V280" t="s">
        <v>8654</v>
      </c>
      <c r="W280" t="s">
        <v>12</v>
      </c>
      <c r="X280" t="s">
        <v>8663</v>
      </c>
      <c r="Y280">
        <f t="shared" si="9"/>
        <v>1</v>
      </c>
    </row>
    <row r="281" spans="1:25" hidden="1">
      <c r="A281" t="s">
        <v>7610</v>
      </c>
      <c r="B281" t="s">
        <v>197</v>
      </c>
      <c r="C281">
        <v>1162</v>
      </c>
      <c r="D281">
        <v>12</v>
      </c>
      <c r="E281" t="s">
        <v>198</v>
      </c>
      <c r="F281" t="s">
        <v>1083</v>
      </c>
      <c r="G281" t="str">
        <f>VLOOKUP(TRIM(F281), [1]mss!$AA:$AA,1,0)</f>
        <v>Ox I 800</v>
      </c>
      <c r="H281" t="s">
        <v>306</v>
      </c>
      <c r="J281" t="s">
        <v>8668</v>
      </c>
      <c r="L281">
        <f t="shared" si="8"/>
        <v>1</v>
      </c>
      <c r="M281" t="s">
        <v>6366</v>
      </c>
      <c r="N281" t="s">
        <v>6367</v>
      </c>
      <c r="O281" t="s">
        <v>12</v>
      </c>
      <c r="P281">
        <v>-19680</v>
      </c>
      <c r="Q281">
        <v>517120</v>
      </c>
      <c r="R281" s="16" t="s">
        <v>8445</v>
      </c>
      <c r="S281" s="16" t="s">
        <v>8149</v>
      </c>
      <c r="T281" t="s">
        <v>7610</v>
      </c>
      <c r="U281">
        <v>0</v>
      </c>
      <c r="V281" t="s">
        <v>8654</v>
      </c>
      <c r="W281" t="s">
        <v>12</v>
      </c>
      <c r="X281" t="s">
        <v>8663</v>
      </c>
      <c r="Y281">
        <f t="shared" si="9"/>
        <v>1</v>
      </c>
    </row>
    <row r="282" spans="1:25" hidden="1">
      <c r="A282" t="s">
        <v>7611</v>
      </c>
      <c r="B282" t="s">
        <v>197</v>
      </c>
      <c r="C282">
        <v>1162</v>
      </c>
      <c r="D282">
        <v>12</v>
      </c>
      <c r="E282" t="s">
        <v>198</v>
      </c>
      <c r="F282" t="s">
        <v>1084</v>
      </c>
      <c r="G282" t="str">
        <f>VLOOKUP(TRIM(F282), [1]mss!$AA:$AA,1,0)</f>
        <v>Ox I 801</v>
      </c>
      <c r="H282" t="s">
        <v>307</v>
      </c>
      <c r="J282" t="s">
        <v>8668</v>
      </c>
      <c r="L282">
        <f t="shared" si="8"/>
        <v>1</v>
      </c>
      <c r="M282" t="s">
        <v>6366</v>
      </c>
      <c r="N282" t="s">
        <v>6367</v>
      </c>
      <c r="O282" t="s">
        <v>12</v>
      </c>
      <c r="P282">
        <v>-19680</v>
      </c>
      <c r="Q282">
        <v>517120</v>
      </c>
      <c r="R282" s="16" t="s">
        <v>8445</v>
      </c>
      <c r="S282" s="16" t="s">
        <v>8149</v>
      </c>
      <c r="T282" t="s">
        <v>7611</v>
      </c>
      <c r="U282">
        <v>0</v>
      </c>
      <c r="V282" t="s">
        <v>8654</v>
      </c>
      <c r="W282" t="s">
        <v>12</v>
      </c>
      <c r="X282" t="s">
        <v>8663</v>
      </c>
      <c r="Y282">
        <f t="shared" si="9"/>
        <v>1</v>
      </c>
    </row>
    <row r="283" spans="1:25" hidden="1">
      <c r="A283" t="s">
        <v>7525</v>
      </c>
      <c r="B283" t="s">
        <v>197</v>
      </c>
      <c r="C283">
        <v>1162</v>
      </c>
      <c r="D283">
        <v>12</v>
      </c>
      <c r="E283" t="s">
        <v>198</v>
      </c>
      <c r="F283" t="s">
        <v>199</v>
      </c>
      <c r="G283" t="e">
        <f>VLOOKUP(TRIM(F283), [1]mss!$AA:$AA,1,0)</f>
        <v>#N/A</v>
      </c>
      <c r="J283" t="s">
        <v>8668</v>
      </c>
      <c r="L283">
        <f t="shared" si="8"/>
        <v>1</v>
      </c>
      <c r="M283" t="s">
        <v>6366</v>
      </c>
      <c r="N283" t="s">
        <v>6367</v>
      </c>
      <c r="O283" t="s">
        <v>12</v>
      </c>
      <c r="P283">
        <v>-19680</v>
      </c>
      <c r="Q283">
        <v>517120</v>
      </c>
      <c r="R283" s="16" t="s">
        <v>8445</v>
      </c>
      <c r="S283" s="16" t="s">
        <v>8149</v>
      </c>
      <c r="T283" t="s">
        <v>7525</v>
      </c>
      <c r="U283">
        <v>0</v>
      </c>
      <c r="V283" t="s">
        <v>8654</v>
      </c>
      <c r="W283" t="s">
        <v>12</v>
      </c>
      <c r="X283" t="s">
        <v>8663</v>
      </c>
      <c r="Y283">
        <f t="shared" si="9"/>
        <v>1</v>
      </c>
    </row>
    <row r="284" spans="1:25" hidden="1">
      <c r="A284" t="s">
        <v>5575</v>
      </c>
      <c r="B284" t="s">
        <v>1044</v>
      </c>
      <c r="C284">
        <v>1298</v>
      </c>
      <c r="D284">
        <v>13</v>
      </c>
      <c r="E284" t="s">
        <v>22</v>
      </c>
      <c r="F284" t="s">
        <v>1045</v>
      </c>
      <c r="H284" t="s">
        <v>1046</v>
      </c>
      <c r="J284" t="s">
        <v>8668</v>
      </c>
      <c r="L284">
        <f t="shared" si="8"/>
        <v>1</v>
      </c>
      <c r="M284" t="s">
        <v>4502</v>
      </c>
      <c r="N284" t="s">
        <v>6456</v>
      </c>
      <c r="O284" t="s">
        <v>104</v>
      </c>
      <c r="P284">
        <v>23522</v>
      </c>
      <c r="Q284">
        <v>488566</v>
      </c>
      <c r="R284" s="16" t="s">
        <v>8364</v>
      </c>
      <c r="S284" s="16" t="s">
        <v>8069</v>
      </c>
      <c r="T284" t="s">
        <v>7914</v>
      </c>
      <c r="U284">
        <v>0</v>
      </c>
      <c r="V284" t="s">
        <v>8654</v>
      </c>
      <c r="W284" t="s">
        <v>104</v>
      </c>
      <c r="X284" t="s">
        <v>3012</v>
      </c>
      <c r="Y284">
        <f t="shared" si="9"/>
        <v>1</v>
      </c>
    </row>
    <row r="285" spans="1:25" hidden="1">
      <c r="A285" t="s">
        <v>5564</v>
      </c>
      <c r="B285" t="s">
        <v>1047</v>
      </c>
      <c r="C285">
        <v>1299</v>
      </c>
      <c r="D285">
        <v>13</v>
      </c>
      <c r="E285" t="s">
        <v>104</v>
      </c>
      <c r="F285" t="s">
        <v>1048</v>
      </c>
      <c r="H285" t="s">
        <v>1049</v>
      </c>
      <c r="J285" t="s">
        <v>8668</v>
      </c>
      <c r="L285">
        <f t="shared" si="8"/>
        <v>0</v>
      </c>
      <c r="R285" s="16" t="s">
        <v>8064</v>
      </c>
      <c r="S285" s="16" t="s">
        <v>8064</v>
      </c>
      <c r="T285" t="s">
        <v>5564</v>
      </c>
      <c r="U285">
        <v>0</v>
      </c>
      <c r="V285" t="s">
        <v>8655</v>
      </c>
      <c r="X285" t="s">
        <v>3012</v>
      </c>
      <c r="Y285">
        <f t="shared" si="9"/>
        <v>0</v>
      </c>
    </row>
    <row r="286" spans="1:25">
      <c r="A286" t="s">
        <v>7259</v>
      </c>
      <c r="B286" t="s">
        <v>1050</v>
      </c>
      <c r="C286">
        <v>1299</v>
      </c>
      <c r="D286">
        <v>13</v>
      </c>
      <c r="E286" t="s">
        <v>12</v>
      </c>
      <c r="F286" t="s">
        <v>1051</v>
      </c>
      <c r="G286" t="e">
        <f>VLOOKUP(TRIM(F286),[1]mss!$AA:$AA,1,0)</f>
        <v>#N/A</v>
      </c>
      <c r="H286" t="s">
        <v>1052</v>
      </c>
      <c r="J286" t="s">
        <v>8668</v>
      </c>
      <c r="L286">
        <f t="shared" si="8"/>
        <v>0</v>
      </c>
      <c r="R286" s="16" t="s">
        <v>8064</v>
      </c>
      <c r="S286" s="16" t="s">
        <v>8064</v>
      </c>
      <c r="T286" t="s">
        <v>7259</v>
      </c>
      <c r="U286">
        <v>0</v>
      </c>
      <c r="V286" t="s">
        <v>8655</v>
      </c>
      <c r="X286" t="s">
        <v>3012</v>
      </c>
      <c r="Y286">
        <f t="shared" si="9"/>
        <v>0</v>
      </c>
    </row>
    <row r="287" spans="1:25" hidden="1">
      <c r="A287" t="s">
        <v>7609</v>
      </c>
      <c r="B287" t="s">
        <v>201</v>
      </c>
      <c r="C287">
        <v>1163</v>
      </c>
      <c r="D287">
        <v>12</v>
      </c>
      <c r="E287" t="s">
        <v>198</v>
      </c>
      <c r="F287" t="s">
        <v>1080</v>
      </c>
      <c r="G287" t="str">
        <f>VLOOKUP(TRIM(F287), [1]mss!$AA:$AA,1,0)</f>
        <v>Ox I 799</v>
      </c>
      <c r="H287" t="s">
        <v>305</v>
      </c>
      <c r="J287" t="s">
        <v>8668</v>
      </c>
      <c r="L287">
        <f t="shared" si="8"/>
        <v>1</v>
      </c>
      <c r="M287" t="s">
        <v>6366</v>
      </c>
      <c r="N287" t="s">
        <v>6367</v>
      </c>
      <c r="O287" t="s">
        <v>12</v>
      </c>
      <c r="P287">
        <v>-19680</v>
      </c>
      <c r="Q287">
        <v>517120</v>
      </c>
      <c r="R287" s="16" t="s">
        <v>8445</v>
      </c>
      <c r="S287" s="16" t="s">
        <v>8149</v>
      </c>
      <c r="T287" t="s">
        <v>7609</v>
      </c>
      <c r="U287">
        <v>0</v>
      </c>
      <c r="V287" t="s">
        <v>8654</v>
      </c>
      <c r="W287" t="s">
        <v>12</v>
      </c>
      <c r="X287" t="s">
        <v>8663</v>
      </c>
      <c r="Y287">
        <f t="shared" si="9"/>
        <v>1</v>
      </c>
    </row>
    <row r="288" spans="1:25" hidden="1">
      <c r="A288" t="s">
        <v>7612</v>
      </c>
      <c r="B288" t="s">
        <v>201</v>
      </c>
      <c r="C288">
        <v>1163</v>
      </c>
      <c r="D288">
        <v>12</v>
      </c>
      <c r="E288" t="s">
        <v>198</v>
      </c>
      <c r="F288" t="s">
        <v>1081</v>
      </c>
      <c r="G288" t="str">
        <f>VLOOKUP(TRIM(F288), [1]mss!$AA:$AA,1,0)</f>
        <v>Ox I 802</v>
      </c>
      <c r="H288" t="s">
        <v>303</v>
      </c>
      <c r="J288" t="s">
        <v>8668</v>
      </c>
      <c r="L288">
        <f t="shared" si="8"/>
        <v>1</v>
      </c>
      <c r="M288" t="s">
        <v>6366</v>
      </c>
      <c r="N288" t="s">
        <v>6367</v>
      </c>
      <c r="O288" t="s">
        <v>12</v>
      </c>
      <c r="P288">
        <v>-19680</v>
      </c>
      <c r="Q288">
        <v>517120</v>
      </c>
      <c r="R288" s="16" t="s">
        <v>8445</v>
      </c>
      <c r="S288" s="16" t="s">
        <v>8149</v>
      </c>
      <c r="T288" t="s">
        <v>7612</v>
      </c>
      <c r="U288">
        <v>0</v>
      </c>
      <c r="V288" t="s">
        <v>8654</v>
      </c>
      <c r="W288" t="s">
        <v>12</v>
      </c>
      <c r="X288" t="s">
        <v>8663</v>
      </c>
      <c r="Y288">
        <f t="shared" si="9"/>
        <v>1</v>
      </c>
    </row>
    <row r="289" spans="1:25" hidden="1">
      <c r="A289" t="s">
        <v>7200</v>
      </c>
      <c r="B289" t="s">
        <v>915</v>
      </c>
      <c r="C289">
        <v>1164</v>
      </c>
      <c r="D289">
        <v>12</v>
      </c>
      <c r="E289" t="s">
        <v>13</v>
      </c>
      <c r="F289" t="s">
        <v>916</v>
      </c>
      <c r="G289" t="str">
        <f>VLOOKUP(TRIM(F289), [1]mss!$AA:$AA,1,0)</f>
        <v>Ca I 126</v>
      </c>
      <c r="H289" t="s">
        <v>917</v>
      </c>
      <c r="I289" t="s">
        <v>8928</v>
      </c>
      <c r="J289" t="s">
        <v>8954</v>
      </c>
      <c r="L289">
        <f t="shared" si="8"/>
        <v>1</v>
      </c>
      <c r="M289" t="s">
        <v>6348</v>
      </c>
      <c r="N289" t="s">
        <v>6349</v>
      </c>
      <c r="O289" t="s">
        <v>12</v>
      </c>
      <c r="P289">
        <v>10810</v>
      </c>
      <c r="Q289">
        <v>512810</v>
      </c>
      <c r="R289" s="16" t="s">
        <v>8360</v>
      </c>
      <c r="S289" s="16" t="s">
        <v>8063</v>
      </c>
      <c r="T289" t="s">
        <v>7200</v>
      </c>
      <c r="U289">
        <v>1</v>
      </c>
      <c r="V289" t="s">
        <v>8656</v>
      </c>
      <c r="W289" t="s">
        <v>12</v>
      </c>
      <c r="X289" t="s">
        <v>3012</v>
      </c>
      <c r="Y289">
        <f t="shared" si="9"/>
        <v>1</v>
      </c>
    </row>
    <row r="290" spans="1:25" hidden="1">
      <c r="A290" t="s">
        <v>7654</v>
      </c>
      <c r="B290" t="s">
        <v>245</v>
      </c>
      <c r="C290">
        <v>1165</v>
      </c>
      <c r="D290">
        <v>12</v>
      </c>
      <c r="E290" t="s">
        <v>133</v>
      </c>
      <c r="F290" t="s">
        <v>1157</v>
      </c>
      <c r="G290" t="str">
        <f>VLOOKUP(TRIM(F290), [1]mss!$AA:$AA,1,0)</f>
        <v>Lo I 55</v>
      </c>
      <c r="H290" t="s">
        <v>1158</v>
      </c>
      <c r="J290" t="s">
        <v>8668</v>
      </c>
      <c r="L290">
        <f t="shared" si="8"/>
        <v>1</v>
      </c>
      <c r="M290" t="s">
        <v>6337</v>
      </c>
      <c r="N290" t="s">
        <v>6338</v>
      </c>
      <c r="O290" t="s">
        <v>12</v>
      </c>
      <c r="P290">
        <v>-27280</v>
      </c>
      <c r="Q290">
        <v>526310</v>
      </c>
      <c r="R290" s="16" t="s">
        <v>8438</v>
      </c>
      <c r="S290" s="16" t="s">
        <v>8142</v>
      </c>
      <c r="T290" t="s">
        <v>7654</v>
      </c>
      <c r="U290">
        <v>0</v>
      </c>
      <c r="V290" t="s">
        <v>8654</v>
      </c>
      <c r="W290" t="s">
        <v>12</v>
      </c>
      <c r="X290" t="s">
        <v>8661</v>
      </c>
      <c r="Y290">
        <f t="shared" si="9"/>
        <v>1</v>
      </c>
    </row>
    <row r="291" spans="1:25" hidden="1">
      <c r="A291" t="s">
        <v>7522</v>
      </c>
      <c r="B291" t="s">
        <v>24</v>
      </c>
      <c r="C291">
        <v>1167</v>
      </c>
      <c r="D291">
        <v>12</v>
      </c>
      <c r="E291" t="s">
        <v>25</v>
      </c>
      <c r="F291" t="s">
        <v>1087</v>
      </c>
      <c r="G291" t="e">
        <f>VLOOKUP(TRIM(F291), [1]mss!$AA:$AA,1,0)</f>
        <v>#N/A</v>
      </c>
      <c r="H291" t="s">
        <v>314</v>
      </c>
      <c r="J291" t="s">
        <v>8668</v>
      </c>
      <c r="L291">
        <f t="shared" si="8"/>
        <v>1</v>
      </c>
      <c r="M291" t="s">
        <v>6419</v>
      </c>
      <c r="N291" t="s">
        <v>6420</v>
      </c>
      <c r="O291" t="s">
        <v>12</v>
      </c>
      <c r="P291">
        <v>-13160</v>
      </c>
      <c r="Q291">
        <v>510600</v>
      </c>
      <c r="R291" s="16" t="s">
        <v>8408</v>
      </c>
      <c r="S291" s="16" t="s">
        <v>8059</v>
      </c>
      <c r="T291" t="s">
        <v>7873</v>
      </c>
      <c r="U291">
        <v>0</v>
      </c>
      <c r="V291" t="s">
        <v>8654</v>
      </c>
      <c r="W291" t="s">
        <v>12</v>
      </c>
      <c r="X291" t="s">
        <v>8663</v>
      </c>
      <c r="Y291">
        <f t="shared" si="9"/>
        <v>1</v>
      </c>
    </row>
    <row r="292" spans="1:25" hidden="1">
      <c r="A292" t="s">
        <v>7453</v>
      </c>
      <c r="B292" t="s">
        <v>4849</v>
      </c>
      <c r="C292">
        <v>1173</v>
      </c>
      <c r="D292">
        <v>12</v>
      </c>
      <c r="E292" t="s">
        <v>4504</v>
      </c>
      <c r="F292" t="s">
        <v>4827</v>
      </c>
      <c r="G292" t="e">
        <f>VLOOKUP(TRIM(F292), [1]mss!$AA:$AA,1,0)</f>
        <v>#N/A</v>
      </c>
      <c r="H292" t="s">
        <v>1978</v>
      </c>
      <c r="J292" t="s">
        <v>8668</v>
      </c>
      <c r="L292">
        <f t="shared" si="8"/>
        <v>1</v>
      </c>
      <c r="M292" t="s">
        <v>4504</v>
      </c>
      <c r="N292" t="s">
        <v>6355</v>
      </c>
      <c r="O292" t="s">
        <v>12</v>
      </c>
      <c r="P292" t="s">
        <v>6931</v>
      </c>
      <c r="Q292" t="s">
        <v>6932</v>
      </c>
      <c r="R292" s="16" t="s">
        <v>8488</v>
      </c>
      <c r="S292" s="16" t="s">
        <v>8194</v>
      </c>
      <c r="T292" t="s">
        <v>7453</v>
      </c>
      <c r="U292">
        <v>0</v>
      </c>
      <c r="V292" t="s">
        <v>8654</v>
      </c>
      <c r="W292" t="s">
        <v>12</v>
      </c>
      <c r="X292" t="s">
        <v>8660</v>
      </c>
      <c r="Y292">
        <f t="shared" si="9"/>
        <v>1</v>
      </c>
    </row>
    <row r="293" spans="1:25" s="19" customFormat="1" hidden="1">
      <c r="A293" s="19" t="s">
        <v>7068</v>
      </c>
      <c r="B293" s="19" t="s">
        <v>458</v>
      </c>
      <c r="C293" s="19">
        <v>1174</v>
      </c>
      <c r="D293" s="19">
        <v>12</v>
      </c>
      <c r="E293" s="19" t="s">
        <v>4042</v>
      </c>
      <c r="F293" s="19" t="s">
        <v>615</v>
      </c>
      <c r="G293" s="19" t="str">
        <f>VLOOKUP(TRIM(F293), [1]mss!$AA:$AA,1,0)</f>
        <v>BL I 370</v>
      </c>
      <c r="H293" s="19" t="s">
        <v>616</v>
      </c>
      <c r="J293" s="20" t="s">
        <v>8708</v>
      </c>
      <c r="L293" s="19">
        <f t="shared" si="8"/>
        <v>1</v>
      </c>
      <c r="M293" s="19" t="s">
        <v>6387</v>
      </c>
      <c r="N293" s="19" t="s">
        <v>6388</v>
      </c>
      <c r="O293" s="19" t="s">
        <v>12</v>
      </c>
      <c r="P293" s="19">
        <v>-15770</v>
      </c>
      <c r="Q293" s="19">
        <v>547750</v>
      </c>
      <c r="R293" s="21" t="s">
        <v>8398</v>
      </c>
      <c r="S293" s="21" t="s">
        <v>8102</v>
      </c>
      <c r="T293" s="19" t="s">
        <v>7068</v>
      </c>
      <c r="U293" s="19">
        <v>1</v>
      </c>
      <c r="V293" s="19" t="s">
        <v>8654</v>
      </c>
      <c r="W293" s="19" t="s">
        <v>12</v>
      </c>
      <c r="X293" s="19" t="s">
        <v>8659</v>
      </c>
      <c r="Y293" s="19">
        <f t="shared" si="9"/>
        <v>1</v>
      </c>
    </row>
    <row r="294" spans="1:25" hidden="1">
      <c r="A294" t="s">
        <v>2071</v>
      </c>
      <c r="B294" t="s">
        <v>1377</v>
      </c>
      <c r="C294">
        <v>1174</v>
      </c>
      <c r="D294">
        <v>12</v>
      </c>
      <c r="E294" t="s">
        <v>4505</v>
      </c>
      <c r="F294" t="s">
        <v>4690</v>
      </c>
      <c r="G294" t="str">
        <f>VLOOKUP(TRIM(F294), [1]mss!$AA:$AA,1,0)</f>
        <v>Fr 3</v>
      </c>
      <c r="J294" t="s">
        <v>8668</v>
      </c>
      <c r="L294">
        <f t="shared" si="8"/>
        <v>1</v>
      </c>
      <c r="M294" t="s">
        <v>6481</v>
      </c>
      <c r="N294" t="s">
        <v>6482</v>
      </c>
      <c r="O294" t="s">
        <v>12</v>
      </c>
      <c r="P294">
        <v>-10750</v>
      </c>
      <c r="Q294">
        <v>537850</v>
      </c>
      <c r="R294" s="16" t="s">
        <v>8571</v>
      </c>
      <c r="S294" s="16" t="s">
        <v>8276</v>
      </c>
      <c r="T294" t="s">
        <v>7938</v>
      </c>
      <c r="U294">
        <v>0</v>
      </c>
      <c r="V294" t="s">
        <v>8654</v>
      </c>
      <c r="W294" t="s">
        <v>12</v>
      </c>
      <c r="X294" t="s">
        <v>8660</v>
      </c>
      <c r="Y294">
        <f t="shared" si="9"/>
        <v>1</v>
      </c>
    </row>
    <row r="295" spans="1:25" hidden="1">
      <c r="A295" t="s">
        <v>7192</v>
      </c>
      <c r="B295" t="s">
        <v>460</v>
      </c>
      <c r="C295">
        <v>1175</v>
      </c>
      <c r="D295">
        <v>12</v>
      </c>
      <c r="E295" t="s">
        <v>27</v>
      </c>
      <c r="F295" t="s">
        <v>622</v>
      </c>
      <c r="G295" t="str">
        <f>VLOOKUP(TRIM(F295), [1]mss!$AA:$AA,1,0)</f>
        <v>BL I 891</v>
      </c>
      <c r="H295" t="s">
        <v>623</v>
      </c>
      <c r="J295" t="s">
        <v>8668</v>
      </c>
      <c r="L295">
        <f t="shared" si="8"/>
        <v>1</v>
      </c>
      <c r="M295" t="s">
        <v>6486</v>
      </c>
      <c r="N295" t="s">
        <v>6487</v>
      </c>
      <c r="O295" t="s">
        <v>12</v>
      </c>
      <c r="P295" t="s">
        <v>6488</v>
      </c>
      <c r="Q295">
        <v>517520</v>
      </c>
      <c r="R295" s="16" t="s">
        <v>8357</v>
      </c>
      <c r="S295" s="16" t="s">
        <v>8060</v>
      </c>
      <c r="T295" t="s">
        <v>7192</v>
      </c>
      <c r="U295">
        <v>0</v>
      </c>
      <c r="V295" t="s">
        <v>8654</v>
      </c>
      <c r="W295" t="s">
        <v>12</v>
      </c>
      <c r="X295" t="s">
        <v>8659</v>
      </c>
      <c r="Y295">
        <f t="shared" si="9"/>
        <v>1</v>
      </c>
    </row>
    <row r="296" spans="1:25" hidden="1">
      <c r="A296" t="s">
        <v>7235</v>
      </c>
      <c r="B296" t="s">
        <v>460</v>
      </c>
      <c r="C296">
        <v>1175</v>
      </c>
      <c r="D296">
        <v>12</v>
      </c>
      <c r="E296" t="s">
        <v>27</v>
      </c>
      <c r="F296" t="s">
        <v>944</v>
      </c>
      <c r="G296" t="str">
        <f>VLOOKUP(TRIM(F296), [1]mss!$AA:$AA,1,0)</f>
        <v>Ca I 306</v>
      </c>
      <c r="H296" t="s">
        <v>945</v>
      </c>
      <c r="J296" t="s">
        <v>8668</v>
      </c>
      <c r="L296">
        <f t="shared" si="8"/>
        <v>1</v>
      </c>
      <c r="M296" t="s">
        <v>6486</v>
      </c>
      <c r="N296" t="s">
        <v>6487</v>
      </c>
      <c r="O296" t="s">
        <v>12</v>
      </c>
      <c r="P296" t="s">
        <v>6488</v>
      </c>
      <c r="Q296">
        <v>517520</v>
      </c>
      <c r="R296" s="16" t="s">
        <v>8357</v>
      </c>
      <c r="S296" s="16" t="s">
        <v>8060</v>
      </c>
      <c r="T296" t="s">
        <v>7235</v>
      </c>
      <c r="U296">
        <v>0</v>
      </c>
      <c r="V296" t="s">
        <v>8654</v>
      </c>
      <c r="W296" t="s">
        <v>12</v>
      </c>
      <c r="X296" t="s">
        <v>3012</v>
      </c>
      <c r="Y296">
        <f t="shared" si="9"/>
        <v>1</v>
      </c>
    </row>
    <row r="297" spans="1:25" hidden="1">
      <c r="A297" t="s">
        <v>7248</v>
      </c>
      <c r="B297" t="s">
        <v>844</v>
      </c>
      <c r="C297">
        <v>1064</v>
      </c>
      <c r="D297">
        <v>11</v>
      </c>
      <c r="E297" t="s">
        <v>4314</v>
      </c>
      <c r="F297" t="s">
        <v>845</v>
      </c>
      <c r="H297" t="s">
        <v>846</v>
      </c>
      <c r="J297" t="s">
        <v>8681</v>
      </c>
      <c r="L297">
        <f t="shared" si="8"/>
        <v>1</v>
      </c>
      <c r="M297" t="s">
        <v>4314</v>
      </c>
      <c r="N297" t="s">
        <v>6318</v>
      </c>
      <c r="O297" t="s">
        <v>104</v>
      </c>
      <c r="P297" t="s">
        <v>6319</v>
      </c>
      <c r="Q297">
        <v>491830</v>
      </c>
      <c r="R297" s="16" t="s">
        <v>8459</v>
      </c>
      <c r="S297" s="16" t="s">
        <v>8163</v>
      </c>
      <c r="T297" t="s">
        <v>7248</v>
      </c>
      <c r="U297">
        <v>1</v>
      </c>
      <c r="V297" t="s">
        <v>8654</v>
      </c>
      <c r="W297" t="s">
        <v>104</v>
      </c>
      <c r="X297" t="s">
        <v>3012</v>
      </c>
      <c r="Y297">
        <f t="shared" si="9"/>
        <v>1</v>
      </c>
    </row>
    <row r="298" spans="1:25" hidden="1">
      <c r="A298" t="s">
        <v>7260</v>
      </c>
      <c r="B298" t="s">
        <v>460</v>
      </c>
      <c r="C298">
        <v>1175</v>
      </c>
      <c r="D298">
        <v>12</v>
      </c>
      <c r="E298" t="s">
        <v>27</v>
      </c>
      <c r="F298" t="s">
        <v>946</v>
      </c>
      <c r="G298" t="str">
        <f>VLOOKUP(TRIM(F298), [1]mss!$AA:$AA,1,0)</f>
        <v>Ca I 391</v>
      </c>
      <c r="H298" t="s">
        <v>947</v>
      </c>
      <c r="I298" t="s">
        <v>8928</v>
      </c>
      <c r="J298" t="s">
        <v>8974</v>
      </c>
      <c r="L298">
        <f t="shared" si="8"/>
        <v>1</v>
      </c>
      <c r="M298" t="s">
        <v>6486</v>
      </c>
      <c r="N298" t="s">
        <v>6487</v>
      </c>
      <c r="O298" t="s">
        <v>12</v>
      </c>
      <c r="P298" t="s">
        <v>6488</v>
      </c>
      <c r="Q298">
        <v>517520</v>
      </c>
      <c r="R298" s="16" t="s">
        <v>8357</v>
      </c>
      <c r="S298" s="16" t="s">
        <v>8060</v>
      </c>
      <c r="T298" t="s">
        <v>7260</v>
      </c>
      <c r="U298">
        <v>1</v>
      </c>
      <c r="V298" t="s">
        <v>8656</v>
      </c>
      <c r="W298" t="s">
        <v>12</v>
      </c>
      <c r="X298" t="s">
        <v>3012</v>
      </c>
      <c r="Y298">
        <f t="shared" si="9"/>
        <v>1</v>
      </c>
    </row>
    <row r="299" spans="1:25" hidden="1">
      <c r="A299" t="s">
        <v>7256</v>
      </c>
      <c r="B299" t="s">
        <v>948</v>
      </c>
      <c r="C299">
        <v>1175</v>
      </c>
      <c r="D299">
        <v>12</v>
      </c>
      <c r="E299" t="s">
        <v>27</v>
      </c>
      <c r="F299" t="s">
        <v>949</v>
      </c>
      <c r="G299" t="str">
        <f>VLOOKUP(TRIM(F299), [1]mss!$AA:$AA,1,0)</f>
        <v>Ca I 380</v>
      </c>
      <c r="H299" t="s">
        <v>950</v>
      </c>
      <c r="J299" t="s">
        <v>8678</v>
      </c>
      <c r="L299">
        <f t="shared" si="8"/>
        <v>1</v>
      </c>
      <c r="M299" t="s">
        <v>6486</v>
      </c>
      <c r="N299" t="s">
        <v>6487</v>
      </c>
      <c r="O299" t="s">
        <v>12</v>
      </c>
      <c r="P299" t="s">
        <v>6488</v>
      </c>
      <c r="Q299">
        <v>517520</v>
      </c>
      <c r="R299" s="16" t="s">
        <v>8357</v>
      </c>
      <c r="S299" s="16" t="s">
        <v>8060</v>
      </c>
      <c r="T299" t="s">
        <v>7256</v>
      </c>
      <c r="U299">
        <v>1</v>
      </c>
      <c r="V299" t="s">
        <v>8654</v>
      </c>
      <c r="W299" t="s">
        <v>12</v>
      </c>
      <c r="X299" t="s">
        <v>3012</v>
      </c>
      <c r="Y299">
        <f t="shared" si="9"/>
        <v>1</v>
      </c>
    </row>
    <row r="300" spans="1:25" hidden="1">
      <c r="A300" t="s">
        <v>7167</v>
      </c>
      <c r="B300" t="s">
        <v>646</v>
      </c>
      <c r="C300">
        <v>1176</v>
      </c>
      <c r="D300">
        <v>12</v>
      </c>
      <c r="E300" t="s">
        <v>133</v>
      </c>
      <c r="F300" t="s">
        <v>647</v>
      </c>
      <c r="G300" t="str">
        <f>VLOOKUP(TRIM(F300), [1]mss!$AA:$AA,1,0)</f>
        <v>BL I 723</v>
      </c>
      <c r="H300" t="s">
        <v>648</v>
      </c>
      <c r="J300" t="s">
        <v>8668</v>
      </c>
      <c r="L300">
        <f t="shared" si="8"/>
        <v>1</v>
      </c>
      <c r="M300" t="s">
        <v>6337</v>
      </c>
      <c r="N300" t="s">
        <v>6338</v>
      </c>
      <c r="O300" t="s">
        <v>12</v>
      </c>
      <c r="P300">
        <v>-27280</v>
      </c>
      <c r="Q300">
        <v>526310</v>
      </c>
      <c r="R300" s="16" t="s">
        <v>8438</v>
      </c>
      <c r="S300" s="16" t="s">
        <v>8142</v>
      </c>
      <c r="T300" t="s">
        <v>7796</v>
      </c>
      <c r="U300">
        <v>0</v>
      </c>
      <c r="V300" t="s">
        <v>8654</v>
      </c>
      <c r="W300" t="s">
        <v>12</v>
      </c>
      <c r="X300" t="s">
        <v>8659</v>
      </c>
      <c r="Y300">
        <f t="shared" si="9"/>
        <v>1</v>
      </c>
    </row>
    <row r="301" spans="1:25" s="19" customFormat="1">
      <c r="A301" s="19" t="s">
        <v>7208</v>
      </c>
      <c r="B301" s="19" t="s">
        <v>856</v>
      </c>
      <c r="C301" s="19">
        <v>1088</v>
      </c>
      <c r="D301" s="19">
        <v>11</v>
      </c>
      <c r="E301" s="19" t="s">
        <v>4264</v>
      </c>
      <c r="F301" s="19" t="s">
        <v>857</v>
      </c>
      <c r="G301" s="19" t="str">
        <f>VLOOKUP(TRIM(F301),[1]mss!$AA:$AA,1,0)</f>
        <v>Ca I 142</v>
      </c>
      <c r="H301" s="19" t="s">
        <v>858</v>
      </c>
      <c r="I301" s="19" t="s">
        <v>8928</v>
      </c>
      <c r="J301" s="19" t="s">
        <v>8959</v>
      </c>
      <c r="L301" s="19">
        <f t="shared" si="8"/>
        <v>1</v>
      </c>
      <c r="M301" s="19" t="s">
        <v>6441</v>
      </c>
      <c r="N301" s="19" t="s">
        <v>6442</v>
      </c>
      <c r="O301" s="19" t="s">
        <v>6443</v>
      </c>
      <c r="P301" s="19">
        <v>-40640</v>
      </c>
      <c r="Q301" s="19">
        <v>524150</v>
      </c>
      <c r="R301" s="21" t="s">
        <v>8452</v>
      </c>
      <c r="S301" s="21" t="s">
        <v>8156</v>
      </c>
      <c r="T301" s="19" t="s">
        <v>7208</v>
      </c>
      <c r="U301" s="19">
        <v>1</v>
      </c>
      <c r="V301" s="19" t="s">
        <v>8656</v>
      </c>
      <c r="W301" s="19" t="s">
        <v>6443</v>
      </c>
      <c r="X301" s="19" t="s">
        <v>3012</v>
      </c>
      <c r="Y301" s="19">
        <f t="shared" si="9"/>
        <v>1</v>
      </c>
    </row>
    <row r="302" spans="1:25" hidden="1">
      <c r="A302" t="s">
        <v>7587</v>
      </c>
      <c r="B302" t="s">
        <v>120</v>
      </c>
      <c r="C302">
        <v>1177</v>
      </c>
      <c r="D302">
        <v>12</v>
      </c>
      <c r="E302" t="s">
        <v>121</v>
      </c>
      <c r="F302" t="s">
        <v>1094</v>
      </c>
      <c r="G302" t="str">
        <f>VLOOKUP(TRIM(F302), [1]mss!$AA:$AA,1,0)</f>
        <v>Ox I 661</v>
      </c>
      <c r="H302" t="s">
        <v>321</v>
      </c>
      <c r="J302" t="s">
        <v>8668</v>
      </c>
      <c r="L302">
        <f t="shared" si="8"/>
        <v>1</v>
      </c>
      <c r="M302" t="s">
        <v>1</v>
      </c>
      <c r="N302" t="s">
        <v>6445</v>
      </c>
      <c r="O302" t="s">
        <v>12</v>
      </c>
      <c r="P302" t="s">
        <v>6446</v>
      </c>
      <c r="Q302">
        <v>515074</v>
      </c>
      <c r="R302" s="16" t="s">
        <v>6446</v>
      </c>
      <c r="S302" s="16" t="s">
        <v>8068</v>
      </c>
      <c r="T302" t="s">
        <v>7587</v>
      </c>
      <c r="U302">
        <v>0</v>
      </c>
      <c r="V302" t="s">
        <v>8654</v>
      </c>
      <c r="W302" t="s">
        <v>12</v>
      </c>
      <c r="X302" t="s">
        <v>8663</v>
      </c>
      <c r="Y302">
        <f t="shared" si="9"/>
        <v>1</v>
      </c>
    </row>
    <row r="303" spans="1:25" hidden="1">
      <c r="A303" t="s">
        <v>7217</v>
      </c>
      <c r="B303" t="s">
        <v>864</v>
      </c>
      <c r="C303">
        <v>1102</v>
      </c>
      <c r="D303">
        <v>12</v>
      </c>
      <c r="E303" t="s">
        <v>4265</v>
      </c>
      <c r="F303" t="s">
        <v>865</v>
      </c>
      <c r="H303" t="s">
        <v>866</v>
      </c>
      <c r="I303" t="s">
        <v>8928</v>
      </c>
      <c r="J303" t="s">
        <v>8967</v>
      </c>
      <c r="L303">
        <f t="shared" si="8"/>
        <v>1</v>
      </c>
      <c r="M303" t="s">
        <v>4425</v>
      </c>
      <c r="N303" t="s">
        <v>6315</v>
      </c>
      <c r="O303" t="s">
        <v>104</v>
      </c>
      <c r="P303">
        <v>10990</v>
      </c>
      <c r="Q303">
        <v>494430</v>
      </c>
      <c r="R303" s="16" t="s">
        <v>8453</v>
      </c>
      <c r="S303" s="16" t="s">
        <v>8157</v>
      </c>
      <c r="T303" t="s">
        <v>7217</v>
      </c>
      <c r="U303">
        <v>1</v>
      </c>
      <c r="V303" t="s">
        <v>8656</v>
      </c>
      <c r="W303" t="s">
        <v>104</v>
      </c>
      <c r="X303" t="s">
        <v>3012</v>
      </c>
      <c r="Y303">
        <f t="shared" si="9"/>
        <v>1</v>
      </c>
    </row>
    <row r="304" spans="1:25" hidden="1">
      <c r="A304" t="s">
        <v>7123</v>
      </c>
      <c r="B304" t="s">
        <v>467</v>
      </c>
      <c r="C304">
        <v>1181</v>
      </c>
      <c r="D304">
        <v>12</v>
      </c>
      <c r="E304" t="s">
        <v>4131</v>
      </c>
      <c r="F304" t="s">
        <v>649</v>
      </c>
      <c r="G304" t="str">
        <f>VLOOKUP(TRIM(F304), [1]mss!$AA:$AA,1,0)</f>
        <v>BL I 560</v>
      </c>
      <c r="H304" t="s">
        <v>650</v>
      </c>
      <c r="I304" t="s">
        <v>8928</v>
      </c>
      <c r="J304" t="s">
        <v>8940</v>
      </c>
      <c r="L304">
        <f t="shared" si="8"/>
        <v>1</v>
      </c>
      <c r="M304" t="s">
        <v>6957</v>
      </c>
      <c r="N304" t="s">
        <v>6367</v>
      </c>
      <c r="O304" t="s">
        <v>12</v>
      </c>
      <c r="P304" t="s">
        <v>6958</v>
      </c>
      <c r="Q304" t="s">
        <v>6959</v>
      </c>
      <c r="R304" s="16" t="s">
        <v>8421</v>
      </c>
      <c r="S304" s="16" t="s">
        <v>8125</v>
      </c>
      <c r="T304" t="s">
        <v>7781</v>
      </c>
      <c r="U304">
        <v>1</v>
      </c>
      <c r="V304" t="s">
        <v>8656</v>
      </c>
      <c r="W304" t="s">
        <v>12</v>
      </c>
      <c r="X304" t="s">
        <v>8659</v>
      </c>
      <c r="Y304">
        <f t="shared" si="9"/>
        <v>1</v>
      </c>
    </row>
    <row r="305" spans="1:25">
      <c r="A305" t="s">
        <v>7234</v>
      </c>
      <c r="B305" t="s">
        <v>870</v>
      </c>
      <c r="C305">
        <v>1119</v>
      </c>
      <c r="D305">
        <v>12</v>
      </c>
      <c r="E305" t="s">
        <v>12</v>
      </c>
      <c r="F305" t="s">
        <v>871</v>
      </c>
      <c r="G305" t="str">
        <f>VLOOKUP(TRIM(F305),[1]mss!$AA:$AA,1,0)</f>
        <v>Ca I 298</v>
      </c>
      <c r="H305" t="s">
        <v>872</v>
      </c>
      <c r="J305" t="s">
        <v>8668</v>
      </c>
      <c r="L305">
        <f t="shared" si="8"/>
        <v>0</v>
      </c>
      <c r="R305" s="16" t="s">
        <v>8064</v>
      </c>
      <c r="S305" s="16" t="s">
        <v>8064</v>
      </c>
      <c r="T305" t="s">
        <v>7234</v>
      </c>
      <c r="U305">
        <v>0</v>
      </c>
      <c r="V305" t="s">
        <v>8655</v>
      </c>
      <c r="X305" t="s">
        <v>3012</v>
      </c>
      <c r="Y305">
        <f t="shared" si="9"/>
        <v>0</v>
      </c>
    </row>
    <row r="306" spans="1:25" hidden="1">
      <c r="A306" t="s">
        <v>7254</v>
      </c>
      <c r="B306" t="s">
        <v>957</v>
      </c>
      <c r="C306">
        <v>1181</v>
      </c>
      <c r="D306">
        <v>12</v>
      </c>
      <c r="E306" t="s">
        <v>4124</v>
      </c>
      <c r="F306" t="s">
        <v>958</v>
      </c>
      <c r="G306" t="str">
        <f>VLOOKUP(TRIM(F306), [1]mss!$AA:$AA,1,0)</f>
        <v>Ca I 362</v>
      </c>
      <c r="H306" t="s">
        <v>959</v>
      </c>
      <c r="J306" t="s">
        <v>8676</v>
      </c>
      <c r="L306">
        <f t="shared" si="8"/>
        <v>1</v>
      </c>
      <c r="M306" t="s">
        <v>6391</v>
      </c>
      <c r="N306" t="s">
        <v>6346</v>
      </c>
      <c r="O306" t="s">
        <v>12</v>
      </c>
      <c r="P306" t="s">
        <v>6392</v>
      </c>
      <c r="Q306">
        <v>523970</v>
      </c>
      <c r="R306" s="16" t="s">
        <v>8419</v>
      </c>
      <c r="S306" s="16" t="s">
        <v>8123</v>
      </c>
      <c r="T306" t="s">
        <v>7812</v>
      </c>
      <c r="U306">
        <v>1</v>
      </c>
      <c r="V306" t="s">
        <v>8654</v>
      </c>
      <c r="W306" t="s">
        <v>12</v>
      </c>
      <c r="X306" t="s">
        <v>3012</v>
      </c>
      <c r="Y306">
        <f t="shared" si="9"/>
        <v>1</v>
      </c>
    </row>
    <row r="307" spans="1:25" hidden="1">
      <c r="A307" t="s">
        <v>7214</v>
      </c>
      <c r="B307" t="s">
        <v>876</v>
      </c>
      <c r="C307">
        <v>1119</v>
      </c>
      <c r="D307">
        <v>12</v>
      </c>
      <c r="E307" t="s">
        <v>3995</v>
      </c>
      <c r="F307" t="s">
        <v>877</v>
      </c>
      <c r="H307" t="s">
        <v>878</v>
      </c>
      <c r="I307" t="s">
        <v>8928</v>
      </c>
      <c r="J307" t="s">
        <v>8964</v>
      </c>
      <c r="L307">
        <f t="shared" si="8"/>
        <v>1</v>
      </c>
      <c r="M307" t="s">
        <v>3995</v>
      </c>
      <c r="N307" t="s">
        <v>3995</v>
      </c>
      <c r="O307" t="s">
        <v>3995</v>
      </c>
      <c r="P307" t="s">
        <v>6556</v>
      </c>
      <c r="Q307" t="s">
        <v>6557</v>
      </c>
      <c r="R307" s="16" t="s">
        <v>6556</v>
      </c>
      <c r="S307" s="16" t="s">
        <v>6557</v>
      </c>
      <c r="T307" t="s">
        <v>7214</v>
      </c>
      <c r="U307">
        <v>1</v>
      </c>
      <c r="V307" t="s">
        <v>8656</v>
      </c>
      <c r="W307" t="s">
        <v>3995</v>
      </c>
      <c r="X307" t="s">
        <v>3012</v>
      </c>
      <c r="Y307">
        <f t="shared" si="9"/>
        <v>1</v>
      </c>
    </row>
    <row r="308" spans="1:25" hidden="1">
      <c r="A308" t="s">
        <v>7075</v>
      </c>
      <c r="B308" t="s">
        <v>465</v>
      </c>
      <c r="C308">
        <v>1182</v>
      </c>
      <c r="D308">
        <v>12</v>
      </c>
      <c r="E308" t="s">
        <v>4048</v>
      </c>
      <c r="F308" t="s">
        <v>638</v>
      </c>
      <c r="G308" t="str">
        <f>VLOOKUP(TRIM(F308), [1]mss!$AA:$AA,1,0)</f>
        <v>BL I 415</v>
      </c>
      <c r="H308" t="s">
        <v>639</v>
      </c>
      <c r="I308" t="s">
        <v>8928</v>
      </c>
      <c r="J308" t="s">
        <v>8710</v>
      </c>
      <c r="L308">
        <f t="shared" si="8"/>
        <v>1</v>
      </c>
      <c r="M308" t="s">
        <v>6743</v>
      </c>
      <c r="N308" t="s">
        <v>6482</v>
      </c>
      <c r="O308" t="s">
        <v>12</v>
      </c>
      <c r="P308" t="s">
        <v>6744</v>
      </c>
      <c r="Q308" t="s">
        <v>6745</v>
      </c>
      <c r="R308" s="16" t="s">
        <v>8403</v>
      </c>
      <c r="S308" s="16" t="s">
        <v>8107</v>
      </c>
      <c r="T308" t="s">
        <v>7075</v>
      </c>
      <c r="U308">
        <v>1</v>
      </c>
      <c r="V308" t="s">
        <v>8656</v>
      </c>
      <c r="W308" t="s">
        <v>12</v>
      </c>
      <c r="X308" t="s">
        <v>8659</v>
      </c>
      <c r="Y308">
        <f t="shared" si="9"/>
        <v>1</v>
      </c>
    </row>
    <row r="309" spans="1:25" hidden="1">
      <c r="A309" t="s">
        <v>7142</v>
      </c>
      <c r="B309" t="s">
        <v>468</v>
      </c>
      <c r="C309">
        <v>1192</v>
      </c>
      <c r="D309">
        <v>12</v>
      </c>
      <c r="E309" t="s">
        <v>29</v>
      </c>
      <c r="F309" t="s">
        <v>651</v>
      </c>
      <c r="G309" t="str">
        <f>VLOOKUP(TRIM(F309), [1]mss!$AA:$AA,1,0)</f>
        <v>BL I 620</v>
      </c>
      <c r="H309" t="s">
        <v>652</v>
      </c>
      <c r="I309" t="s">
        <v>8928</v>
      </c>
      <c r="J309" t="s">
        <v>8945</v>
      </c>
      <c r="L309">
        <f t="shared" si="8"/>
        <v>1</v>
      </c>
      <c r="M309" t="s">
        <v>6729</v>
      </c>
      <c r="N309" t="s">
        <v>6730</v>
      </c>
      <c r="O309" t="s">
        <v>12</v>
      </c>
      <c r="P309" t="s">
        <v>6731</v>
      </c>
      <c r="Q309" t="s">
        <v>6732</v>
      </c>
      <c r="R309" s="16" t="s">
        <v>8422</v>
      </c>
      <c r="S309" s="16" t="s">
        <v>8126</v>
      </c>
      <c r="T309" t="s">
        <v>7142</v>
      </c>
      <c r="U309">
        <v>1</v>
      </c>
      <c r="V309" t="s">
        <v>8656</v>
      </c>
      <c r="W309" t="s">
        <v>12</v>
      </c>
      <c r="X309" t="s">
        <v>8659</v>
      </c>
      <c r="Y309">
        <f t="shared" si="9"/>
        <v>1</v>
      </c>
    </row>
    <row r="310" spans="1:25" hidden="1">
      <c r="A310" t="s">
        <v>7596</v>
      </c>
      <c r="B310" t="s">
        <v>130</v>
      </c>
      <c r="C310">
        <v>1192</v>
      </c>
      <c r="D310">
        <v>12</v>
      </c>
      <c r="E310" t="s">
        <v>54</v>
      </c>
      <c r="F310" t="s">
        <v>1097</v>
      </c>
      <c r="G310" t="str">
        <f>VLOOKUP(TRIM(F310), [1]mss!$AA:$AA,1,0)</f>
        <v>Ox I 705</v>
      </c>
      <c r="H310" t="s">
        <v>324</v>
      </c>
      <c r="J310" t="s">
        <v>8668</v>
      </c>
      <c r="L310">
        <f t="shared" si="8"/>
        <v>1</v>
      </c>
      <c r="M310" t="s">
        <v>6362</v>
      </c>
      <c r="N310" t="s">
        <v>6363</v>
      </c>
      <c r="O310" t="s">
        <v>12</v>
      </c>
      <c r="P310">
        <v>-28920</v>
      </c>
      <c r="Q310">
        <v>531910</v>
      </c>
      <c r="R310" s="16" t="s">
        <v>8499</v>
      </c>
      <c r="S310" s="16" t="s">
        <v>8205</v>
      </c>
      <c r="T310" t="s">
        <v>7596</v>
      </c>
      <c r="U310">
        <v>0</v>
      </c>
      <c r="V310" t="s">
        <v>8654</v>
      </c>
      <c r="W310" t="s">
        <v>12</v>
      </c>
      <c r="X310" t="s">
        <v>8663</v>
      </c>
      <c r="Y310">
        <f t="shared" si="9"/>
        <v>1</v>
      </c>
    </row>
    <row r="311" spans="1:25" hidden="1">
      <c r="A311" t="s">
        <v>7225</v>
      </c>
      <c r="B311" t="s">
        <v>969</v>
      </c>
      <c r="C311">
        <v>1193</v>
      </c>
      <c r="D311">
        <v>12</v>
      </c>
      <c r="E311" t="s">
        <v>13</v>
      </c>
      <c r="F311" t="s">
        <v>970</v>
      </c>
      <c r="G311" t="str">
        <f>VLOOKUP(TRIM(F311), [1]mss!$AA:$AA,1,0)</f>
        <v>Ca I 248</v>
      </c>
      <c r="H311" t="s">
        <v>971</v>
      </c>
      <c r="J311" t="s">
        <v>8668</v>
      </c>
      <c r="L311">
        <f t="shared" si="8"/>
        <v>1</v>
      </c>
      <c r="M311" t="s">
        <v>6348</v>
      </c>
      <c r="N311" t="s">
        <v>6349</v>
      </c>
      <c r="O311" t="s">
        <v>12</v>
      </c>
      <c r="P311">
        <v>10810</v>
      </c>
      <c r="Q311">
        <v>512810</v>
      </c>
      <c r="R311" s="16" t="s">
        <v>8360</v>
      </c>
      <c r="S311" s="16" t="s">
        <v>8063</v>
      </c>
      <c r="T311" t="s">
        <v>7806</v>
      </c>
      <c r="U311">
        <v>0</v>
      </c>
      <c r="V311" t="s">
        <v>8654</v>
      </c>
      <c r="W311" t="s">
        <v>12</v>
      </c>
      <c r="X311" t="s">
        <v>3012</v>
      </c>
      <c r="Y311">
        <f t="shared" si="9"/>
        <v>1</v>
      </c>
    </row>
    <row r="312" spans="1:25" hidden="1">
      <c r="A312" t="s">
        <v>7652</v>
      </c>
      <c r="B312" t="s">
        <v>3</v>
      </c>
      <c r="C312">
        <v>1194</v>
      </c>
      <c r="D312">
        <v>12</v>
      </c>
      <c r="E312" t="s">
        <v>121</v>
      </c>
      <c r="F312" t="s">
        <v>1159</v>
      </c>
      <c r="G312" t="str">
        <f>VLOOKUP(TRIM(F312), [1]mss!$AA:$AA,1,0)</f>
        <v>Lo I 42</v>
      </c>
      <c r="H312" t="s">
        <v>1160</v>
      </c>
      <c r="J312" t="s">
        <v>8727</v>
      </c>
      <c r="L312">
        <f t="shared" si="8"/>
        <v>1</v>
      </c>
      <c r="M312" t="s">
        <v>1</v>
      </c>
      <c r="N312" t="s">
        <v>6445</v>
      </c>
      <c r="O312" t="s">
        <v>12</v>
      </c>
      <c r="P312" t="s">
        <v>6446</v>
      </c>
      <c r="Q312">
        <v>515074</v>
      </c>
      <c r="R312" s="16" t="s">
        <v>6446</v>
      </c>
      <c r="S312" s="16" t="s">
        <v>8068</v>
      </c>
      <c r="T312" t="s">
        <v>7652</v>
      </c>
      <c r="U312">
        <v>1</v>
      </c>
      <c r="V312" t="s">
        <v>8654</v>
      </c>
      <c r="W312" t="s">
        <v>12</v>
      </c>
      <c r="X312" t="s">
        <v>8661</v>
      </c>
      <c r="Y312">
        <f t="shared" si="9"/>
        <v>1</v>
      </c>
    </row>
    <row r="313" spans="1:25" hidden="1">
      <c r="A313" t="s">
        <v>7520</v>
      </c>
      <c r="B313" t="s">
        <v>4</v>
      </c>
      <c r="C313">
        <v>1194</v>
      </c>
      <c r="D313">
        <v>12</v>
      </c>
      <c r="E313" t="s">
        <v>54</v>
      </c>
      <c r="F313" t="s">
        <v>1098</v>
      </c>
      <c r="G313" t="str">
        <f>VLOOKUP(TRIM(F313), [1]mss!$AA:$AA,1,0)</f>
        <v>Ox I 108</v>
      </c>
      <c r="H313" t="s">
        <v>325</v>
      </c>
      <c r="J313" t="s">
        <v>8668</v>
      </c>
      <c r="L313">
        <f t="shared" si="8"/>
        <v>1</v>
      </c>
      <c r="M313" t="s">
        <v>6362</v>
      </c>
      <c r="N313" t="s">
        <v>6363</v>
      </c>
      <c r="O313" t="s">
        <v>12</v>
      </c>
      <c r="P313">
        <v>-28920</v>
      </c>
      <c r="Q313">
        <v>531910</v>
      </c>
      <c r="R313" s="16" t="s">
        <v>8499</v>
      </c>
      <c r="S313" s="16" t="s">
        <v>8205</v>
      </c>
      <c r="T313" t="s">
        <v>7520</v>
      </c>
      <c r="U313">
        <v>0</v>
      </c>
      <c r="V313" t="s">
        <v>8654</v>
      </c>
      <c r="W313" t="s">
        <v>12</v>
      </c>
      <c r="X313" t="s">
        <v>8663</v>
      </c>
      <c r="Y313">
        <f t="shared" si="9"/>
        <v>1</v>
      </c>
    </row>
    <row r="314" spans="1:25" hidden="1">
      <c r="A314" t="s">
        <v>5406</v>
      </c>
      <c r="B314" t="s">
        <v>892</v>
      </c>
      <c r="C314">
        <v>1138</v>
      </c>
      <c r="D314">
        <v>12</v>
      </c>
      <c r="E314" t="s">
        <v>4052</v>
      </c>
      <c r="F314" t="s">
        <v>893</v>
      </c>
      <c r="H314" t="s">
        <v>894</v>
      </c>
      <c r="J314" t="s">
        <v>8668</v>
      </c>
      <c r="L314">
        <f t="shared" si="8"/>
        <v>1</v>
      </c>
      <c r="M314" t="s">
        <v>6421</v>
      </c>
      <c r="N314" t="s">
        <v>6422</v>
      </c>
      <c r="O314" t="s">
        <v>6423</v>
      </c>
      <c r="P314">
        <v>352137</v>
      </c>
      <c r="Q314">
        <v>317683</v>
      </c>
      <c r="R314" s="16" t="s">
        <v>8407</v>
      </c>
      <c r="S314" s="16" t="s">
        <v>8111</v>
      </c>
      <c r="T314" t="s">
        <v>5406</v>
      </c>
      <c r="U314">
        <v>0</v>
      </c>
      <c r="V314" t="s">
        <v>8654</v>
      </c>
      <c r="W314" t="s">
        <v>6423</v>
      </c>
      <c r="X314" t="s">
        <v>3012</v>
      </c>
      <c r="Y314">
        <f t="shared" si="9"/>
        <v>1</v>
      </c>
    </row>
    <row r="315" spans="1:25" hidden="1">
      <c r="A315" t="s">
        <v>7074</v>
      </c>
      <c r="B315" t="s">
        <v>471</v>
      </c>
      <c r="C315">
        <v>1195</v>
      </c>
      <c r="D315">
        <v>12</v>
      </c>
      <c r="E315" t="s">
        <v>248</v>
      </c>
      <c r="F315" t="s">
        <v>660</v>
      </c>
      <c r="G315" t="str">
        <f>VLOOKUP(TRIM(F315), [1]mss!$AA:$AA,1,0)</f>
        <v>BL I 401</v>
      </c>
      <c r="H315" t="s">
        <v>661</v>
      </c>
      <c r="I315" t="s">
        <v>8928</v>
      </c>
      <c r="J315" t="s">
        <v>8934</v>
      </c>
      <c r="L315">
        <f t="shared" si="8"/>
        <v>1</v>
      </c>
      <c r="M315" t="s">
        <v>1</v>
      </c>
      <c r="N315" t="s">
        <v>6445</v>
      </c>
      <c r="O315" t="s">
        <v>12</v>
      </c>
      <c r="P315" t="s">
        <v>6446</v>
      </c>
      <c r="Q315">
        <v>515074</v>
      </c>
      <c r="R315" s="16" t="s">
        <v>6446</v>
      </c>
      <c r="S315" s="16" t="s">
        <v>8068</v>
      </c>
      <c r="T315" t="s">
        <v>7074</v>
      </c>
      <c r="U315">
        <v>1</v>
      </c>
      <c r="V315" t="s">
        <v>8656</v>
      </c>
      <c r="W315" t="s">
        <v>12</v>
      </c>
      <c r="X315" t="s">
        <v>8659</v>
      </c>
      <c r="Y315">
        <f t="shared" si="9"/>
        <v>1</v>
      </c>
    </row>
    <row r="316" spans="1:25" hidden="1">
      <c r="A316" t="s">
        <v>7212</v>
      </c>
      <c r="B316" t="s">
        <v>966</v>
      </c>
      <c r="C316">
        <v>1195</v>
      </c>
      <c r="D316">
        <v>12</v>
      </c>
      <c r="E316" t="s">
        <v>3993</v>
      </c>
      <c r="F316" t="s">
        <v>967</v>
      </c>
      <c r="G316" t="str">
        <f>VLOOKUP(TRIM(F316), [1]mss!$AA:$AA,1,0)</f>
        <v>Ca I 153</v>
      </c>
      <c r="H316" t="s">
        <v>968</v>
      </c>
      <c r="I316" t="s">
        <v>8928</v>
      </c>
      <c r="J316" t="s">
        <v>8962</v>
      </c>
      <c r="L316">
        <f t="shared" si="8"/>
        <v>1</v>
      </c>
      <c r="M316" t="s">
        <v>6960</v>
      </c>
      <c r="N316" t="s">
        <v>6420</v>
      </c>
      <c r="O316" t="s">
        <v>12</v>
      </c>
      <c r="P316" t="s">
        <v>6961</v>
      </c>
      <c r="Q316" t="s">
        <v>6962</v>
      </c>
      <c r="R316" s="16" t="s">
        <v>8356</v>
      </c>
      <c r="S316" s="16" t="s">
        <v>8059</v>
      </c>
      <c r="T316" t="s">
        <v>7212</v>
      </c>
      <c r="U316">
        <v>1</v>
      </c>
      <c r="V316" t="s">
        <v>8656</v>
      </c>
      <c r="W316" t="s">
        <v>12</v>
      </c>
      <c r="X316" t="s">
        <v>3012</v>
      </c>
      <c r="Y316">
        <f t="shared" si="9"/>
        <v>1</v>
      </c>
    </row>
    <row r="317" spans="1:25">
      <c r="A317" t="s">
        <v>7232</v>
      </c>
      <c r="B317" t="s">
        <v>901</v>
      </c>
      <c r="C317">
        <v>1140</v>
      </c>
      <c r="D317">
        <v>12</v>
      </c>
      <c r="E317" t="s">
        <v>12</v>
      </c>
      <c r="F317" t="s">
        <v>902</v>
      </c>
      <c r="G317" t="str">
        <f>VLOOKUP(TRIM(F317),[1]mss!$AA:$AA,1,0)</f>
        <v>Ca I 294</v>
      </c>
      <c r="H317" t="s">
        <v>903</v>
      </c>
      <c r="J317" t="s">
        <v>8668</v>
      </c>
      <c r="L317">
        <f t="shared" si="8"/>
        <v>0</v>
      </c>
      <c r="R317" s="16" t="s">
        <v>8064</v>
      </c>
      <c r="S317" s="16" t="s">
        <v>8064</v>
      </c>
      <c r="T317" t="s">
        <v>7232</v>
      </c>
      <c r="U317">
        <v>0</v>
      </c>
      <c r="V317" t="s">
        <v>8655</v>
      </c>
      <c r="X317" t="s">
        <v>3012</v>
      </c>
      <c r="Y317">
        <f t="shared" si="9"/>
        <v>0</v>
      </c>
    </row>
    <row r="318" spans="1:25" s="19" customFormat="1" hidden="1">
      <c r="A318" s="19" t="s">
        <v>7071</v>
      </c>
      <c r="B318" s="19" t="s">
        <v>466</v>
      </c>
      <c r="C318" s="19">
        <v>1196</v>
      </c>
      <c r="D318" s="19">
        <v>12</v>
      </c>
      <c r="E318" s="19" t="s">
        <v>4044</v>
      </c>
      <c r="F318" s="19" t="s">
        <v>640</v>
      </c>
      <c r="G318" s="19" t="e">
        <f>VLOOKUP(TRIM(F318), [1]mss!$AA:$AA,1,0)</f>
        <v>#N/A</v>
      </c>
      <c r="H318" s="19" t="s">
        <v>641</v>
      </c>
      <c r="J318" s="19" t="s">
        <v>8709</v>
      </c>
      <c r="L318" s="19">
        <f t="shared" si="8"/>
        <v>1</v>
      </c>
      <c r="M318" s="19" t="s">
        <v>6330</v>
      </c>
      <c r="N318" s="19" t="s">
        <v>6331</v>
      </c>
      <c r="O318" s="19" t="s">
        <v>12</v>
      </c>
      <c r="P318" s="19" t="s">
        <v>6332</v>
      </c>
      <c r="Q318" s="19">
        <v>527760</v>
      </c>
      <c r="R318" s="21" t="s">
        <v>8400</v>
      </c>
      <c r="S318" s="21" t="s">
        <v>8104</v>
      </c>
      <c r="T318" s="19" t="s">
        <v>7071</v>
      </c>
      <c r="U318" s="19">
        <v>1</v>
      </c>
      <c r="V318" s="19" t="s">
        <v>8654</v>
      </c>
      <c r="W318" s="19" t="s">
        <v>12</v>
      </c>
      <c r="X318" s="19" t="s">
        <v>8659</v>
      </c>
      <c r="Y318" s="19">
        <f t="shared" si="9"/>
        <v>1</v>
      </c>
    </row>
    <row r="319" spans="1:25" s="19" customFormat="1" hidden="1">
      <c r="A319" s="19" t="s">
        <v>7102</v>
      </c>
      <c r="B319" s="19" t="s">
        <v>466</v>
      </c>
      <c r="C319" s="19">
        <v>1196</v>
      </c>
      <c r="D319" s="19">
        <v>12</v>
      </c>
      <c r="E319" s="19" t="s">
        <v>220</v>
      </c>
      <c r="F319" s="19" t="s">
        <v>642</v>
      </c>
      <c r="G319" s="19" t="e">
        <f>VLOOKUP(TRIM(F319), [1]mss!$AA:$AA,1,0)</f>
        <v>#N/A</v>
      </c>
      <c r="H319" s="19" t="s">
        <v>643</v>
      </c>
      <c r="J319" s="19" t="s">
        <v>8668</v>
      </c>
      <c r="L319" s="19">
        <f t="shared" si="8"/>
        <v>1</v>
      </c>
      <c r="M319" s="19" t="s">
        <v>6725</v>
      </c>
      <c r="N319" s="19" t="s">
        <v>6726</v>
      </c>
      <c r="O319" s="19" t="s">
        <v>12</v>
      </c>
      <c r="P319" s="19" t="s">
        <v>6727</v>
      </c>
      <c r="Q319" s="19" t="s">
        <v>6728</v>
      </c>
      <c r="R319" s="21" t="s">
        <v>8402</v>
      </c>
      <c r="S319" s="21" t="s">
        <v>8117</v>
      </c>
      <c r="T319" s="19" t="s">
        <v>7763</v>
      </c>
      <c r="U319" s="19">
        <v>0</v>
      </c>
      <c r="V319" s="19" t="s">
        <v>8654</v>
      </c>
      <c r="W319" s="19" t="s">
        <v>12</v>
      </c>
      <c r="X319" s="19" t="s">
        <v>8659</v>
      </c>
      <c r="Y319" s="19">
        <f t="shared" si="9"/>
        <v>1</v>
      </c>
    </row>
    <row r="320" spans="1:25" s="19" customFormat="1" hidden="1">
      <c r="A320" s="19" t="s">
        <v>7153</v>
      </c>
      <c r="B320" s="19" t="s">
        <v>466</v>
      </c>
      <c r="C320" s="19">
        <v>1196</v>
      </c>
      <c r="D320" s="19">
        <v>12</v>
      </c>
      <c r="E320" s="19" t="s">
        <v>258</v>
      </c>
      <c r="F320" s="19" t="s">
        <v>536</v>
      </c>
      <c r="G320" s="19" t="e">
        <f>VLOOKUP(TRIM(F320), [1]mss!$AA:$AA,1,0)</f>
        <v>#N/A</v>
      </c>
      <c r="H320" s="19" t="s">
        <v>644</v>
      </c>
      <c r="I320" s="19" t="s">
        <v>8928</v>
      </c>
      <c r="J320" s="19" t="s">
        <v>8947</v>
      </c>
      <c r="L320" s="19">
        <f t="shared" si="8"/>
        <v>1</v>
      </c>
      <c r="M320" s="19" t="s">
        <v>6396</v>
      </c>
      <c r="N320" s="19" t="s">
        <v>6397</v>
      </c>
      <c r="O320" s="19" t="s">
        <v>12</v>
      </c>
      <c r="P320" s="19">
        <v>-35330</v>
      </c>
      <c r="Q320" s="19">
        <v>507180</v>
      </c>
      <c r="R320" s="21" t="s">
        <v>8359</v>
      </c>
      <c r="S320" s="21" t="s">
        <v>8062</v>
      </c>
      <c r="T320" s="19" t="s">
        <v>7794</v>
      </c>
      <c r="U320" s="19">
        <v>1</v>
      </c>
      <c r="V320" s="19" t="s">
        <v>8656</v>
      </c>
      <c r="W320" s="19" t="s">
        <v>12</v>
      </c>
      <c r="X320" s="19" t="s">
        <v>8659</v>
      </c>
      <c r="Y320" s="19">
        <f t="shared" si="9"/>
        <v>1</v>
      </c>
    </row>
    <row r="321" spans="1:25" s="19" customFormat="1" hidden="1">
      <c r="A321" s="19" t="s">
        <v>7178</v>
      </c>
      <c r="B321" s="19" t="s">
        <v>466</v>
      </c>
      <c r="C321" s="19">
        <v>1196</v>
      </c>
      <c r="D321" s="19">
        <v>12</v>
      </c>
      <c r="E321" s="19" t="s">
        <v>4207</v>
      </c>
      <c r="F321" s="19" t="s">
        <v>645</v>
      </c>
      <c r="G321" s="19" t="e">
        <f>VLOOKUP(TRIM(F321), [1]mss!$AA:$AA,1,0)</f>
        <v>#N/A</v>
      </c>
      <c r="H321" s="19" t="s">
        <v>4211</v>
      </c>
      <c r="J321" s="19" t="s">
        <v>8668</v>
      </c>
      <c r="L321" s="19">
        <f t="shared" si="8"/>
        <v>1</v>
      </c>
      <c r="M321" s="19" t="s">
        <v>6947</v>
      </c>
      <c r="N321" s="19" t="s">
        <v>6948</v>
      </c>
      <c r="O321" s="19" t="s">
        <v>12</v>
      </c>
      <c r="P321" s="19" t="s">
        <v>6446</v>
      </c>
      <c r="Q321" s="19" t="s">
        <v>6949</v>
      </c>
      <c r="R321" s="21" t="s">
        <v>6446</v>
      </c>
      <c r="S321" s="21" t="s">
        <v>8060</v>
      </c>
      <c r="T321" s="19" t="s">
        <v>7178</v>
      </c>
      <c r="U321" s="19">
        <v>0</v>
      </c>
      <c r="V321" s="19" t="s">
        <v>8654</v>
      </c>
      <c r="W321" s="19" t="s">
        <v>12</v>
      </c>
      <c r="X321" s="19" t="s">
        <v>8659</v>
      </c>
      <c r="Y321" s="19">
        <f t="shared" si="9"/>
        <v>1</v>
      </c>
    </row>
    <row r="322" spans="1:25" hidden="1">
      <c r="A322" t="s">
        <v>7237</v>
      </c>
      <c r="B322" t="s">
        <v>918</v>
      </c>
      <c r="C322">
        <v>1167</v>
      </c>
      <c r="D322">
        <v>12</v>
      </c>
      <c r="E322" t="s">
        <v>32</v>
      </c>
      <c r="F322" t="s">
        <v>919</v>
      </c>
      <c r="H322" t="s">
        <v>920</v>
      </c>
      <c r="J322" t="s">
        <v>8682</v>
      </c>
      <c r="L322">
        <f t="shared" ref="L322:L385" si="10">IF(M322&lt;&gt;"",1,0)</f>
        <v>1</v>
      </c>
      <c r="M322" t="s">
        <v>4502</v>
      </c>
      <c r="N322" t="s">
        <v>6456</v>
      </c>
      <c r="O322" t="s">
        <v>104</v>
      </c>
      <c r="P322">
        <v>23522</v>
      </c>
      <c r="Q322">
        <v>488566</v>
      </c>
      <c r="R322" s="16" t="s">
        <v>8364</v>
      </c>
      <c r="S322" s="16" t="s">
        <v>8069</v>
      </c>
      <c r="T322" t="s">
        <v>7237</v>
      </c>
      <c r="U322">
        <v>1</v>
      </c>
      <c r="V322" t="s">
        <v>8654</v>
      </c>
      <c r="W322" t="s">
        <v>104</v>
      </c>
      <c r="X322" t="s">
        <v>3012</v>
      </c>
      <c r="Y322">
        <f t="shared" ref="Y322:Y385" si="11">IF(OR(V322="Loc",V322="IIIF"),1,0)</f>
        <v>1</v>
      </c>
    </row>
    <row r="323" spans="1:25" hidden="1">
      <c r="A323" t="s">
        <v>7239</v>
      </c>
      <c r="B323" t="s">
        <v>918</v>
      </c>
      <c r="C323">
        <v>1167</v>
      </c>
      <c r="D323">
        <v>12</v>
      </c>
      <c r="E323" t="s">
        <v>32</v>
      </c>
      <c r="F323" t="s">
        <v>921</v>
      </c>
      <c r="H323" t="s">
        <v>922</v>
      </c>
      <c r="J323" s="5" t="s">
        <v>8684</v>
      </c>
      <c r="L323">
        <f t="shared" si="10"/>
        <v>1</v>
      </c>
      <c r="M323" t="s">
        <v>4502</v>
      </c>
      <c r="N323" t="s">
        <v>6456</v>
      </c>
      <c r="O323" t="s">
        <v>104</v>
      </c>
      <c r="P323">
        <v>23522</v>
      </c>
      <c r="Q323">
        <v>488566</v>
      </c>
      <c r="R323" s="16" t="s">
        <v>8364</v>
      </c>
      <c r="S323" s="16" t="s">
        <v>8069</v>
      </c>
      <c r="T323" t="s">
        <v>7239</v>
      </c>
      <c r="U323">
        <v>1</v>
      </c>
      <c r="V323" t="s">
        <v>8654</v>
      </c>
      <c r="W323" t="s">
        <v>104</v>
      </c>
      <c r="X323" t="s">
        <v>3012</v>
      </c>
      <c r="Y323">
        <f t="shared" si="11"/>
        <v>1</v>
      </c>
    </row>
    <row r="324" spans="1:25" hidden="1">
      <c r="A324" t="s">
        <v>7242</v>
      </c>
      <c r="B324" t="s">
        <v>918</v>
      </c>
      <c r="C324">
        <v>1167</v>
      </c>
      <c r="D324">
        <v>12</v>
      </c>
      <c r="E324" t="s">
        <v>32</v>
      </c>
      <c r="F324" t="s">
        <v>923</v>
      </c>
      <c r="H324" t="s">
        <v>924</v>
      </c>
      <c r="J324" s="5" t="s">
        <v>8688</v>
      </c>
      <c r="L324">
        <f t="shared" si="10"/>
        <v>1</v>
      </c>
      <c r="M324" t="s">
        <v>4502</v>
      </c>
      <c r="N324" t="s">
        <v>6456</v>
      </c>
      <c r="O324" t="s">
        <v>104</v>
      </c>
      <c r="P324">
        <v>23522</v>
      </c>
      <c r="Q324">
        <v>488566</v>
      </c>
      <c r="R324" s="16" t="s">
        <v>8364</v>
      </c>
      <c r="S324" s="16" t="s">
        <v>8069</v>
      </c>
      <c r="T324" t="s">
        <v>7242</v>
      </c>
      <c r="U324">
        <v>1</v>
      </c>
      <c r="V324" t="s">
        <v>8654</v>
      </c>
      <c r="W324" t="s">
        <v>104</v>
      </c>
      <c r="X324" t="s">
        <v>3012</v>
      </c>
      <c r="Y324">
        <f t="shared" si="11"/>
        <v>1</v>
      </c>
    </row>
    <row r="325" spans="1:25" hidden="1">
      <c r="A325" t="s">
        <v>7250</v>
      </c>
      <c r="B325" t="s">
        <v>918</v>
      </c>
      <c r="C325">
        <v>1167</v>
      </c>
      <c r="D325">
        <v>12</v>
      </c>
      <c r="E325" t="s">
        <v>104</v>
      </c>
      <c r="F325" t="s">
        <v>927</v>
      </c>
      <c r="H325" t="s">
        <v>928</v>
      </c>
      <c r="J325" t="s">
        <v>8668</v>
      </c>
      <c r="L325">
        <f t="shared" si="10"/>
        <v>0</v>
      </c>
      <c r="R325" s="16" t="s">
        <v>8064</v>
      </c>
      <c r="S325" s="16" t="s">
        <v>8064</v>
      </c>
      <c r="T325" t="s">
        <v>7250</v>
      </c>
      <c r="U325">
        <v>0</v>
      </c>
      <c r="V325" t="s">
        <v>8655</v>
      </c>
      <c r="X325" t="s">
        <v>3012</v>
      </c>
      <c r="Y325">
        <f t="shared" si="11"/>
        <v>0</v>
      </c>
    </row>
    <row r="326" spans="1:25" hidden="1">
      <c r="A326" t="s">
        <v>7247</v>
      </c>
      <c r="B326" t="s">
        <v>918</v>
      </c>
      <c r="C326">
        <v>1167</v>
      </c>
      <c r="D326">
        <v>12</v>
      </c>
      <c r="E326" t="s">
        <v>4313</v>
      </c>
      <c r="F326" t="s">
        <v>925</v>
      </c>
      <c r="H326" t="s">
        <v>926</v>
      </c>
      <c r="J326" t="s">
        <v>8680</v>
      </c>
      <c r="L326">
        <f t="shared" si="10"/>
        <v>1</v>
      </c>
      <c r="M326" t="s">
        <v>6476</v>
      </c>
      <c r="N326" t="s">
        <v>6308</v>
      </c>
      <c r="O326" t="s">
        <v>104</v>
      </c>
      <c r="P326">
        <v>36330</v>
      </c>
      <c r="Q326">
        <v>477100</v>
      </c>
      <c r="R326" s="16" t="s">
        <v>8458</v>
      </c>
      <c r="S326" s="16" t="s">
        <v>8162</v>
      </c>
      <c r="T326" t="s">
        <v>7247</v>
      </c>
      <c r="U326">
        <v>1</v>
      </c>
      <c r="V326" t="s">
        <v>8654</v>
      </c>
      <c r="W326" t="s">
        <v>104</v>
      </c>
      <c r="X326" t="s">
        <v>3012</v>
      </c>
      <c r="Y326">
        <f t="shared" si="11"/>
        <v>1</v>
      </c>
    </row>
    <row r="327" spans="1:25">
      <c r="A327" t="s">
        <v>7201</v>
      </c>
      <c r="B327" t="s">
        <v>929</v>
      </c>
      <c r="C327">
        <v>1169</v>
      </c>
      <c r="D327">
        <v>12</v>
      </c>
      <c r="E327" t="s">
        <v>12</v>
      </c>
      <c r="F327" t="s">
        <v>930</v>
      </c>
      <c r="G327" t="str">
        <f>VLOOKUP(TRIM(F327),[1]mss!$AA:$AA,1,0)</f>
        <v>Ca I 133</v>
      </c>
      <c r="H327" t="s">
        <v>931</v>
      </c>
      <c r="I327" t="s">
        <v>8928</v>
      </c>
      <c r="J327" t="s">
        <v>8798</v>
      </c>
      <c r="L327">
        <f t="shared" si="10"/>
        <v>0</v>
      </c>
      <c r="R327" s="16" t="s">
        <v>8064</v>
      </c>
      <c r="S327" s="16" t="s">
        <v>8064</v>
      </c>
      <c r="T327" t="s">
        <v>7201</v>
      </c>
      <c r="U327">
        <v>1</v>
      </c>
      <c r="V327" t="s">
        <v>8655</v>
      </c>
      <c r="X327" t="s">
        <v>3012</v>
      </c>
      <c r="Y327">
        <f t="shared" si="11"/>
        <v>0</v>
      </c>
    </row>
    <row r="328" spans="1:25" hidden="1">
      <c r="A328" t="s">
        <v>7238</v>
      </c>
      <c r="B328" t="s">
        <v>932</v>
      </c>
      <c r="C328">
        <v>1179</v>
      </c>
      <c r="D328">
        <v>12</v>
      </c>
      <c r="E328" t="s">
        <v>32</v>
      </c>
      <c r="F328" t="s">
        <v>933</v>
      </c>
      <c r="H328" t="s">
        <v>934</v>
      </c>
      <c r="J328" s="5" t="s">
        <v>8683</v>
      </c>
      <c r="L328">
        <f t="shared" si="10"/>
        <v>1</v>
      </c>
      <c r="M328" t="s">
        <v>4502</v>
      </c>
      <c r="N328" t="s">
        <v>6456</v>
      </c>
      <c r="O328" t="s">
        <v>104</v>
      </c>
      <c r="P328">
        <v>23522</v>
      </c>
      <c r="Q328">
        <v>488566</v>
      </c>
      <c r="R328" s="16" t="s">
        <v>8364</v>
      </c>
      <c r="S328" s="16" t="s">
        <v>8069</v>
      </c>
      <c r="T328" t="s">
        <v>7238</v>
      </c>
      <c r="U328">
        <v>1</v>
      </c>
      <c r="V328" t="s">
        <v>8654</v>
      </c>
      <c r="W328" t="s">
        <v>104</v>
      </c>
      <c r="X328" t="s">
        <v>3012</v>
      </c>
      <c r="Y328">
        <f t="shared" si="11"/>
        <v>1</v>
      </c>
    </row>
    <row r="329" spans="1:25" hidden="1">
      <c r="A329" t="s">
        <v>7240</v>
      </c>
      <c r="B329" t="s">
        <v>932</v>
      </c>
      <c r="C329">
        <v>1179</v>
      </c>
      <c r="D329">
        <v>12</v>
      </c>
      <c r="E329" t="s">
        <v>32</v>
      </c>
      <c r="F329" t="s">
        <v>935</v>
      </c>
      <c r="H329" t="s">
        <v>936</v>
      </c>
      <c r="J329" s="5" t="s">
        <v>8685</v>
      </c>
      <c r="L329">
        <f t="shared" si="10"/>
        <v>1</v>
      </c>
      <c r="M329" t="s">
        <v>4502</v>
      </c>
      <c r="N329" t="s">
        <v>6456</v>
      </c>
      <c r="O329" t="s">
        <v>104</v>
      </c>
      <c r="P329">
        <v>23522</v>
      </c>
      <c r="Q329">
        <v>488566</v>
      </c>
      <c r="R329" s="16" t="s">
        <v>8364</v>
      </c>
      <c r="S329" s="16" t="s">
        <v>8069</v>
      </c>
      <c r="T329" t="s">
        <v>7240</v>
      </c>
      <c r="U329">
        <v>1</v>
      </c>
      <c r="V329" t="s">
        <v>8654</v>
      </c>
      <c r="W329" t="s">
        <v>104</v>
      </c>
      <c r="X329" t="s">
        <v>3012</v>
      </c>
      <c r="Y329">
        <f t="shared" si="11"/>
        <v>1</v>
      </c>
    </row>
    <row r="330" spans="1:25" hidden="1">
      <c r="A330" t="s">
        <v>7228</v>
      </c>
      <c r="B330" t="s">
        <v>937</v>
      </c>
      <c r="C330">
        <v>1179</v>
      </c>
      <c r="D330">
        <v>12</v>
      </c>
      <c r="E330" t="s">
        <v>32</v>
      </c>
      <c r="F330" t="s">
        <v>938</v>
      </c>
      <c r="H330" t="s">
        <v>939</v>
      </c>
      <c r="J330" t="s">
        <v>8668</v>
      </c>
      <c r="L330">
        <f t="shared" si="10"/>
        <v>1</v>
      </c>
      <c r="M330" t="s">
        <v>4502</v>
      </c>
      <c r="N330" t="s">
        <v>6456</v>
      </c>
      <c r="O330" t="s">
        <v>104</v>
      </c>
      <c r="P330">
        <v>23522</v>
      </c>
      <c r="Q330">
        <v>488566</v>
      </c>
      <c r="R330" s="16" t="s">
        <v>8364</v>
      </c>
      <c r="S330" s="16" t="s">
        <v>8069</v>
      </c>
      <c r="T330" t="s">
        <v>7228</v>
      </c>
      <c r="U330">
        <v>0</v>
      </c>
      <c r="V330" t="s">
        <v>8654</v>
      </c>
      <c r="W330" t="s">
        <v>104</v>
      </c>
      <c r="X330" t="s">
        <v>3012</v>
      </c>
      <c r="Y330">
        <f t="shared" si="11"/>
        <v>1</v>
      </c>
    </row>
    <row r="331" spans="1:25" hidden="1">
      <c r="A331" t="s">
        <v>7229</v>
      </c>
      <c r="B331" t="s">
        <v>937</v>
      </c>
      <c r="C331">
        <v>1179</v>
      </c>
      <c r="D331">
        <v>12</v>
      </c>
      <c r="E331" t="s">
        <v>32</v>
      </c>
      <c r="F331" t="s">
        <v>940</v>
      </c>
      <c r="H331" t="s">
        <v>941</v>
      </c>
      <c r="J331" t="s">
        <v>8668</v>
      </c>
      <c r="L331">
        <f t="shared" si="10"/>
        <v>1</v>
      </c>
      <c r="M331" t="s">
        <v>4502</v>
      </c>
      <c r="N331" t="s">
        <v>6456</v>
      </c>
      <c r="O331" t="s">
        <v>104</v>
      </c>
      <c r="P331">
        <v>23522</v>
      </c>
      <c r="Q331">
        <v>488566</v>
      </c>
      <c r="R331" s="16" t="s">
        <v>8364</v>
      </c>
      <c r="S331" s="16" t="s">
        <v>8069</v>
      </c>
      <c r="T331" t="s">
        <v>7229</v>
      </c>
      <c r="U331">
        <v>0</v>
      </c>
      <c r="V331" t="s">
        <v>8654</v>
      </c>
      <c r="W331" t="s">
        <v>104</v>
      </c>
      <c r="X331" t="s">
        <v>3012</v>
      </c>
      <c r="Y331">
        <f t="shared" si="11"/>
        <v>1</v>
      </c>
    </row>
    <row r="332" spans="1:25" hidden="1">
      <c r="A332" t="s">
        <v>7230</v>
      </c>
      <c r="B332" t="s">
        <v>937</v>
      </c>
      <c r="C332">
        <v>1179</v>
      </c>
      <c r="D332">
        <v>12</v>
      </c>
      <c r="E332" t="s">
        <v>32</v>
      </c>
      <c r="F332" t="s">
        <v>942</v>
      </c>
      <c r="H332" t="s">
        <v>943</v>
      </c>
      <c r="J332" t="s">
        <v>8668</v>
      </c>
      <c r="L332">
        <f t="shared" si="10"/>
        <v>1</v>
      </c>
      <c r="M332" t="s">
        <v>4502</v>
      </c>
      <c r="N332" t="s">
        <v>6456</v>
      </c>
      <c r="O332" t="s">
        <v>104</v>
      </c>
      <c r="P332">
        <v>23522</v>
      </c>
      <c r="Q332">
        <v>488566</v>
      </c>
      <c r="R332" s="16" t="s">
        <v>8364</v>
      </c>
      <c r="S332" s="16" t="s">
        <v>8069</v>
      </c>
      <c r="T332" t="s">
        <v>7230</v>
      </c>
      <c r="U332">
        <v>0</v>
      </c>
      <c r="V332" t="s">
        <v>8654</v>
      </c>
      <c r="W332" t="s">
        <v>104</v>
      </c>
      <c r="X332" t="s">
        <v>3012</v>
      </c>
      <c r="Y332">
        <f t="shared" si="11"/>
        <v>1</v>
      </c>
    </row>
    <row r="333" spans="1:25" hidden="1">
      <c r="A333" t="s">
        <v>7584</v>
      </c>
      <c r="B333" t="s">
        <v>5</v>
      </c>
      <c r="C333">
        <v>1196</v>
      </c>
      <c r="D333">
        <v>12</v>
      </c>
      <c r="E333" t="s">
        <v>35</v>
      </c>
      <c r="F333" t="s">
        <v>1096</v>
      </c>
      <c r="G333" t="str">
        <f>VLOOKUP(TRIM(F333), [1]mss!$AA:$AA,1,0)</f>
        <v>Ox I 65</v>
      </c>
      <c r="H333" t="s">
        <v>326</v>
      </c>
      <c r="J333" t="s">
        <v>8668</v>
      </c>
      <c r="L333">
        <f t="shared" si="10"/>
        <v>1</v>
      </c>
      <c r="M333" t="s">
        <v>6450</v>
      </c>
      <c r="N333" t="s">
        <v>6451</v>
      </c>
      <c r="O333" t="s">
        <v>12</v>
      </c>
      <c r="P333">
        <v>-20390</v>
      </c>
      <c r="Q333">
        <v>515870</v>
      </c>
      <c r="R333" s="16" t="s">
        <v>8362</v>
      </c>
      <c r="S333" s="16" t="s">
        <v>8066</v>
      </c>
      <c r="T333" t="s">
        <v>7584</v>
      </c>
      <c r="U333">
        <v>0</v>
      </c>
      <c r="V333" t="s">
        <v>8654</v>
      </c>
      <c r="W333" t="s">
        <v>12</v>
      </c>
      <c r="X333" t="s">
        <v>8663</v>
      </c>
      <c r="Y333">
        <f t="shared" si="11"/>
        <v>1</v>
      </c>
    </row>
    <row r="334" spans="1:25" hidden="1">
      <c r="A334" t="s">
        <v>7602</v>
      </c>
      <c r="B334" t="s">
        <v>134</v>
      </c>
      <c r="C334">
        <v>1196</v>
      </c>
      <c r="D334">
        <v>12</v>
      </c>
      <c r="E334" t="s">
        <v>135</v>
      </c>
      <c r="F334" t="s">
        <v>1099</v>
      </c>
      <c r="G334" t="str">
        <f>VLOOKUP(TRIM(F334), [1]mss!$AA:$AA,1,0)</f>
        <v>Ox I 765</v>
      </c>
      <c r="H334" t="s">
        <v>327</v>
      </c>
      <c r="J334" t="s">
        <v>8668</v>
      </c>
      <c r="L334">
        <f t="shared" si="10"/>
        <v>1</v>
      </c>
      <c r="M334" t="s">
        <v>6398</v>
      </c>
      <c r="N334" t="s">
        <v>6399</v>
      </c>
      <c r="O334" t="s">
        <v>12</v>
      </c>
      <c r="P334">
        <v>-13640</v>
      </c>
      <c r="Q334">
        <v>517620</v>
      </c>
      <c r="R334" s="16" t="s">
        <v>8524</v>
      </c>
      <c r="S334" s="16" t="s">
        <v>8229</v>
      </c>
      <c r="T334" t="s">
        <v>7892</v>
      </c>
      <c r="U334">
        <v>0</v>
      </c>
      <c r="V334" t="s">
        <v>8654</v>
      </c>
      <c r="W334" t="s">
        <v>12</v>
      </c>
      <c r="X334" t="s">
        <v>8663</v>
      </c>
      <c r="Y334">
        <f t="shared" si="11"/>
        <v>1</v>
      </c>
    </row>
    <row r="335" spans="1:25" hidden="1">
      <c r="A335" t="s">
        <v>7156</v>
      </c>
      <c r="B335" t="s">
        <v>470</v>
      </c>
      <c r="C335">
        <v>1197</v>
      </c>
      <c r="D335">
        <v>12</v>
      </c>
      <c r="E335" t="s">
        <v>4176</v>
      </c>
      <c r="F335" t="s">
        <v>658</v>
      </c>
      <c r="G335" t="str">
        <f>VLOOKUP(TRIM(F335), [1]mss!$AA:$AA,1,0)</f>
        <v>BL I 641</v>
      </c>
      <c r="H335" t="s">
        <v>659</v>
      </c>
      <c r="I335" t="s">
        <v>8928</v>
      </c>
      <c r="J335" t="s">
        <v>8948</v>
      </c>
      <c r="L335">
        <f t="shared" si="10"/>
        <v>1</v>
      </c>
      <c r="M335" t="s">
        <v>6935</v>
      </c>
      <c r="N335" t="s">
        <v>6936</v>
      </c>
      <c r="O335" t="s">
        <v>12</v>
      </c>
      <c r="P335" t="s">
        <v>6937</v>
      </c>
      <c r="Q335" t="s">
        <v>6938</v>
      </c>
      <c r="R335" s="16" t="s">
        <v>8434</v>
      </c>
      <c r="S335" s="16" t="s">
        <v>8138</v>
      </c>
      <c r="T335" t="s">
        <v>7156</v>
      </c>
      <c r="U335">
        <v>1</v>
      </c>
      <c r="V335" t="s">
        <v>8656</v>
      </c>
      <c r="W335" t="s">
        <v>12</v>
      </c>
      <c r="X335" t="s">
        <v>8659</v>
      </c>
      <c r="Y335">
        <f t="shared" si="11"/>
        <v>1</v>
      </c>
    </row>
    <row r="336" spans="1:25" hidden="1">
      <c r="A336" t="s">
        <v>7243</v>
      </c>
      <c r="B336" t="s">
        <v>951</v>
      </c>
      <c r="C336">
        <v>1173</v>
      </c>
      <c r="D336">
        <v>12</v>
      </c>
      <c r="E336" t="s">
        <v>32</v>
      </c>
      <c r="F336" t="s">
        <v>952</v>
      </c>
      <c r="H336" t="s">
        <v>953</v>
      </c>
      <c r="J336" s="5" t="s">
        <v>8689</v>
      </c>
      <c r="L336">
        <f t="shared" si="10"/>
        <v>1</v>
      </c>
      <c r="M336" t="s">
        <v>4502</v>
      </c>
      <c r="N336" t="s">
        <v>6456</v>
      </c>
      <c r="O336" t="s">
        <v>104</v>
      </c>
      <c r="P336">
        <v>23522</v>
      </c>
      <c r="Q336">
        <v>488566</v>
      </c>
      <c r="R336" s="16" t="s">
        <v>8364</v>
      </c>
      <c r="S336" s="16" t="s">
        <v>8069</v>
      </c>
      <c r="T336" t="s">
        <v>7243</v>
      </c>
      <c r="U336">
        <v>1</v>
      </c>
      <c r="V336" t="s">
        <v>8654</v>
      </c>
      <c r="W336" t="s">
        <v>104</v>
      </c>
      <c r="X336" t="s">
        <v>3012</v>
      </c>
      <c r="Y336">
        <f t="shared" si="11"/>
        <v>1</v>
      </c>
    </row>
    <row r="337" spans="1:25" hidden="1">
      <c r="A337" t="s">
        <v>7244</v>
      </c>
      <c r="B337" t="s">
        <v>951</v>
      </c>
      <c r="C337">
        <v>1173</v>
      </c>
      <c r="D337">
        <v>12</v>
      </c>
      <c r="E337" t="s">
        <v>32</v>
      </c>
      <c r="F337" t="s">
        <v>952</v>
      </c>
      <c r="H337" t="s">
        <v>953</v>
      </c>
      <c r="J337" s="5" t="s">
        <v>8690</v>
      </c>
      <c r="L337">
        <f t="shared" si="10"/>
        <v>1</v>
      </c>
      <c r="M337" t="s">
        <v>4502</v>
      </c>
      <c r="N337" t="s">
        <v>6456</v>
      </c>
      <c r="O337" t="s">
        <v>104</v>
      </c>
      <c r="P337">
        <v>23522</v>
      </c>
      <c r="Q337">
        <v>488566</v>
      </c>
      <c r="R337" s="16" t="s">
        <v>8364</v>
      </c>
      <c r="S337" s="16" t="s">
        <v>8069</v>
      </c>
      <c r="T337" t="s">
        <v>7244</v>
      </c>
      <c r="U337">
        <v>1</v>
      </c>
      <c r="V337" t="s">
        <v>8654</v>
      </c>
      <c r="W337" t="s">
        <v>104</v>
      </c>
      <c r="X337" t="s">
        <v>3012</v>
      </c>
      <c r="Y337">
        <f t="shared" si="11"/>
        <v>1</v>
      </c>
    </row>
    <row r="338" spans="1:25" hidden="1">
      <c r="A338" t="s">
        <v>7241</v>
      </c>
      <c r="B338" t="s">
        <v>954</v>
      </c>
      <c r="C338">
        <v>1175</v>
      </c>
      <c r="D338">
        <v>12</v>
      </c>
      <c r="E338" t="s">
        <v>32</v>
      </c>
      <c r="F338" t="s">
        <v>955</v>
      </c>
      <c r="H338" t="s">
        <v>956</v>
      </c>
      <c r="J338" s="5" t="s">
        <v>8687</v>
      </c>
      <c r="L338">
        <f t="shared" si="10"/>
        <v>1</v>
      </c>
      <c r="M338" t="s">
        <v>4502</v>
      </c>
      <c r="N338" t="s">
        <v>6456</v>
      </c>
      <c r="O338" t="s">
        <v>104</v>
      </c>
      <c r="P338">
        <v>23522</v>
      </c>
      <c r="Q338">
        <v>488566</v>
      </c>
      <c r="R338" s="16" t="s">
        <v>8364</v>
      </c>
      <c r="S338" s="16" t="s">
        <v>8069</v>
      </c>
      <c r="T338" t="s">
        <v>7241</v>
      </c>
      <c r="U338">
        <v>1</v>
      </c>
      <c r="V338" t="s">
        <v>8654</v>
      </c>
      <c r="W338" t="s">
        <v>104</v>
      </c>
      <c r="X338" t="s">
        <v>3012</v>
      </c>
      <c r="Y338">
        <f t="shared" si="11"/>
        <v>1</v>
      </c>
    </row>
    <row r="339" spans="1:25" s="19" customFormat="1" hidden="1">
      <c r="A339" s="19" t="s">
        <v>2767</v>
      </c>
      <c r="B339" s="19">
        <v>1199</v>
      </c>
      <c r="C339" s="19">
        <v>1199</v>
      </c>
      <c r="D339" s="19">
        <v>12</v>
      </c>
      <c r="E339" s="19" t="s">
        <v>2756</v>
      </c>
      <c r="F339" s="19" t="s">
        <v>2777</v>
      </c>
      <c r="G339" s="19" t="e">
        <f>VLOOKUP(TRIM(F339), [1]mss!$AA:$AA,1,0)</f>
        <v>#N/A</v>
      </c>
      <c r="H339" s="19" t="s">
        <v>2803</v>
      </c>
      <c r="J339" s="19" t="s">
        <v>8668</v>
      </c>
      <c r="L339" s="19">
        <f t="shared" si="10"/>
        <v>1</v>
      </c>
      <c r="M339" s="19" t="s">
        <v>6478</v>
      </c>
      <c r="N339" s="19" t="s">
        <v>6451</v>
      </c>
      <c r="O339" s="19" t="s">
        <v>12</v>
      </c>
      <c r="P339" s="19">
        <v>-17930</v>
      </c>
      <c r="Q339" s="19">
        <v>510680</v>
      </c>
      <c r="R339" s="21" t="s">
        <v>8444</v>
      </c>
      <c r="S339" s="21" t="s">
        <v>8148</v>
      </c>
      <c r="T339" s="19" t="s">
        <v>2767</v>
      </c>
      <c r="U339" s="19">
        <v>0</v>
      </c>
      <c r="V339" s="19" t="s">
        <v>8654</v>
      </c>
      <c r="W339" s="19" t="s">
        <v>12</v>
      </c>
      <c r="X339" s="19" t="s">
        <v>3092</v>
      </c>
      <c r="Y339" s="19">
        <f t="shared" si="11"/>
        <v>1</v>
      </c>
    </row>
    <row r="340" spans="1:25" hidden="1">
      <c r="A340" t="s">
        <v>5404</v>
      </c>
      <c r="B340" t="s">
        <v>960</v>
      </c>
      <c r="C340">
        <v>1175</v>
      </c>
      <c r="D340">
        <v>12</v>
      </c>
      <c r="E340" t="s">
        <v>4016</v>
      </c>
      <c r="F340" t="s">
        <v>961</v>
      </c>
      <c r="H340" t="s">
        <v>962</v>
      </c>
      <c r="J340" t="s">
        <v>8668</v>
      </c>
      <c r="L340">
        <f t="shared" si="10"/>
        <v>0</v>
      </c>
      <c r="R340" s="16" t="s">
        <v>8064</v>
      </c>
      <c r="S340" s="16" t="s">
        <v>8064</v>
      </c>
      <c r="T340" t="s">
        <v>7910</v>
      </c>
      <c r="U340">
        <v>0</v>
      </c>
      <c r="V340" t="s">
        <v>8655</v>
      </c>
      <c r="X340" t="s">
        <v>3012</v>
      </c>
      <c r="Y340">
        <f t="shared" si="11"/>
        <v>0</v>
      </c>
    </row>
    <row r="341" spans="1:25" hidden="1">
      <c r="A341" t="s">
        <v>7184</v>
      </c>
      <c r="B341" t="s">
        <v>666</v>
      </c>
      <c r="C341">
        <v>1202</v>
      </c>
      <c r="D341">
        <v>13</v>
      </c>
      <c r="E341" t="s">
        <v>41</v>
      </c>
      <c r="F341" t="s">
        <v>667</v>
      </c>
      <c r="G341" t="str">
        <f>VLOOKUP(TRIM(F341), [1]mss!$AA:$AA,1,0)</f>
        <v>BL I 870</v>
      </c>
      <c r="H341" t="s">
        <v>668</v>
      </c>
      <c r="I341" t="s">
        <v>8928</v>
      </c>
      <c r="J341" t="s">
        <v>8949</v>
      </c>
      <c r="L341">
        <f t="shared" si="10"/>
        <v>1</v>
      </c>
      <c r="M341" t="s">
        <v>6746</v>
      </c>
      <c r="N341" t="s">
        <v>6349</v>
      </c>
      <c r="O341" t="s">
        <v>12</v>
      </c>
      <c r="P341" t="s">
        <v>6747</v>
      </c>
      <c r="Q341" t="s">
        <v>6748</v>
      </c>
      <c r="R341" s="16" t="s">
        <v>8447</v>
      </c>
      <c r="S341" s="16" t="s">
        <v>8151</v>
      </c>
      <c r="T341" t="s">
        <v>7800</v>
      </c>
      <c r="U341">
        <v>1</v>
      </c>
      <c r="V341" t="s">
        <v>8656</v>
      </c>
      <c r="W341" t="s">
        <v>12</v>
      </c>
      <c r="X341" t="s">
        <v>8659</v>
      </c>
      <c r="Y341">
        <f t="shared" si="11"/>
        <v>1</v>
      </c>
    </row>
    <row r="342" spans="1:25">
      <c r="A342" t="s">
        <v>5552</v>
      </c>
      <c r="B342" t="s">
        <v>963</v>
      </c>
      <c r="C342">
        <v>1189</v>
      </c>
      <c r="D342">
        <v>12</v>
      </c>
      <c r="E342" t="s">
        <v>12</v>
      </c>
      <c r="F342" t="s">
        <v>964</v>
      </c>
      <c r="G342" t="str">
        <f>VLOOKUP(TRIM(F342),[1]mss!$AA:$AA,1,0)</f>
        <v>Ca I 354</v>
      </c>
      <c r="H342" t="s">
        <v>965</v>
      </c>
      <c r="J342" t="s">
        <v>8668</v>
      </c>
      <c r="L342">
        <f t="shared" si="10"/>
        <v>0</v>
      </c>
      <c r="R342" s="16" t="s">
        <v>8064</v>
      </c>
      <c r="S342" s="16" t="s">
        <v>8064</v>
      </c>
      <c r="T342" t="s">
        <v>5552</v>
      </c>
      <c r="U342">
        <v>0</v>
      </c>
      <c r="V342" t="s">
        <v>8655</v>
      </c>
      <c r="X342" t="s">
        <v>3012</v>
      </c>
      <c r="Y342">
        <f t="shared" si="11"/>
        <v>0</v>
      </c>
    </row>
    <row r="343" spans="1:25" hidden="1">
      <c r="A343" t="s">
        <v>7657</v>
      </c>
      <c r="B343" t="s">
        <v>255</v>
      </c>
      <c r="C343">
        <v>1203</v>
      </c>
      <c r="D343">
        <v>13</v>
      </c>
      <c r="E343" t="s">
        <v>13</v>
      </c>
      <c r="F343" t="s">
        <v>1166</v>
      </c>
      <c r="G343" t="str">
        <f>VLOOKUP(TRIM(F343), [1]mss!$AA:$AA,1,0)</f>
        <v>Lo I 80</v>
      </c>
      <c r="H343" t="s">
        <v>1167</v>
      </c>
      <c r="J343" t="s">
        <v>8668</v>
      </c>
      <c r="L343">
        <f t="shared" si="10"/>
        <v>1</v>
      </c>
      <c r="M343" t="s">
        <v>6348</v>
      </c>
      <c r="N343" t="s">
        <v>6349</v>
      </c>
      <c r="O343" t="s">
        <v>12</v>
      </c>
      <c r="P343">
        <v>10810</v>
      </c>
      <c r="Q343">
        <v>512810</v>
      </c>
      <c r="R343" s="16" t="s">
        <v>8360</v>
      </c>
      <c r="S343" s="16" t="s">
        <v>8063</v>
      </c>
      <c r="T343" t="s">
        <v>7657</v>
      </c>
      <c r="U343">
        <v>0</v>
      </c>
      <c r="V343" t="s">
        <v>8654</v>
      </c>
      <c r="W343" t="s">
        <v>12</v>
      </c>
      <c r="X343" t="s">
        <v>8661</v>
      </c>
      <c r="Y343">
        <f t="shared" si="11"/>
        <v>1</v>
      </c>
    </row>
    <row r="344" spans="1:25" hidden="1">
      <c r="A344" t="s">
        <v>7096</v>
      </c>
      <c r="B344" t="s">
        <v>474</v>
      </c>
      <c r="C344">
        <v>1206</v>
      </c>
      <c r="D344">
        <v>13</v>
      </c>
      <c r="E344" t="s">
        <v>4091</v>
      </c>
      <c r="F344" t="s">
        <v>669</v>
      </c>
      <c r="G344" t="str">
        <f>VLOOKUP(TRIM(F344), [1]mss!$AA:$AA,1,0)</f>
        <v>BL I 528</v>
      </c>
      <c r="H344" t="s">
        <v>670</v>
      </c>
      <c r="J344" t="s">
        <v>8668</v>
      </c>
      <c r="L344">
        <f t="shared" si="10"/>
        <v>1</v>
      </c>
      <c r="M344" t="s">
        <v>6852</v>
      </c>
      <c r="N344" t="s">
        <v>6445</v>
      </c>
      <c r="O344" t="s">
        <v>12</v>
      </c>
      <c r="P344" t="s">
        <v>6853</v>
      </c>
      <c r="Q344" t="s">
        <v>6854</v>
      </c>
      <c r="R344" s="16" t="s">
        <v>8413</v>
      </c>
      <c r="S344" s="16" t="s">
        <v>8116</v>
      </c>
      <c r="T344" t="s">
        <v>7760</v>
      </c>
      <c r="U344">
        <v>0</v>
      </c>
      <c r="V344" t="s">
        <v>8654</v>
      </c>
      <c r="W344" t="s">
        <v>12</v>
      </c>
      <c r="X344" t="s">
        <v>8659</v>
      </c>
      <c r="Y344">
        <f t="shared" si="11"/>
        <v>1</v>
      </c>
    </row>
    <row r="345" spans="1:25" hidden="1">
      <c r="A345" t="s">
        <v>7302</v>
      </c>
      <c r="B345" t="s">
        <v>2017</v>
      </c>
      <c r="C345">
        <v>1084</v>
      </c>
      <c r="D345">
        <v>11</v>
      </c>
      <c r="E345" t="s">
        <v>1444</v>
      </c>
      <c r="F345" t="s">
        <v>4678</v>
      </c>
      <c r="H345" t="s">
        <v>2205</v>
      </c>
      <c r="J345" t="s">
        <v>8668</v>
      </c>
      <c r="L345">
        <f t="shared" si="10"/>
        <v>0</v>
      </c>
      <c r="R345" s="16" t="s">
        <v>8064</v>
      </c>
      <c r="S345" s="16" t="s">
        <v>8064</v>
      </c>
      <c r="T345" t="s">
        <v>7302</v>
      </c>
      <c r="U345">
        <v>0</v>
      </c>
      <c r="V345" t="s">
        <v>8655</v>
      </c>
      <c r="X345" t="s">
        <v>8667</v>
      </c>
      <c r="Y345">
        <f t="shared" si="11"/>
        <v>0</v>
      </c>
    </row>
    <row r="346" spans="1:25" hidden="1">
      <c r="A346" t="s">
        <v>7279</v>
      </c>
      <c r="B346" t="s">
        <v>4679</v>
      </c>
      <c r="C346">
        <v>1084</v>
      </c>
      <c r="D346">
        <v>11</v>
      </c>
      <c r="E346" t="s">
        <v>1444</v>
      </c>
      <c r="F346" t="s">
        <v>4678</v>
      </c>
      <c r="H346" t="s">
        <v>2206</v>
      </c>
      <c r="J346" t="s">
        <v>8668</v>
      </c>
      <c r="L346">
        <f t="shared" si="10"/>
        <v>0</v>
      </c>
      <c r="R346" s="16" t="s">
        <v>8064</v>
      </c>
      <c r="S346" s="16" t="s">
        <v>8064</v>
      </c>
      <c r="T346" t="s">
        <v>7279</v>
      </c>
      <c r="U346">
        <v>0</v>
      </c>
      <c r="V346" t="s">
        <v>8655</v>
      </c>
      <c r="X346" t="s">
        <v>8667</v>
      </c>
      <c r="Y346">
        <f t="shared" si="11"/>
        <v>0</v>
      </c>
    </row>
    <row r="347" spans="1:25" hidden="1">
      <c r="A347" t="s">
        <v>7280</v>
      </c>
      <c r="B347" t="s">
        <v>4679</v>
      </c>
      <c r="C347">
        <v>1084</v>
      </c>
      <c r="D347">
        <v>11</v>
      </c>
      <c r="E347" t="s">
        <v>1444</v>
      </c>
      <c r="F347" t="s">
        <v>4678</v>
      </c>
      <c r="H347" t="s">
        <v>2206</v>
      </c>
      <c r="J347" t="s">
        <v>8668</v>
      </c>
      <c r="L347">
        <f t="shared" si="10"/>
        <v>0</v>
      </c>
      <c r="R347" s="16" t="s">
        <v>8064</v>
      </c>
      <c r="S347" s="16" t="s">
        <v>8064</v>
      </c>
      <c r="T347" t="s">
        <v>7280</v>
      </c>
      <c r="U347">
        <v>0</v>
      </c>
      <c r="V347" t="s">
        <v>8655</v>
      </c>
      <c r="X347" t="s">
        <v>8667</v>
      </c>
      <c r="Y347">
        <f t="shared" si="11"/>
        <v>0</v>
      </c>
    </row>
    <row r="348" spans="1:25" hidden="1">
      <c r="A348" t="s">
        <v>7281</v>
      </c>
      <c r="B348" t="s">
        <v>4679</v>
      </c>
      <c r="C348">
        <v>1084</v>
      </c>
      <c r="D348">
        <v>11</v>
      </c>
      <c r="E348" t="s">
        <v>1444</v>
      </c>
      <c r="F348" t="s">
        <v>4678</v>
      </c>
      <c r="H348" t="s">
        <v>2206</v>
      </c>
      <c r="J348" t="s">
        <v>8668</v>
      </c>
      <c r="L348">
        <f t="shared" si="10"/>
        <v>0</v>
      </c>
      <c r="R348" s="16" t="s">
        <v>8064</v>
      </c>
      <c r="S348" s="16" t="s">
        <v>8064</v>
      </c>
      <c r="T348" t="s">
        <v>7817</v>
      </c>
      <c r="U348">
        <v>0</v>
      </c>
      <c r="V348" t="s">
        <v>8655</v>
      </c>
      <c r="X348" t="s">
        <v>8667</v>
      </c>
      <c r="Y348">
        <f t="shared" si="11"/>
        <v>0</v>
      </c>
    </row>
    <row r="349" spans="1:25" hidden="1">
      <c r="A349" t="s">
        <v>7284</v>
      </c>
      <c r="B349" t="s">
        <v>4679</v>
      </c>
      <c r="C349">
        <v>1084</v>
      </c>
      <c r="D349">
        <v>11</v>
      </c>
      <c r="E349" t="s">
        <v>1444</v>
      </c>
      <c r="F349" t="s">
        <v>4678</v>
      </c>
      <c r="H349" t="s">
        <v>2207</v>
      </c>
      <c r="J349" t="s">
        <v>8668</v>
      </c>
      <c r="L349">
        <f t="shared" si="10"/>
        <v>0</v>
      </c>
      <c r="R349" s="16" t="s">
        <v>8064</v>
      </c>
      <c r="S349" s="16" t="s">
        <v>8064</v>
      </c>
      <c r="T349" t="s">
        <v>7284</v>
      </c>
      <c r="U349">
        <v>0</v>
      </c>
      <c r="V349" t="s">
        <v>8655</v>
      </c>
      <c r="X349" t="s">
        <v>8667</v>
      </c>
      <c r="Y349">
        <f t="shared" si="11"/>
        <v>0</v>
      </c>
    </row>
    <row r="350" spans="1:25" hidden="1">
      <c r="A350" t="s">
        <v>7289</v>
      </c>
      <c r="B350" t="s">
        <v>4679</v>
      </c>
      <c r="C350">
        <v>1084</v>
      </c>
      <c r="D350">
        <v>11</v>
      </c>
      <c r="E350" t="s">
        <v>1444</v>
      </c>
      <c r="F350" t="s">
        <v>4678</v>
      </c>
      <c r="H350" t="s">
        <v>2208</v>
      </c>
      <c r="J350" t="s">
        <v>8668</v>
      </c>
      <c r="L350">
        <f t="shared" si="10"/>
        <v>0</v>
      </c>
      <c r="R350" s="16" t="s">
        <v>8064</v>
      </c>
      <c r="S350" s="16" t="s">
        <v>8064</v>
      </c>
      <c r="T350" t="s">
        <v>7289</v>
      </c>
      <c r="U350">
        <v>0</v>
      </c>
      <c r="V350" t="s">
        <v>8655</v>
      </c>
      <c r="X350" t="s">
        <v>8667</v>
      </c>
      <c r="Y350">
        <f t="shared" si="11"/>
        <v>0</v>
      </c>
    </row>
    <row r="351" spans="1:25" hidden="1">
      <c r="A351" t="s">
        <v>7290</v>
      </c>
      <c r="B351" t="s">
        <v>4679</v>
      </c>
      <c r="C351">
        <v>1084</v>
      </c>
      <c r="D351">
        <v>11</v>
      </c>
      <c r="E351" t="s">
        <v>1444</v>
      </c>
      <c r="F351" t="s">
        <v>4678</v>
      </c>
      <c r="H351" t="s">
        <v>2209</v>
      </c>
      <c r="J351" t="s">
        <v>8668</v>
      </c>
      <c r="L351">
        <f t="shared" si="10"/>
        <v>0</v>
      </c>
      <c r="R351" s="16" t="s">
        <v>8064</v>
      </c>
      <c r="S351" s="16" t="s">
        <v>8064</v>
      </c>
      <c r="T351" t="s">
        <v>7290</v>
      </c>
      <c r="U351">
        <v>0</v>
      </c>
      <c r="V351" t="s">
        <v>8655</v>
      </c>
      <c r="X351" t="s">
        <v>8667</v>
      </c>
      <c r="Y351">
        <f t="shared" si="11"/>
        <v>0</v>
      </c>
    </row>
    <row r="352" spans="1:25" hidden="1">
      <c r="A352" t="s">
        <v>7296</v>
      </c>
      <c r="B352" t="s">
        <v>4679</v>
      </c>
      <c r="C352">
        <v>1084</v>
      </c>
      <c r="D352">
        <v>11</v>
      </c>
      <c r="E352" t="s">
        <v>1444</v>
      </c>
      <c r="F352" t="s">
        <v>4678</v>
      </c>
      <c r="H352" t="s">
        <v>2210</v>
      </c>
      <c r="J352" t="s">
        <v>8668</v>
      </c>
      <c r="L352">
        <f t="shared" si="10"/>
        <v>0</v>
      </c>
      <c r="R352" s="16" t="s">
        <v>8064</v>
      </c>
      <c r="S352" s="16" t="s">
        <v>8064</v>
      </c>
      <c r="T352" t="s">
        <v>7296</v>
      </c>
      <c r="U352">
        <v>0</v>
      </c>
      <c r="V352" t="s">
        <v>8655</v>
      </c>
      <c r="X352" t="s">
        <v>8667</v>
      </c>
      <c r="Y352">
        <f t="shared" si="11"/>
        <v>0</v>
      </c>
    </row>
    <row r="353" spans="1:25" hidden="1">
      <c r="A353" t="s">
        <v>7298</v>
      </c>
      <c r="B353" t="s">
        <v>4679</v>
      </c>
      <c r="C353">
        <v>1084</v>
      </c>
      <c r="D353">
        <v>11</v>
      </c>
      <c r="E353" t="s">
        <v>1444</v>
      </c>
      <c r="F353" t="s">
        <v>4678</v>
      </c>
      <c r="H353" t="s">
        <v>2211</v>
      </c>
      <c r="J353" t="s">
        <v>8668</v>
      </c>
      <c r="L353">
        <f t="shared" si="10"/>
        <v>0</v>
      </c>
      <c r="R353" s="16" t="s">
        <v>8064</v>
      </c>
      <c r="S353" s="16" t="s">
        <v>8064</v>
      </c>
      <c r="T353" t="s">
        <v>7298</v>
      </c>
      <c r="U353">
        <v>0</v>
      </c>
      <c r="V353" t="s">
        <v>8655</v>
      </c>
      <c r="X353" t="s">
        <v>8667</v>
      </c>
      <c r="Y353">
        <f t="shared" si="11"/>
        <v>0</v>
      </c>
    </row>
    <row r="354" spans="1:25" hidden="1">
      <c r="A354" t="s">
        <v>7282</v>
      </c>
      <c r="B354" t="s">
        <v>2018</v>
      </c>
      <c r="C354">
        <v>1104</v>
      </c>
      <c r="D354">
        <v>12</v>
      </c>
      <c r="E354" t="s">
        <v>1444</v>
      </c>
      <c r="F354" t="s">
        <v>4678</v>
      </c>
      <c r="H354" t="s">
        <v>2212</v>
      </c>
      <c r="J354" t="s">
        <v>8668</v>
      </c>
      <c r="L354">
        <f t="shared" si="10"/>
        <v>0</v>
      </c>
      <c r="R354" s="16" t="s">
        <v>8064</v>
      </c>
      <c r="S354" s="16" t="s">
        <v>8064</v>
      </c>
      <c r="T354" t="s">
        <v>7818</v>
      </c>
      <c r="U354">
        <v>0</v>
      </c>
      <c r="V354" t="s">
        <v>8655</v>
      </c>
      <c r="X354" t="s">
        <v>8667</v>
      </c>
      <c r="Y354">
        <f t="shared" si="11"/>
        <v>0</v>
      </c>
    </row>
    <row r="355" spans="1:25" hidden="1">
      <c r="A355" t="s">
        <v>7283</v>
      </c>
      <c r="B355" t="s">
        <v>2019</v>
      </c>
      <c r="C355">
        <v>1122</v>
      </c>
      <c r="D355">
        <v>12</v>
      </c>
      <c r="E355" t="s">
        <v>1444</v>
      </c>
      <c r="F355" t="s">
        <v>4678</v>
      </c>
      <c r="H355" t="s">
        <v>2213</v>
      </c>
      <c r="J355" t="s">
        <v>8668</v>
      </c>
      <c r="L355">
        <f t="shared" si="10"/>
        <v>0</v>
      </c>
      <c r="R355" s="16" t="s">
        <v>8064</v>
      </c>
      <c r="S355" s="16" t="s">
        <v>8064</v>
      </c>
      <c r="T355" t="s">
        <v>7818</v>
      </c>
      <c r="U355">
        <v>0</v>
      </c>
      <c r="V355" t="s">
        <v>8655</v>
      </c>
      <c r="X355" t="s">
        <v>8667</v>
      </c>
      <c r="Y355">
        <f t="shared" si="11"/>
        <v>0</v>
      </c>
    </row>
    <row r="356" spans="1:25" hidden="1">
      <c r="A356" t="s">
        <v>7268</v>
      </c>
      <c r="B356" t="s">
        <v>2020</v>
      </c>
      <c r="C356">
        <v>1129</v>
      </c>
      <c r="D356">
        <v>12</v>
      </c>
      <c r="E356" t="s">
        <v>1444</v>
      </c>
      <c r="F356" t="s">
        <v>4678</v>
      </c>
      <c r="H356" t="s">
        <v>2214</v>
      </c>
      <c r="J356" t="s">
        <v>8668</v>
      </c>
      <c r="L356">
        <f t="shared" si="10"/>
        <v>0</v>
      </c>
      <c r="R356" s="16" t="s">
        <v>8064</v>
      </c>
      <c r="S356" s="16" t="s">
        <v>8064</v>
      </c>
      <c r="T356" t="s">
        <v>7815</v>
      </c>
      <c r="U356">
        <v>0</v>
      </c>
      <c r="V356" t="s">
        <v>8655</v>
      </c>
      <c r="X356" t="s">
        <v>8667</v>
      </c>
      <c r="Y356">
        <f t="shared" si="11"/>
        <v>0</v>
      </c>
    </row>
    <row r="357" spans="1:25" hidden="1">
      <c r="A357" t="s">
        <v>7278</v>
      </c>
      <c r="B357" t="s">
        <v>2021</v>
      </c>
      <c r="C357">
        <v>1152</v>
      </c>
      <c r="D357">
        <v>12</v>
      </c>
      <c r="E357" t="s">
        <v>1444</v>
      </c>
      <c r="F357" t="s">
        <v>4678</v>
      </c>
      <c r="H357" t="s">
        <v>2215</v>
      </c>
      <c r="J357" t="s">
        <v>8668</v>
      </c>
      <c r="L357">
        <f t="shared" si="10"/>
        <v>0</v>
      </c>
      <c r="R357" s="16" t="s">
        <v>8064</v>
      </c>
      <c r="S357" s="16" t="s">
        <v>8064</v>
      </c>
      <c r="T357" t="s">
        <v>7278</v>
      </c>
      <c r="U357">
        <v>0</v>
      </c>
      <c r="V357" t="s">
        <v>8655</v>
      </c>
      <c r="X357" t="s">
        <v>8667</v>
      </c>
      <c r="Y357">
        <f t="shared" si="11"/>
        <v>0</v>
      </c>
    </row>
    <row r="358" spans="1:25" hidden="1">
      <c r="A358" t="s">
        <v>7300</v>
      </c>
      <c r="B358" t="s">
        <v>2022</v>
      </c>
      <c r="C358">
        <v>1145</v>
      </c>
      <c r="D358">
        <v>12</v>
      </c>
      <c r="E358" t="s">
        <v>1444</v>
      </c>
      <c r="F358" t="s">
        <v>4678</v>
      </c>
      <c r="H358" t="s">
        <v>2216</v>
      </c>
      <c r="J358" t="s">
        <v>8668</v>
      </c>
      <c r="L358">
        <f t="shared" si="10"/>
        <v>0</v>
      </c>
      <c r="R358" s="16" t="s">
        <v>8064</v>
      </c>
      <c r="S358" s="16" t="s">
        <v>8064</v>
      </c>
      <c r="T358" t="s">
        <v>7300</v>
      </c>
      <c r="U358">
        <v>0</v>
      </c>
      <c r="V358" t="s">
        <v>8655</v>
      </c>
      <c r="X358" t="s">
        <v>8667</v>
      </c>
      <c r="Y358">
        <f t="shared" si="11"/>
        <v>0</v>
      </c>
    </row>
    <row r="359" spans="1:25" hidden="1">
      <c r="A359" t="s">
        <v>7307</v>
      </c>
      <c r="B359" t="s">
        <v>4680</v>
      </c>
      <c r="C359">
        <v>1155</v>
      </c>
      <c r="D359">
        <v>12</v>
      </c>
      <c r="E359" t="s">
        <v>1444</v>
      </c>
      <c r="F359" t="s">
        <v>4678</v>
      </c>
      <c r="H359" t="s">
        <v>2217</v>
      </c>
      <c r="J359" t="s">
        <v>8668</v>
      </c>
      <c r="L359">
        <f t="shared" si="10"/>
        <v>0</v>
      </c>
      <c r="R359" s="16" t="s">
        <v>8064</v>
      </c>
      <c r="S359" s="16" t="s">
        <v>8064</v>
      </c>
      <c r="T359" t="s">
        <v>7307</v>
      </c>
      <c r="U359">
        <v>0</v>
      </c>
      <c r="V359" t="s">
        <v>8655</v>
      </c>
      <c r="X359" t="s">
        <v>8667</v>
      </c>
      <c r="Y359">
        <f t="shared" si="11"/>
        <v>0</v>
      </c>
    </row>
    <row r="360" spans="1:25" hidden="1">
      <c r="A360" t="s">
        <v>7304</v>
      </c>
      <c r="B360" t="s">
        <v>4681</v>
      </c>
      <c r="C360">
        <v>1164</v>
      </c>
      <c r="D360">
        <v>12</v>
      </c>
      <c r="E360" t="s">
        <v>1444</v>
      </c>
      <c r="F360" t="s">
        <v>4678</v>
      </c>
      <c r="H360" t="s">
        <v>2218</v>
      </c>
      <c r="J360" t="s">
        <v>8668</v>
      </c>
      <c r="L360">
        <f t="shared" si="10"/>
        <v>0</v>
      </c>
      <c r="R360" s="16" t="s">
        <v>8064</v>
      </c>
      <c r="S360" s="16" t="s">
        <v>8064</v>
      </c>
      <c r="T360" t="s">
        <v>7304</v>
      </c>
      <c r="U360">
        <v>0</v>
      </c>
      <c r="V360" t="s">
        <v>8655</v>
      </c>
      <c r="X360" t="s">
        <v>8667</v>
      </c>
      <c r="Y360">
        <f t="shared" si="11"/>
        <v>0</v>
      </c>
    </row>
    <row r="361" spans="1:25" hidden="1">
      <c r="A361" t="s">
        <v>7299</v>
      </c>
      <c r="B361" t="s">
        <v>2023</v>
      </c>
      <c r="C361">
        <v>1165</v>
      </c>
      <c r="D361">
        <v>12</v>
      </c>
      <c r="E361" t="s">
        <v>1444</v>
      </c>
      <c r="F361" t="s">
        <v>4678</v>
      </c>
      <c r="H361" t="s">
        <v>2219</v>
      </c>
      <c r="J361" t="s">
        <v>8668</v>
      </c>
      <c r="L361">
        <f t="shared" si="10"/>
        <v>0</v>
      </c>
      <c r="R361" s="16" t="s">
        <v>8064</v>
      </c>
      <c r="S361" s="16" t="s">
        <v>8064</v>
      </c>
      <c r="T361" t="s">
        <v>7822</v>
      </c>
      <c r="U361">
        <v>0</v>
      </c>
      <c r="V361" t="s">
        <v>8655</v>
      </c>
      <c r="X361" t="s">
        <v>8667</v>
      </c>
      <c r="Y361">
        <f t="shared" si="11"/>
        <v>0</v>
      </c>
    </row>
    <row r="362" spans="1:25" hidden="1">
      <c r="A362" t="s">
        <v>7273</v>
      </c>
      <c r="B362" t="s">
        <v>4682</v>
      </c>
      <c r="C362">
        <v>1165</v>
      </c>
      <c r="D362">
        <v>12</v>
      </c>
      <c r="E362" t="s">
        <v>1444</v>
      </c>
      <c r="F362" t="s">
        <v>4678</v>
      </c>
      <c r="H362" t="s">
        <v>2220</v>
      </c>
      <c r="J362" t="s">
        <v>8668</v>
      </c>
      <c r="L362">
        <f t="shared" si="10"/>
        <v>0</v>
      </c>
      <c r="R362" s="16" t="s">
        <v>8064</v>
      </c>
      <c r="S362" s="16" t="s">
        <v>8064</v>
      </c>
      <c r="T362" t="s">
        <v>7273</v>
      </c>
      <c r="U362">
        <v>0</v>
      </c>
      <c r="V362" t="s">
        <v>8655</v>
      </c>
      <c r="X362" t="s">
        <v>8667</v>
      </c>
      <c r="Y362">
        <f t="shared" si="11"/>
        <v>0</v>
      </c>
    </row>
    <row r="363" spans="1:25" hidden="1">
      <c r="A363" t="s">
        <v>7288</v>
      </c>
      <c r="B363" t="s">
        <v>2024</v>
      </c>
      <c r="C363">
        <v>1200</v>
      </c>
      <c r="D363">
        <v>13</v>
      </c>
      <c r="E363" t="s">
        <v>1444</v>
      </c>
      <c r="F363" t="s">
        <v>4678</v>
      </c>
      <c r="H363" t="s">
        <v>2221</v>
      </c>
      <c r="J363" t="s">
        <v>8668</v>
      </c>
      <c r="L363">
        <f t="shared" si="10"/>
        <v>0</v>
      </c>
      <c r="R363" s="16" t="s">
        <v>8064</v>
      </c>
      <c r="S363" s="16" t="s">
        <v>8064</v>
      </c>
      <c r="T363" t="s">
        <v>7819</v>
      </c>
      <c r="U363">
        <v>0</v>
      </c>
      <c r="V363" t="s">
        <v>8655</v>
      </c>
      <c r="X363" t="s">
        <v>8667</v>
      </c>
      <c r="Y363">
        <f t="shared" si="11"/>
        <v>0</v>
      </c>
    </row>
    <row r="364" spans="1:25" hidden="1">
      <c r="A364" t="s">
        <v>7294</v>
      </c>
      <c r="B364" t="s">
        <v>2025</v>
      </c>
      <c r="C364">
        <v>1191</v>
      </c>
      <c r="D364">
        <v>12</v>
      </c>
      <c r="E364" t="s">
        <v>1444</v>
      </c>
      <c r="F364" t="s">
        <v>4678</v>
      </c>
      <c r="H364" t="s">
        <v>2222</v>
      </c>
      <c r="J364" t="s">
        <v>8668</v>
      </c>
      <c r="L364">
        <f t="shared" si="10"/>
        <v>0</v>
      </c>
      <c r="R364" s="16" t="s">
        <v>8064</v>
      </c>
      <c r="S364" s="16" t="s">
        <v>8064</v>
      </c>
      <c r="T364" t="s">
        <v>7294</v>
      </c>
      <c r="U364">
        <v>0</v>
      </c>
      <c r="V364" t="s">
        <v>8655</v>
      </c>
      <c r="X364" t="s">
        <v>8667</v>
      </c>
      <c r="Y364">
        <f t="shared" si="11"/>
        <v>0</v>
      </c>
    </row>
    <row r="365" spans="1:25" hidden="1">
      <c r="A365" t="s">
        <v>7267</v>
      </c>
      <c r="B365" t="s">
        <v>2026</v>
      </c>
      <c r="C365">
        <v>1207</v>
      </c>
      <c r="D365">
        <v>13</v>
      </c>
      <c r="E365" t="s">
        <v>1444</v>
      </c>
      <c r="F365" t="s">
        <v>4678</v>
      </c>
      <c r="H365" t="s">
        <v>2223</v>
      </c>
      <c r="J365" t="s">
        <v>8668</v>
      </c>
      <c r="L365">
        <f t="shared" si="10"/>
        <v>0</v>
      </c>
      <c r="R365" s="16" t="s">
        <v>8064</v>
      </c>
      <c r="S365" s="16" t="s">
        <v>8064</v>
      </c>
      <c r="T365" t="s">
        <v>7267</v>
      </c>
      <c r="U365">
        <v>0</v>
      </c>
      <c r="V365" t="s">
        <v>8655</v>
      </c>
      <c r="X365" t="s">
        <v>8667</v>
      </c>
      <c r="Y365">
        <f t="shared" si="11"/>
        <v>0</v>
      </c>
    </row>
    <row r="366" spans="1:25" hidden="1">
      <c r="A366" t="s">
        <v>7301</v>
      </c>
      <c r="B366" t="s">
        <v>2027</v>
      </c>
      <c r="C366">
        <v>1216</v>
      </c>
      <c r="D366">
        <v>13</v>
      </c>
      <c r="E366" t="s">
        <v>1444</v>
      </c>
      <c r="F366" t="s">
        <v>4678</v>
      </c>
      <c r="H366" t="s">
        <v>2224</v>
      </c>
      <c r="J366" t="s">
        <v>8668</v>
      </c>
      <c r="L366">
        <f t="shared" si="10"/>
        <v>0</v>
      </c>
      <c r="R366" s="16" t="s">
        <v>8064</v>
      </c>
      <c r="S366" s="16" t="s">
        <v>8064</v>
      </c>
      <c r="T366" t="s">
        <v>7301</v>
      </c>
      <c r="U366">
        <v>0</v>
      </c>
      <c r="V366" t="s">
        <v>8655</v>
      </c>
      <c r="X366" t="s">
        <v>8667</v>
      </c>
      <c r="Y366">
        <f t="shared" si="11"/>
        <v>0</v>
      </c>
    </row>
    <row r="367" spans="1:25" hidden="1">
      <c r="A367" t="s">
        <v>7286</v>
      </c>
      <c r="B367" t="s">
        <v>2028</v>
      </c>
      <c r="C367">
        <v>1229</v>
      </c>
      <c r="D367">
        <v>13</v>
      </c>
      <c r="E367" t="s">
        <v>1444</v>
      </c>
      <c r="F367" t="s">
        <v>4678</v>
      </c>
      <c r="H367" t="s">
        <v>2225</v>
      </c>
      <c r="J367" t="s">
        <v>8668</v>
      </c>
      <c r="L367">
        <f t="shared" si="10"/>
        <v>0</v>
      </c>
      <c r="R367" s="16" t="s">
        <v>8064</v>
      </c>
      <c r="S367" s="16" t="s">
        <v>8064</v>
      </c>
      <c r="T367" t="s">
        <v>7286</v>
      </c>
      <c r="U367">
        <v>0</v>
      </c>
      <c r="V367" t="s">
        <v>8655</v>
      </c>
      <c r="X367" t="s">
        <v>8667</v>
      </c>
      <c r="Y367">
        <f t="shared" si="11"/>
        <v>0</v>
      </c>
    </row>
    <row r="368" spans="1:25" hidden="1">
      <c r="A368" t="s">
        <v>7297</v>
      </c>
      <c r="B368" t="s">
        <v>2029</v>
      </c>
      <c r="C368">
        <v>1234</v>
      </c>
      <c r="D368">
        <v>13</v>
      </c>
      <c r="E368" t="s">
        <v>1444</v>
      </c>
      <c r="F368" t="s">
        <v>4678</v>
      </c>
      <c r="H368" t="s">
        <v>2226</v>
      </c>
      <c r="J368" t="s">
        <v>8668</v>
      </c>
      <c r="L368">
        <f t="shared" si="10"/>
        <v>0</v>
      </c>
      <c r="R368" s="16" t="s">
        <v>8064</v>
      </c>
      <c r="S368" s="16" t="s">
        <v>8064</v>
      </c>
      <c r="T368" t="s">
        <v>7821</v>
      </c>
      <c r="U368">
        <v>0</v>
      </c>
      <c r="V368" t="s">
        <v>8655</v>
      </c>
      <c r="X368" t="s">
        <v>8667</v>
      </c>
      <c r="Y368">
        <f t="shared" si="11"/>
        <v>0</v>
      </c>
    </row>
    <row r="369" spans="1:25" hidden="1">
      <c r="A369" t="s">
        <v>7285</v>
      </c>
      <c r="B369" t="s">
        <v>2030</v>
      </c>
      <c r="C369">
        <v>1236</v>
      </c>
      <c r="D369">
        <v>13</v>
      </c>
      <c r="E369" t="s">
        <v>1444</v>
      </c>
      <c r="F369" t="s">
        <v>4678</v>
      </c>
      <c r="H369" t="s">
        <v>2227</v>
      </c>
      <c r="J369" t="s">
        <v>8668</v>
      </c>
      <c r="L369">
        <f t="shared" si="10"/>
        <v>0</v>
      </c>
      <c r="R369" s="16" t="s">
        <v>8064</v>
      </c>
      <c r="S369" s="16" t="s">
        <v>8064</v>
      </c>
      <c r="T369" t="s">
        <v>7285</v>
      </c>
      <c r="U369">
        <v>0</v>
      </c>
      <c r="V369" t="s">
        <v>8655</v>
      </c>
      <c r="X369" t="s">
        <v>8667</v>
      </c>
      <c r="Y369">
        <f t="shared" si="11"/>
        <v>0</v>
      </c>
    </row>
    <row r="370" spans="1:25" hidden="1">
      <c r="A370" t="s">
        <v>7287</v>
      </c>
      <c r="B370" t="s">
        <v>2031</v>
      </c>
      <c r="C370">
        <v>1240</v>
      </c>
      <c r="D370">
        <v>13</v>
      </c>
      <c r="E370" t="s">
        <v>1444</v>
      </c>
      <c r="F370" t="s">
        <v>4678</v>
      </c>
      <c r="H370" t="s">
        <v>2228</v>
      </c>
      <c r="J370" t="s">
        <v>8668</v>
      </c>
      <c r="L370">
        <f t="shared" si="10"/>
        <v>0</v>
      </c>
      <c r="R370" s="16" t="s">
        <v>8064</v>
      </c>
      <c r="S370" s="16" t="s">
        <v>8064</v>
      </c>
      <c r="T370" t="s">
        <v>7287</v>
      </c>
      <c r="U370">
        <v>0</v>
      </c>
      <c r="V370" t="s">
        <v>8655</v>
      </c>
      <c r="X370" t="s">
        <v>8667</v>
      </c>
      <c r="Y370">
        <f t="shared" si="11"/>
        <v>0</v>
      </c>
    </row>
    <row r="371" spans="1:25" hidden="1">
      <c r="A371" t="s">
        <v>7293</v>
      </c>
      <c r="B371" t="s">
        <v>2031</v>
      </c>
      <c r="C371">
        <v>1240</v>
      </c>
      <c r="D371">
        <v>13</v>
      </c>
      <c r="E371" t="s">
        <v>1444</v>
      </c>
      <c r="F371" t="s">
        <v>4678</v>
      </c>
      <c r="H371" t="s">
        <v>2229</v>
      </c>
      <c r="J371" t="s">
        <v>8668</v>
      </c>
      <c r="L371">
        <f t="shared" si="10"/>
        <v>0</v>
      </c>
      <c r="R371" s="16" t="s">
        <v>8064</v>
      </c>
      <c r="S371" s="16" t="s">
        <v>8064</v>
      </c>
      <c r="T371" t="s">
        <v>7820</v>
      </c>
      <c r="U371">
        <v>0</v>
      </c>
      <c r="V371" t="s">
        <v>8655</v>
      </c>
      <c r="X371" t="s">
        <v>8667</v>
      </c>
      <c r="Y371">
        <f t="shared" si="11"/>
        <v>0</v>
      </c>
    </row>
    <row r="372" spans="1:25" hidden="1">
      <c r="A372" t="s">
        <v>7305</v>
      </c>
      <c r="B372" t="s">
        <v>2031</v>
      </c>
      <c r="C372">
        <v>1240</v>
      </c>
      <c r="D372">
        <v>13</v>
      </c>
      <c r="E372" t="s">
        <v>1444</v>
      </c>
      <c r="F372" t="s">
        <v>4678</v>
      </c>
      <c r="H372" t="s">
        <v>2230</v>
      </c>
      <c r="J372" t="s">
        <v>8668</v>
      </c>
      <c r="L372">
        <f t="shared" si="10"/>
        <v>0</v>
      </c>
      <c r="R372" s="16" t="s">
        <v>8064</v>
      </c>
      <c r="S372" s="16" t="s">
        <v>8064</v>
      </c>
      <c r="T372" t="s">
        <v>7823</v>
      </c>
      <c r="U372">
        <v>0</v>
      </c>
      <c r="V372" t="s">
        <v>8655</v>
      </c>
      <c r="X372" t="s">
        <v>8667</v>
      </c>
      <c r="Y372">
        <f t="shared" si="11"/>
        <v>0</v>
      </c>
    </row>
    <row r="373" spans="1:25" hidden="1">
      <c r="A373" t="s">
        <v>7306</v>
      </c>
      <c r="B373" t="s">
        <v>2031</v>
      </c>
      <c r="C373">
        <v>1240</v>
      </c>
      <c r="D373">
        <v>13</v>
      </c>
      <c r="E373" t="s">
        <v>1444</v>
      </c>
      <c r="F373" t="s">
        <v>4678</v>
      </c>
      <c r="H373" t="s">
        <v>2231</v>
      </c>
      <c r="J373" t="s">
        <v>8668</v>
      </c>
      <c r="L373">
        <f t="shared" si="10"/>
        <v>0</v>
      </c>
      <c r="R373" s="16" t="s">
        <v>8064</v>
      </c>
      <c r="S373" s="16" t="s">
        <v>8064</v>
      </c>
      <c r="T373" t="s">
        <v>7306</v>
      </c>
      <c r="U373">
        <v>0</v>
      </c>
      <c r="V373" t="s">
        <v>8655</v>
      </c>
      <c r="X373" t="s">
        <v>8667</v>
      </c>
      <c r="Y373">
        <f t="shared" si="11"/>
        <v>0</v>
      </c>
    </row>
    <row r="374" spans="1:25" hidden="1">
      <c r="A374" t="s">
        <v>7274</v>
      </c>
      <c r="B374" t="s">
        <v>2031</v>
      </c>
      <c r="C374">
        <v>1240</v>
      </c>
      <c r="D374">
        <v>13</v>
      </c>
      <c r="E374" t="s">
        <v>1444</v>
      </c>
      <c r="F374" t="s">
        <v>4678</v>
      </c>
      <c r="H374" t="s">
        <v>2232</v>
      </c>
      <c r="J374" t="s">
        <v>8668</v>
      </c>
      <c r="L374">
        <f t="shared" si="10"/>
        <v>0</v>
      </c>
      <c r="R374" s="16" t="s">
        <v>8064</v>
      </c>
      <c r="S374" s="16" t="s">
        <v>8064</v>
      </c>
      <c r="T374" t="s">
        <v>7274</v>
      </c>
      <c r="U374">
        <v>0</v>
      </c>
      <c r="V374" t="s">
        <v>8655</v>
      </c>
      <c r="X374" t="s">
        <v>8667</v>
      </c>
      <c r="Y374">
        <f t="shared" si="11"/>
        <v>0</v>
      </c>
    </row>
    <row r="375" spans="1:25" hidden="1">
      <c r="A375" t="s">
        <v>7270</v>
      </c>
      <c r="B375" t="s">
        <v>2031</v>
      </c>
      <c r="C375">
        <v>1240</v>
      </c>
      <c r="D375">
        <v>13</v>
      </c>
      <c r="E375" t="s">
        <v>1444</v>
      </c>
      <c r="F375" t="s">
        <v>4678</v>
      </c>
      <c r="H375" t="s">
        <v>2233</v>
      </c>
      <c r="J375" t="s">
        <v>8668</v>
      </c>
      <c r="L375">
        <f t="shared" si="10"/>
        <v>0</v>
      </c>
      <c r="R375" s="16" t="s">
        <v>8064</v>
      </c>
      <c r="S375" s="16" t="s">
        <v>8064</v>
      </c>
      <c r="T375" t="s">
        <v>7270</v>
      </c>
      <c r="U375">
        <v>0</v>
      </c>
      <c r="V375" t="s">
        <v>8655</v>
      </c>
      <c r="X375" t="s">
        <v>8667</v>
      </c>
      <c r="Y375">
        <f t="shared" si="11"/>
        <v>0</v>
      </c>
    </row>
    <row r="376" spans="1:25" hidden="1">
      <c r="A376" t="s">
        <v>7295</v>
      </c>
      <c r="B376" t="s">
        <v>2032</v>
      </c>
      <c r="C376">
        <v>1245</v>
      </c>
      <c r="D376">
        <v>13</v>
      </c>
      <c r="E376" t="s">
        <v>1444</v>
      </c>
      <c r="F376" t="s">
        <v>4678</v>
      </c>
      <c r="H376" t="s">
        <v>2234</v>
      </c>
      <c r="J376" t="s">
        <v>8668</v>
      </c>
      <c r="L376">
        <f t="shared" si="10"/>
        <v>0</v>
      </c>
      <c r="R376" s="16" t="s">
        <v>8064</v>
      </c>
      <c r="S376" s="16" t="s">
        <v>8064</v>
      </c>
      <c r="T376" t="s">
        <v>7295</v>
      </c>
      <c r="U376">
        <v>0</v>
      </c>
      <c r="V376" t="s">
        <v>8655</v>
      </c>
      <c r="X376" t="s">
        <v>8667</v>
      </c>
      <c r="Y376">
        <f t="shared" si="11"/>
        <v>0</v>
      </c>
    </row>
    <row r="377" spans="1:25" hidden="1">
      <c r="A377" t="s">
        <v>7275</v>
      </c>
      <c r="B377" t="s">
        <v>4683</v>
      </c>
      <c r="C377">
        <v>1241</v>
      </c>
      <c r="D377">
        <v>13</v>
      </c>
      <c r="E377" t="s">
        <v>1444</v>
      </c>
      <c r="F377" t="s">
        <v>4678</v>
      </c>
      <c r="H377" t="s">
        <v>2235</v>
      </c>
      <c r="J377" t="s">
        <v>8668</v>
      </c>
      <c r="L377">
        <f t="shared" si="10"/>
        <v>0</v>
      </c>
      <c r="R377" s="16" t="s">
        <v>8064</v>
      </c>
      <c r="S377" s="16" t="s">
        <v>8064</v>
      </c>
      <c r="T377" t="s">
        <v>7275</v>
      </c>
      <c r="U377">
        <v>0</v>
      </c>
      <c r="V377" t="s">
        <v>8655</v>
      </c>
      <c r="X377" t="s">
        <v>8667</v>
      </c>
      <c r="Y377">
        <f t="shared" si="11"/>
        <v>0</v>
      </c>
    </row>
    <row r="378" spans="1:25" hidden="1">
      <c r="A378" t="s">
        <v>7266</v>
      </c>
      <c r="B378" t="s">
        <v>2033</v>
      </c>
      <c r="C378">
        <v>1243</v>
      </c>
      <c r="D378">
        <v>13</v>
      </c>
      <c r="E378" t="s">
        <v>1444</v>
      </c>
      <c r="F378" t="s">
        <v>4678</v>
      </c>
      <c r="H378" t="s">
        <v>2236</v>
      </c>
      <c r="J378" t="s">
        <v>8668</v>
      </c>
      <c r="L378">
        <f t="shared" si="10"/>
        <v>0</v>
      </c>
      <c r="R378" s="16" t="s">
        <v>8064</v>
      </c>
      <c r="S378" s="16" t="s">
        <v>8064</v>
      </c>
      <c r="T378" t="s">
        <v>7814</v>
      </c>
      <c r="U378">
        <v>0</v>
      </c>
      <c r="V378" t="s">
        <v>8655</v>
      </c>
      <c r="X378" t="s">
        <v>8667</v>
      </c>
      <c r="Y378">
        <f t="shared" si="11"/>
        <v>0</v>
      </c>
    </row>
    <row r="379" spans="1:25" hidden="1">
      <c r="A379" t="s">
        <v>7272</v>
      </c>
      <c r="B379" t="s">
        <v>2034</v>
      </c>
      <c r="C379">
        <v>1255</v>
      </c>
      <c r="D379">
        <v>13</v>
      </c>
      <c r="E379" t="s">
        <v>1444</v>
      </c>
      <c r="F379" t="s">
        <v>4678</v>
      </c>
      <c r="H379" t="s">
        <v>2237</v>
      </c>
      <c r="J379" t="s">
        <v>8668</v>
      </c>
      <c r="L379">
        <f t="shared" si="10"/>
        <v>0</v>
      </c>
      <c r="R379" s="16" t="s">
        <v>8064</v>
      </c>
      <c r="S379" s="16" t="s">
        <v>8064</v>
      </c>
      <c r="T379" t="s">
        <v>7816</v>
      </c>
      <c r="U379">
        <v>0</v>
      </c>
      <c r="V379" t="s">
        <v>8655</v>
      </c>
      <c r="X379" t="s">
        <v>8667</v>
      </c>
      <c r="Y379">
        <f t="shared" si="11"/>
        <v>0</v>
      </c>
    </row>
    <row r="380" spans="1:25" hidden="1">
      <c r="A380" t="s">
        <v>7264</v>
      </c>
      <c r="B380" t="s">
        <v>2035</v>
      </c>
      <c r="C380">
        <v>1253</v>
      </c>
      <c r="D380">
        <v>13</v>
      </c>
      <c r="E380" t="s">
        <v>4684</v>
      </c>
      <c r="F380" t="s">
        <v>4678</v>
      </c>
      <c r="H380" t="s">
        <v>2238</v>
      </c>
      <c r="J380" t="s">
        <v>8668</v>
      </c>
      <c r="L380">
        <f t="shared" si="10"/>
        <v>1</v>
      </c>
      <c r="M380" t="s">
        <v>4684</v>
      </c>
      <c r="N380" t="s">
        <v>6305</v>
      </c>
      <c r="O380" t="s">
        <v>104</v>
      </c>
      <c r="P380">
        <v>32340</v>
      </c>
      <c r="Q380">
        <v>501750</v>
      </c>
      <c r="R380" s="16" t="s">
        <v>8461</v>
      </c>
      <c r="S380" s="16" t="s">
        <v>8165</v>
      </c>
      <c r="T380" t="s">
        <v>7264</v>
      </c>
      <c r="U380">
        <v>0</v>
      </c>
      <c r="V380" t="s">
        <v>8654</v>
      </c>
      <c r="W380" t="s">
        <v>104</v>
      </c>
      <c r="X380" t="s">
        <v>8667</v>
      </c>
      <c r="Y380">
        <f t="shared" si="11"/>
        <v>1</v>
      </c>
    </row>
    <row r="381" spans="1:25" hidden="1">
      <c r="A381" t="s">
        <v>7265</v>
      </c>
      <c r="B381" t="s">
        <v>2035</v>
      </c>
      <c r="C381">
        <v>1253</v>
      </c>
      <c r="D381">
        <v>13</v>
      </c>
      <c r="E381" t="s">
        <v>1444</v>
      </c>
      <c r="F381" t="s">
        <v>4678</v>
      </c>
      <c r="H381" t="s">
        <v>2239</v>
      </c>
      <c r="J381" t="s">
        <v>8668</v>
      </c>
      <c r="L381">
        <f t="shared" si="10"/>
        <v>0</v>
      </c>
      <c r="R381" s="16" t="s">
        <v>8064</v>
      </c>
      <c r="S381" s="16" t="s">
        <v>8064</v>
      </c>
      <c r="T381" t="s">
        <v>7265</v>
      </c>
      <c r="U381">
        <v>0</v>
      </c>
      <c r="V381" t="s">
        <v>8655</v>
      </c>
      <c r="X381" t="s">
        <v>8667</v>
      </c>
      <c r="Y381">
        <f t="shared" si="11"/>
        <v>0</v>
      </c>
    </row>
    <row r="382" spans="1:25" hidden="1">
      <c r="A382" t="s">
        <v>7277</v>
      </c>
      <c r="B382" t="s">
        <v>4685</v>
      </c>
      <c r="C382">
        <v>1266</v>
      </c>
      <c r="D382">
        <v>13</v>
      </c>
      <c r="E382" t="s">
        <v>1444</v>
      </c>
      <c r="F382" t="s">
        <v>4678</v>
      </c>
      <c r="H382" t="s">
        <v>2240</v>
      </c>
      <c r="J382" t="s">
        <v>8668</v>
      </c>
      <c r="L382">
        <f t="shared" si="10"/>
        <v>0</v>
      </c>
      <c r="R382" s="16" t="s">
        <v>8064</v>
      </c>
      <c r="S382" s="16" t="s">
        <v>8064</v>
      </c>
      <c r="T382" t="s">
        <v>7277</v>
      </c>
      <c r="U382">
        <v>0</v>
      </c>
      <c r="V382" t="s">
        <v>8655</v>
      </c>
      <c r="X382" t="s">
        <v>8667</v>
      </c>
      <c r="Y382">
        <f t="shared" si="11"/>
        <v>0</v>
      </c>
    </row>
    <row r="383" spans="1:25" hidden="1">
      <c r="A383" t="s">
        <v>7276</v>
      </c>
      <c r="B383" t="s">
        <v>4685</v>
      </c>
      <c r="C383">
        <v>1266</v>
      </c>
      <c r="D383">
        <v>13</v>
      </c>
      <c r="E383" t="s">
        <v>1444</v>
      </c>
      <c r="F383" t="s">
        <v>4678</v>
      </c>
      <c r="H383" t="s">
        <v>2241</v>
      </c>
      <c r="J383" t="s">
        <v>8668</v>
      </c>
      <c r="L383">
        <f t="shared" si="10"/>
        <v>0</v>
      </c>
      <c r="R383" s="16" t="s">
        <v>8064</v>
      </c>
      <c r="S383" s="16" t="s">
        <v>8064</v>
      </c>
      <c r="T383" t="s">
        <v>7276</v>
      </c>
      <c r="U383">
        <v>0</v>
      </c>
      <c r="V383" t="s">
        <v>8655</v>
      </c>
      <c r="X383" t="s">
        <v>8667</v>
      </c>
      <c r="Y383">
        <f t="shared" si="11"/>
        <v>0</v>
      </c>
    </row>
    <row r="384" spans="1:25" hidden="1">
      <c r="A384" t="s">
        <v>7308</v>
      </c>
      <c r="B384" t="s">
        <v>2036</v>
      </c>
      <c r="C384">
        <v>1275</v>
      </c>
      <c r="D384">
        <v>13</v>
      </c>
      <c r="E384" t="s">
        <v>1444</v>
      </c>
      <c r="F384" t="s">
        <v>4678</v>
      </c>
      <c r="H384" t="s">
        <v>2242</v>
      </c>
      <c r="J384" t="s">
        <v>8668</v>
      </c>
      <c r="L384">
        <f t="shared" si="10"/>
        <v>0</v>
      </c>
      <c r="R384" s="16" t="s">
        <v>8064</v>
      </c>
      <c r="S384" s="16" t="s">
        <v>8064</v>
      </c>
      <c r="T384" t="s">
        <v>7308</v>
      </c>
      <c r="U384">
        <v>0</v>
      </c>
      <c r="V384" t="s">
        <v>8655</v>
      </c>
      <c r="X384" t="s">
        <v>8667</v>
      </c>
      <c r="Y384">
        <f t="shared" si="11"/>
        <v>0</v>
      </c>
    </row>
    <row r="385" spans="1:25" hidden="1">
      <c r="A385" t="s">
        <v>7291</v>
      </c>
      <c r="B385" t="s">
        <v>4686</v>
      </c>
      <c r="C385">
        <v>1277</v>
      </c>
      <c r="D385">
        <v>13</v>
      </c>
      <c r="E385" t="s">
        <v>1444</v>
      </c>
      <c r="F385" t="s">
        <v>4678</v>
      </c>
      <c r="H385" t="s">
        <v>2243</v>
      </c>
      <c r="J385" t="s">
        <v>8668</v>
      </c>
      <c r="L385">
        <f t="shared" si="10"/>
        <v>0</v>
      </c>
      <c r="R385" s="16" t="s">
        <v>8064</v>
      </c>
      <c r="S385" s="16" t="s">
        <v>8064</v>
      </c>
      <c r="T385" t="s">
        <v>7291</v>
      </c>
      <c r="U385">
        <v>0</v>
      </c>
      <c r="V385" t="s">
        <v>8655</v>
      </c>
      <c r="X385" t="s">
        <v>8667</v>
      </c>
      <c r="Y385">
        <f t="shared" si="11"/>
        <v>0</v>
      </c>
    </row>
    <row r="386" spans="1:25" hidden="1">
      <c r="A386" t="s">
        <v>7269</v>
      </c>
      <c r="B386" t="s">
        <v>4687</v>
      </c>
      <c r="C386">
        <v>1279</v>
      </c>
      <c r="D386">
        <v>13</v>
      </c>
      <c r="E386" t="s">
        <v>1444</v>
      </c>
      <c r="F386" t="s">
        <v>4678</v>
      </c>
      <c r="H386" t="s">
        <v>2244</v>
      </c>
      <c r="J386" t="s">
        <v>8668</v>
      </c>
      <c r="L386">
        <f t="shared" ref="L386:L449" si="12">IF(M386&lt;&gt;"",1,0)</f>
        <v>0</v>
      </c>
      <c r="R386" s="16" t="s">
        <v>8064</v>
      </c>
      <c r="S386" s="16" t="s">
        <v>8064</v>
      </c>
      <c r="T386" t="s">
        <v>7269</v>
      </c>
      <c r="U386">
        <v>0</v>
      </c>
      <c r="V386" t="s">
        <v>8655</v>
      </c>
      <c r="X386" t="s">
        <v>8667</v>
      </c>
      <c r="Y386">
        <f t="shared" ref="Y386:Y449" si="13">IF(OR(V386="Loc",V386="IIIF"),1,0)</f>
        <v>0</v>
      </c>
    </row>
    <row r="387" spans="1:25" hidden="1">
      <c r="A387" t="s">
        <v>2202</v>
      </c>
      <c r="B387" t="s">
        <v>2037</v>
      </c>
      <c r="C387">
        <v>1283</v>
      </c>
      <c r="D387">
        <v>13</v>
      </c>
      <c r="E387" t="s">
        <v>1444</v>
      </c>
      <c r="F387" t="s">
        <v>4678</v>
      </c>
      <c r="H387" t="s">
        <v>2245</v>
      </c>
      <c r="J387" t="s">
        <v>8668</v>
      </c>
      <c r="L387">
        <f t="shared" si="12"/>
        <v>0</v>
      </c>
      <c r="R387" s="16" t="s">
        <v>8064</v>
      </c>
      <c r="S387" s="16" t="s">
        <v>8064</v>
      </c>
      <c r="T387" t="s">
        <v>8049</v>
      </c>
      <c r="U387">
        <v>0</v>
      </c>
      <c r="V387" t="s">
        <v>8655</v>
      </c>
      <c r="X387" t="s">
        <v>8667</v>
      </c>
      <c r="Y387">
        <f t="shared" si="13"/>
        <v>0</v>
      </c>
    </row>
    <row r="388" spans="1:25" hidden="1">
      <c r="A388" t="s">
        <v>7292</v>
      </c>
      <c r="B388" t="s">
        <v>783</v>
      </c>
      <c r="C388">
        <v>1292</v>
      </c>
      <c r="D388">
        <v>13</v>
      </c>
      <c r="E388" t="s">
        <v>1444</v>
      </c>
      <c r="F388" t="s">
        <v>4678</v>
      </c>
      <c r="H388" t="s">
        <v>2246</v>
      </c>
      <c r="J388" t="s">
        <v>8668</v>
      </c>
      <c r="L388">
        <f t="shared" si="12"/>
        <v>0</v>
      </c>
      <c r="R388" s="16" t="s">
        <v>8064</v>
      </c>
      <c r="S388" s="16" t="s">
        <v>8064</v>
      </c>
      <c r="T388" t="s">
        <v>7292</v>
      </c>
      <c r="U388">
        <v>0</v>
      </c>
      <c r="V388" t="s">
        <v>8655</v>
      </c>
      <c r="X388" t="s">
        <v>8667</v>
      </c>
      <c r="Y388">
        <f t="shared" si="13"/>
        <v>0</v>
      </c>
    </row>
    <row r="389" spans="1:25" hidden="1">
      <c r="A389" t="s">
        <v>7271</v>
      </c>
      <c r="B389" t="s">
        <v>2038</v>
      </c>
      <c r="C389">
        <v>1297</v>
      </c>
      <c r="D389">
        <v>13</v>
      </c>
      <c r="E389" t="s">
        <v>1444</v>
      </c>
      <c r="F389" t="s">
        <v>4678</v>
      </c>
      <c r="H389" t="s">
        <v>2247</v>
      </c>
      <c r="J389" t="s">
        <v>8668</v>
      </c>
      <c r="L389">
        <f t="shared" si="12"/>
        <v>0</v>
      </c>
      <c r="R389" s="16" t="s">
        <v>8064</v>
      </c>
      <c r="S389" s="16" t="s">
        <v>8064</v>
      </c>
      <c r="T389" t="s">
        <v>7271</v>
      </c>
      <c r="U389">
        <v>0</v>
      </c>
      <c r="V389" t="s">
        <v>8655</v>
      </c>
      <c r="X389" t="s">
        <v>8667</v>
      </c>
      <c r="Y389">
        <f t="shared" si="13"/>
        <v>0</v>
      </c>
    </row>
    <row r="390" spans="1:25" hidden="1">
      <c r="A390" t="s">
        <v>5703</v>
      </c>
      <c r="B390">
        <v>1172</v>
      </c>
      <c r="C390">
        <v>1172</v>
      </c>
      <c r="D390">
        <v>12</v>
      </c>
      <c r="E390" t="s">
        <v>5706</v>
      </c>
      <c r="F390" t="s">
        <v>5704</v>
      </c>
      <c r="H390" t="s">
        <v>5705</v>
      </c>
      <c r="J390" t="s">
        <v>8668</v>
      </c>
      <c r="L390">
        <f t="shared" si="12"/>
        <v>1</v>
      </c>
      <c r="M390" t="s">
        <v>5706</v>
      </c>
      <c r="N390" t="s">
        <v>6293</v>
      </c>
      <c r="O390" t="s">
        <v>3995</v>
      </c>
      <c r="P390" t="s">
        <v>6628</v>
      </c>
      <c r="Q390" t="s">
        <v>6596</v>
      </c>
      <c r="R390" s="16" t="s">
        <v>8549</v>
      </c>
      <c r="S390" s="16" t="s">
        <v>8152</v>
      </c>
      <c r="T390" t="s">
        <v>5703</v>
      </c>
      <c r="U390">
        <v>0</v>
      </c>
      <c r="V390" t="s">
        <v>8654</v>
      </c>
      <c r="W390" t="s">
        <v>3995</v>
      </c>
      <c r="X390" t="s">
        <v>8664</v>
      </c>
      <c r="Y390">
        <f t="shared" si="13"/>
        <v>1</v>
      </c>
    </row>
    <row r="391" spans="1:25" hidden="1">
      <c r="A391" t="s">
        <v>5707</v>
      </c>
      <c r="B391">
        <v>1274</v>
      </c>
      <c r="C391">
        <v>1274</v>
      </c>
      <c r="D391">
        <v>13</v>
      </c>
      <c r="E391" t="s">
        <v>1444</v>
      </c>
      <c r="F391" t="s">
        <v>5704</v>
      </c>
      <c r="H391" t="s">
        <v>5708</v>
      </c>
      <c r="J391" t="s">
        <v>8668</v>
      </c>
      <c r="L391">
        <f t="shared" si="12"/>
        <v>0</v>
      </c>
      <c r="R391" s="16" t="s">
        <v>8064</v>
      </c>
      <c r="S391" s="16" t="s">
        <v>8064</v>
      </c>
      <c r="T391" t="s">
        <v>5707</v>
      </c>
      <c r="U391">
        <v>0</v>
      </c>
      <c r="V391" t="s">
        <v>8655</v>
      </c>
      <c r="X391" t="s">
        <v>8664</v>
      </c>
      <c r="Y391">
        <f t="shared" si="13"/>
        <v>0</v>
      </c>
    </row>
    <row r="392" spans="1:25" hidden="1">
      <c r="A392" t="s">
        <v>5709</v>
      </c>
      <c r="B392">
        <v>1285</v>
      </c>
      <c r="C392">
        <v>1285</v>
      </c>
      <c r="D392">
        <v>13</v>
      </c>
      <c r="E392" t="s">
        <v>1444</v>
      </c>
      <c r="F392" t="s">
        <v>5704</v>
      </c>
      <c r="H392" t="s">
        <v>5710</v>
      </c>
      <c r="J392" t="s">
        <v>8668</v>
      </c>
      <c r="L392">
        <f t="shared" si="12"/>
        <v>0</v>
      </c>
      <c r="R392" s="16" t="s">
        <v>8064</v>
      </c>
      <c r="S392" s="16" t="s">
        <v>8064</v>
      </c>
      <c r="T392" t="s">
        <v>5709</v>
      </c>
      <c r="U392">
        <v>0</v>
      </c>
      <c r="V392" t="s">
        <v>8655</v>
      </c>
      <c r="X392" t="s">
        <v>8664</v>
      </c>
      <c r="Y392">
        <f t="shared" si="13"/>
        <v>0</v>
      </c>
    </row>
    <row r="393" spans="1:25" hidden="1">
      <c r="A393" t="s">
        <v>5656</v>
      </c>
      <c r="B393">
        <v>1295</v>
      </c>
      <c r="C393">
        <v>1295</v>
      </c>
      <c r="D393">
        <v>13</v>
      </c>
      <c r="E393" t="s">
        <v>5657</v>
      </c>
      <c r="F393" t="s">
        <v>5665</v>
      </c>
      <c r="H393" t="s">
        <v>5666</v>
      </c>
      <c r="J393" t="s">
        <v>5658</v>
      </c>
      <c r="L393">
        <f t="shared" si="12"/>
        <v>1</v>
      </c>
      <c r="M393" t="s">
        <v>5657</v>
      </c>
      <c r="N393" t="s">
        <v>6291</v>
      </c>
      <c r="O393" t="s">
        <v>3995</v>
      </c>
      <c r="P393" t="s">
        <v>6933</v>
      </c>
      <c r="Q393" t="s">
        <v>6934</v>
      </c>
      <c r="R393" s="16" t="s">
        <v>8374</v>
      </c>
      <c r="S393" s="16" t="s">
        <v>8255</v>
      </c>
      <c r="T393" t="s">
        <v>5656</v>
      </c>
      <c r="U393">
        <v>1</v>
      </c>
      <c r="V393" t="s">
        <v>8654</v>
      </c>
      <c r="W393" t="s">
        <v>3995</v>
      </c>
      <c r="X393" t="s">
        <v>8664</v>
      </c>
      <c r="Y393">
        <f t="shared" si="13"/>
        <v>1</v>
      </c>
    </row>
    <row r="394" spans="1:25" hidden="1">
      <c r="A394" t="s">
        <v>5700</v>
      </c>
      <c r="B394" t="s">
        <v>5688</v>
      </c>
      <c r="C394">
        <v>1040</v>
      </c>
      <c r="D394">
        <v>11</v>
      </c>
      <c r="E394" t="s">
        <v>5689</v>
      </c>
      <c r="F394" t="s">
        <v>5690</v>
      </c>
      <c r="H394" t="s">
        <v>5693</v>
      </c>
      <c r="J394" t="s">
        <v>8668</v>
      </c>
      <c r="L394">
        <f t="shared" si="12"/>
        <v>1</v>
      </c>
      <c r="M394" t="s">
        <v>5689</v>
      </c>
      <c r="N394" t="s">
        <v>6418</v>
      </c>
      <c r="O394" t="s">
        <v>3995</v>
      </c>
      <c r="P394">
        <v>91750</v>
      </c>
      <c r="Q394">
        <v>476770</v>
      </c>
      <c r="R394" s="16" t="s">
        <v>8396</v>
      </c>
      <c r="S394" s="16" t="s">
        <v>8100</v>
      </c>
      <c r="T394" t="s">
        <v>5700</v>
      </c>
      <c r="U394">
        <v>0</v>
      </c>
      <c r="V394" t="s">
        <v>8654</v>
      </c>
      <c r="W394" t="s">
        <v>3995</v>
      </c>
      <c r="X394" t="s">
        <v>8664</v>
      </c>
      <c r="Y394">
        <f t="shared" si="13"/>
        <v>1</v>
      </c>
    </row>
    <row r="395" spans="1:25" hidden="1">
      <c r="A395" t="s">
        <v>5701</v>
      </c>
      <c r="B395">
        <v>1172</v>
      </c>
      <c r="C395">
        <v>1172</v>
      </c>
      <c r="D395">
        <v>12</v>
      </c>
      <c r="E395" t="s">
        <v>5694</v>
      </c>
      <c r="F395" t="s">
        <v>5690</v>
      </c>
      <c r="H395" t="s">
        <v>5695</v>
      </c>
      <c r="J395" t="s">
        <v>8668</v>
      </c>
      <c r="L395">
        <f t="shared" si="12"/>
        <v>1</v>
      </c>
      <c r="M395" t="s">
        <v>5694</v>
      </c>
      <c r="N395" t="s">
        <v>6604</v>
      </c>
      <c r="O395" t="s">
        <v>3995</v>
      </c>
      <c r="P395" t="s">
        <v>6939</v>
      </c>
      <c r="Q395" t="s">
        <v>6940</v>
      </c>
      <c r="R395" s="16" t="s">
        <v>8550</v>
      </c>
      <c r="S395" s="16" t="s">
        <v>8256</v>
      </c>
      <c r="T395" t="s">
        <v>5701</v>
      </c>
      <c r="U395">
        <v>0</v>
      </c>
      <c r="V395" t="s">
        <v>8654</v>
      </c>
      <c r="W395" t="s">
        <v>3995</v>
      </c>
      <c r="X395" t="s">
        <v>8664</v>
      </c>
      <c r="Y395">
        <f t="shared" si="13"/>
        <v>1</v>
      </c>
    </row>
    <row r="396" spans="1:25" hidden="1">
      <c r="A396" t="s">
        <v>5702</v>
      </c>
      <c r="B396" t="s">
        <v>5696</v>
      </c>
      <c r="C396">
        <v>1212</v>
      </c>
      <c r="D396">
        <v>13</v>
      </c>
      <c r="E396" t="s">
        <v>1444</v>
      </c>
      <c r="F396" t="s">
        <v>5690</v>
      </c>
      <c r="H396" t="s">
        <v>5697</v>
      </c>
      <c r="J396" t="s">
        <v>8668</v>
      </c>
      <c r="L396">
        <f t="shared" si="12"/>
        <v>0</v>
      </c>
      <c r="R396" s="16" t="s">
        <v>8064</v>
      </c>
      <c r="S396" s="16" t="s">
        <v>8064</v>
      </c>
      <c r="T396" t="s">
        <v>5702</v>
      </c>
      <c r="U396">
        <v>0</v>
      </c>
      <c r="V396" t="s">
        <v>8655</v>
      </c>
      <c r="X396" t="s">
        <v>8664</v>
      </c>
      <c r="Y396">
        <f t="shared" si="13"/>
        <v>0</v>
      </c>
    </row>
    <row r="397" spans="1:25" hidden="1">
      <c r="A397" t="s">
        <v>5698</v>
      </c>
      <c r="B397" t="s">
        <v>5688</v>
      </c>
      <c r="C397">
        <v>1040</v>
      </c>
      <c r="D397">
        <v>11</v>
      </c>
      <c r="E397" t="s">
        <v>5689</v>
      </c>
      <c r="F397" t="s">
        <v>5690</v>
      </c>
      <c r="H397" t="s">
        <v>5691</v>
      </c>
      <c r="J397" t="s">
        <v>8668</v>
      </c>
      <c r="L397">
        <f t="shared" si="12"/>
        <v>1</v>
      </c>
      <c r="M397" t="s">
        <v>5689</v>
      </c>
      <c r="N397" t="s">
        <v>6418</v>
      </c>
      <c r="O397" t="s">
        <v>3995</v>
      </c>
      <c r="P397">
        <v>91750</v>
      </c>
      <c r="Q397">
        <v>476770</v>
      </c>
      <c r="R397" s="16" t="s">
        <v>8396</v>
      </c>
      <c r="S397" s="16" t="s">
        <v>8100</v>
      </c>
      <c r="T397" t="s">
        <v>5698</v>
      </c>
      <c r="U397">
        <v>0</v>
      </c>
      <c r="V397" t="s">
        <v>8654</v>
      </c>
      <c r="W397" t="s">
        <v>3995</v>
      </c>
      <c r="X397" t="s">
        <v>8664</v>
      </c>
      <c r="Y397">
        <f t="shared" si="13"/>
        <v>1</v>
      </c>
    </row>
    <row r="398" spans="1:25" hidden="1">
      <c r="A398" t="s">
        <v>5699</v>
      </c>
      <c r="B398" t="s">
        <v>5688</v>
      </c>
      <c r="C398">
        <v>1040</v>
      </c>
      <c r="D398">
        <v>11</v>
      </c>
      <c r="E398" t="s">
        <v>5689</v>
      </c>
      <c r="F398" t="s">
        <v>5690</v>
      </c>
      <c r="H398" t="s">
        <v>5692</v>
      </c>
      <c r="J398" t="s">
        <v>8668</v>
      </c>
      <c r="L398">
        <f t="shared" si="12"/>
        <v>1</v>
      </c>
      <c r="M398" t="s">
        <v>5689</v>
      </c>
      <c r="N398" t="s">
        <v>6418</v>
      </c>
      <c r="O398" t="s">
        <v>3995</v>
      </c>
      <c r="P398">
        <v>91750</v>
      </c>
      <c r="Q398">
        <v>476770</v>
      </c>
      <c r="R398" s="16" t="s">
        <v>8396</v>
      </c>
      <c r="S398" s="16" t="s">
        <v>8100</v>
      </c>
      <c r="T398" t="s">
        <v>5699</v>
      </c>
      <c r="U398">
        <v>0</v>
      </c>
      <c r="V398" t="s">
        <v>8654</v>
      </c>
      <c r="W398" t="s">
        <v>3995</v>
      </c>
      <c r="X398" t="s">
        <v>8664</v>
      </c>
      <c r="Y398">
        <f t="shared" si="13"/>
        <v>1</v>
      </c>
    </row>
    <row r="399" spans="1:25" hidden="1">
      <c r="A399" t="s">
        <v>5681</v>
      </c>
      <c r="B399" t="s">
        <v>5683</v>
      </c>
      <c r="C399">
        <v>1023</v>
      </c>
      <c r="D399">
        <v>11</v>
      </c>
      <c r="E399" t="s">
        <v>5682</v>
      </c>
      <c r="F399" t="s">
        <v>5680</v>
      </c>
      <c r="H399" t="s">
        <v>5684</v>
      </c>
      <c r="J399" t="s">
        <v>8668</v>
      </c>
      <c r="L399">
        <f t="shared" si="12"/>
        <v>1</v>
      </c>
      <c r="M399" t="s">
        <v>6541</v>
      </c>
      <c r="N399" t="s">
        <v>6291</v>
      </c>
      <c r="O399" t="s">
        <v>3995</v>
      </c>
      <c r="P399" t="s">
        <v>6542</v>
      </c>
      <c r="Q399" t="s">
        <v>6543</v>
      </c>
      <c r="R399" s="16" t="s">
        <v>8555</v>
      </c>
      <c r="S399" s="16" t="s">
        <v>8260</v>
      </c>
      <c r="T399" t="s">
        <v>5681</v>
      </c>
      <c r="U399">
        <v>0</v>
      </c>
      <c r="V399" t="s">
        <v>8654</v>
      </c>
      <c r="W399" t="s">
        <v>3995</v>
      </c>
      <c r="X399" t="s">
        <v>8664</v>
      </c>
      <c r="Y399">
        <f t="shared" si="13"/>
        <v>1</v>
      </c>
    </row>
    <row r="400" spans="1:25" hidden="1">
      <c r="A400" t="s">
        <v>5687</v>
      </c>
      <c r="B400">
        <v>1284</v>
      </c>
      <c r="C400">
        <v>1284</v>
      </c>
      <c r="D400">
        <v>13</v>
      </c>
      <c r="E400" t="s">
        <v>5685</v>
      </c>
      <c r="F400" t="s">
        <v>5680</v>
      </c>
      <c r="H400" t="s">
        <v>5686</v>
      </c>
      <c r="J400" s="5" t="s">
        <v>9114</v>
      </c>
      <c r="L400">
        <f t="shared" si="12"/>
        <v>1</v>
      </c>
      <c r="M400" t="s">
        <v>6877</v>
      </c>
      <c r="N400" t="s">
        <v>6287</v>
      </c>
      <c r="O400" t="s">
        <v>6288</v>
      </c>
      <c r="P400" t="s">
        <v>6878</v>
      </c>
      <c r="Q400" t="s">
        <v>6822</v>
      </c>
      <c r="R400" s="16" t="s">
        <v>8554</v>
      </c>
      <c r="S400" s="16" t="s">
        <v>8247</v>
      </c>
      <c r="T400" t="s">
        <v>7918</v>
      </c>
      <c r="U400">
        <v>1</v>
      </c>
      <c r="V400" t="s">
        <v>8656</v>
      </c>
      <c r="W400" t="s">
        <v>6288</v>
      </c>
      <c r="X400" t="s">
        <v>8664</v>
      </c>
      <c r="Y400">
        <f t="shared" si="13"/>
        <v>1</v>
      </c>
    </row>
    <row r="401" spans="1:25" hidden="1">
      <c r="A401" t="s">
        <v>5675</v>
      </c>
      <c r="B401">
        <v>970</v>
      </c>
      <c r="C401">
        <v>970</v>
      </c>
      <c r="D401">
        <v>10</v>
      </c>
      <c r="E401" t="s">
        <v>5668</v>
      </c>
      <c r="F401" t="s">
        <v>5667</v>
      </c>
      <c r="H401" t="s">
        <v>5669</v>
      </c>
      <c r="J401" s="5" t="s">
        <v>9115</v>
      </c>
      <c r="L401">
        <f t="shared" si="12"/>
        <v>1</v>
      </c>
      <c r="M401" t="s">
        <v>6499</v>
      </c>
      <c r="N401" t="s">
        <v>6291</v>
      </c>
      <c r="O401" t="s">
        <v>3995</v>
      </c>
      <c r="P401">
        <v>99350</v>
      </c>
      <c r="Q401">
        <v>497910</v>
      </c>
      <c r="R401" s="16" t="s">
        <v>8556</v>
      </c>
      <c r="S401" s="16" t="s">
        <v>8261</v>
      </c>
      <c r="T401" t="s">
        <v>5675</v>
      </c>
      <c r="U401">
        <v>1</v>
      </c>
      <c r="V401" t="s">
        <v>8654</v>
      </c>
      <c r="W401" t="s">
        <v>3995</v>
      </c>
      <c r="X401" t="s">
        <v>8664</v>
      </c>
      <c r="Y401">
        <f t="shared" si="13"/>
        <v>1</v>
      </c>
    </row>
    <row r="402" spans="1:25" hidden="1">
      <c r="A402" t="s">
        <v>5676</v>
      </c>
      <c r="B402">
        <v>1246</v>
      </c>
      <c r="C402">
        <v>1246</v>
      </c>
      <c r="D402">
        <v>13</v>
      </c>
      <c r="E402" t="s">
        <v>5668</v>
      </c>
      <c r="F402" t="s">
        <v>5667</v>
      </c>
      <c r="H402" t="s">
        <v>5670</v>
      </c>
      <c r="J402" t="s">
        <v>8668</v>
      </c>
      <c r="L402">
        <f t="shared" si="12"/>
        <v>1</v>
      </c>
      <c r="M402" t="s">
        <v>6499</v>
      </c>
      <c r="N402" t="s">
        <v>6291</v>
      </c>
      <c r="O402" t="s">
        <v>3995</v>
      </c>
      <c r="P402">
        <v>99350</v>
      </c>
      <c r="Q402">
        <v>497910</v>
      </c>
      <c r="R402" s="16" t="s">
        <v>8556</v>
      </c>
      <c r="S402" s="16" t="s">
        <v>8261</v>
      </c>
      <c r="T402" t="s">
        <v>5676</v>
      </c>
      <c r="U402">
        <v>0</v>
      </c>
      <c r="V402" t="s">
        <v>8654</v>
      </c>
      <c r="W402" t="s">
        <v>3995</v>
      </c>
      <c r="X402" t="s">
        <v>8664</v>
      </c>
      <c r="Y402">
        <f t="shared" si="13"/>
        <v>1</v>
      </c>
    </row>
    <row r="403" spans="1:25" hidden="1">
      <c r="A403" t="s">
        <v>5677</v>
      </c>
      <c r="B403">
        <v>1246</v>
      </c>
      <c r="C403">
        <v>1246</v>
      </c>
      <c r="D403">
        <v>13</v>
      </c>
      <c r="E403" t="s">
        <v>5668</v>
      </c>
      <c r="F403" t="s">
        <v>5667</v>
      </c>
      <c r="H403" t="s">
        <v>5672</v>
      </c>
      <c r="J403" t="s">
        <v>8668</v>
      </c>
      <c r="L403">
        <f t="shared" si="12"/>
        <v>1</v>
      </c>
      <c r="M403" t="s">
        <v>6499</v>
      </c>
      <c r="N403" t="s">
        <v>6291</v>
      </c>
      <c r="O403" t="s">
        <v>3995</v>
      </c>
      <c r="P403">
        <v>99350</v>
      </c>
      <c r="Q403">
        <v>497910</v>
      </c>
      <c r="R403" s="16" t="s">
        <v>8556</v>
      </c>
      <c r="S403" s="16" t="s">
        <v>8261</v>
      </c>
      <c r="T403" t="s">
        <v>5677</v>
      </c>
      <c r="U403">
        <v>0</v>
      </c>
      <c r="V403" t="s">
        <v>8654</v>
      </c>
      <c r="W403" t="s">
        <v>3995</v>
      </c>
      <c r="X403" t="s">
        <v>8664</v>
      </c>
      <c r="Y403">
        <f t="shared" si="13"/>
        <v>1</v>
      </c>
    </row>
    <row r="404" spans="1:25" hidden="1">
      <c r="A404" t="s">
        <v>5678</v>
      </c>
      <c r="B404">
        <v>1261</v>
      </c>
      <c r="C404">
        <v>1261</v>
      </c>
      <c r="D404">
        <v>13</v>
      </c>
      <c r="E404" t="s">
        <v>104</v>
      </c>
      <c r="F404" t="s">
        <v>5667</v>
      </c>
      <c r="H404" t="s">
        <v>5671</v>
      </c>
      <c r="J404" t="s">
        <v>8668</v>
      </c>
      <c r="L404">
        <f t="shared" si="12"/>
        <v>0</v>
      </c>
      <c r="R404" s="16" t="s">
        <v>8064</v>
      </c>
      <c r="S404" s="16" t="s">
        <v>8064</v>
      </c>
      <c r="T404" t="s">
        <v>5678</v>
      </c>
      <c r="U404">
        <v>0</v>
      </c>
      <c r="V404" t="s">
        <v>8655</v>
      </c>
      <c r="X404" t="s">
        <v>8664</v>
      </c>
      <c r="Y404">
        <f t="shared" si="13"/>
        <v>0</v>
      </c>
    </row>
    <row r="405" spans="1:25" hidden="1">
      <c r="A405" t="s">
        <v>5715</v>
      </c>
      <c r="B405" t="s">
        <v>4849</v>
      </c>
      <c r="C405">
        <v>1173</v>
      </c>
      <c r="D405">
        <v>12</v>
      </c>
      <c r="E405" t="s">
        <v>5661</v>
      </c>
      <c r="F405" t="s">
        <v>9163</v>
      </c>
      <c r="H405" t="s">
        <v>9168</v>
      </c>
      <c r="J405" t="s">
        <v>8668</v>
      </c>
      <c r="L405">
        <f t="shared" si="12"/>
        <v>1</v>
      </c>
      <c r="M405" t="s">
        <v>6515</v>
      </c>
      <c r="N405" t="s">
        <v>6324</v>
      </c>
      <c r="O405" t="s">
        <v>11</v>
      </c>
      <c r="P405" t="s">
        <v>6516</v>
      </c>
      <c r="Q405" t="s">
        <v>6517</v>
      </c>
      <c r="R405" s="16" t="s">
        <v>6516</v>
      </c>
      <c r="S405" s="16" t="s">
        <v>6517</v>
      </c>
      <c r="T405" t="s">
        <v>7916</v>
      </c>
      <c r="U405">
        <v>0</v>
      </c>
      <c r="V405" t="s">
        <v>8654</v>
      </c>
      <c r="W405" t="s">
        <v>11</v>
      </c>
      <c r="X405" t="s">
        <v>8664</v>
      </c>
      <c r="Y405">
        <f t="shared" si="13"/>
        <v>1</v>
      </c>
    </row>
    <row r="406" spans="1:25" hidden="1">
      <c r="A406" t="s">
        <v>5711</v>
      </c>
      <c r="B406" t="s">
        <v>46</v>
      </c>
      <c r="C406">
        <v>1075</v>
      </c>
      <c r="D406">
        <v>11</v>
      </c>
      <c r="E406" t="s">
        <v>5659</v>
      </c>
      <c r="F406" t="s">
        <v>9163</v>
      </c>
      <c r="H406" t="s">
        <v>9164</v>
      </c>
      <c r="J406" t="s">
        <v>8728</v>
      </c>
      <c r="L406">
        <f t="shared" si="12"/>
        <v>1</v>
      </c>
      <c r="M406" t="s">
        <v>6941</v>
      </c>
      <c r="N406" t="s">
        <v>6461</v>
      </c>
      <c r="O406" t="s">
        <v>104</v>
      </c>
      <c r="P406" t="s">
        <v>6942</v>
      </c>
      <c r="Q406" t="s">
        <v>6943</v>
      </c>
      <c r="R406" s="16" t="s">
        <v>8551</v>
      </c>
      <c r="S406" s="16" t="s">
        <v>8257</v>
      </c>
      <c r="T406" t="s">
        <v>7915</v>
      </c>
      <c r="U406">
        <v>1</v>
      </c>
      <c r="V406" t="s">
        <v>8654</v>
      </c>
      <c r="W406" t="s">
        <v>104</v>
      </c>
      <c r="X406" t="s">
        <v>8664</v>
      </c>
      <c r="Y406">
        <f t="shared" si="13"/>
        <v>1</v>
      </c>
    </row>
    <row r="407" spans="1:25" hidden="1">
      <c r="A407" t="s">
        <v>5712</v>
      </c>
      <c r="B407" t="s">
        <v>5660</v>
      </c>
      <c r="C407">
        <v>1089</v>
      </c>
      <c r="D407">
        <v>11</v>
      </c>
      <c r="E407" t="s">
        <v>5662</v>
      </c>
      <c r="F407" t="s">
        <v>9163</v>
      </c>
      <c r="H407" t="s">
        <v>9165</v>
      </c>
      <c r="J407" t="s">
        <v>8668</v>
      </c>
      <c r="L407">
        <f t="shared" si="12"/>
        <v>1</v>
      </c>
      <c r="M407" t="s">
        <v>7020</v>
      </c>
      <c r="N407" t="s">
        <v>7021</v>
      </c>
      <c r="O407" t="s">
        <v>7009</v>
      </c>
      <c r="P407">
        <v>-86167</v>
      </c>
      <c r="Q407">
        <v>411500</v>
      </c>
      <c r="R407" s="16" t="s">
        <v>8552</v>
      </c>
      <c r="S407" s="16" t="s">
        <v>8258</v>
      </c>
      <c r="T407" t="s">
        <v>5712</v>
      </c>
      <c r="U407">
        <v>0</v>
      </c>
      <c r="V407" t="s">
        <v>8654</v>
      </c>
      <c r="W407" t="s">
        <v>7009</v>
      </c>
      <c r="X407" t="s">
        <v>8664</v>
      </c>
      <c r="Y407">
        <f t="shared" si="13"/>
        <v>1</v>
      </c>
    </row>
    <row r="408" spans="1:25" hidden="1">
      <c r="A408" t="s">
        <v>5713</v>
      </c>
      <c r="B408">
        <v>1147</v>
      </c>
      <c r="C408">
        <v>1147</v>
      </c>
      <c r="D408">
        <v>12</v>
      </c>
      <c r="E408" t="s">
        <v>5663</v>
      </c>
      <c r="F408" t="s">
        <v>9163</v>
      </c>
      <c r="H408" t="s">
        <v>9166</v>
      </c>
      <c r="J408" s="5" t="s">
        <v>9113</v>
      </c>
      <c r="L408">
        <f t="shared" si="12"/>
        <v>1</v>
      </c>
      <c r="M408" t="s">
        <v>6987</v>
      </c>
      <c r="N408" t="s">
        <v>6988</v>
      </c>
      <c r="O408" t="s">
        <v>6979</v>
      </c>
      <c r="P408">
        <v>119010</v>
      </c>
      <c r="Q408">
        <v>488450</v>
      </c>
      <c r="R408" s="16" t="s">
        <v>8553</v>
      </c>
      <c r="S408" s="16" t="s">
        <v>8259</v>
      </c>
      <c r="T408" t="s">
        <v>7917</v>
      </c>
      <c r="U408">
        <v>1</v>
      </c>
      <c r="V408" t="s">
        <v>8654</v>
      </c>
      <c r="W408" t="s">
        <v>6979</v>
      </c>
      <c r="X408" t="s">
        <v>8664</v>
      </c>
      <c r="Y408">
        <f t="shared" si="13"/>
        <v>1</v>
      </c>
    </row>
    <row r="409" spans="1:25" hidden="1">
      <c r="A409" t="s">
        <v>5714</v>
      </c>
      <c r="B409">
        <v>1163</v>
      </c>
      <c r="C409">
        <v>1163</v>
      </c>
      <c r="D409">
        <v>12</v>
      </c>
      <c r="E409" t="s">
        <v>5664</v>
      </c>
      <c r="F409" t="s">
        <v>9163</v>
      </c>
      <c r="H409" t="s">
        <v>9167</v>
      </c>
      <c r="J409" t="s">
        <v>8668</v>
      </c>
      <c r="L409">
        <f t="shared" si="12"/>
        <v>1</v>
      </c>
      <c r="M409" t="s">
        <v>6987</v>
      </c>
      <c r="N409" t="s">
        <v>6988</v>
      </c>
      <c r="O409" t="s">
        <v>6979</v>
      </c>
      <c r="P409">
        <v>119010</v>
      </c>
      <c r="Q409">
        <v>488450</v>
      </c>
      <c r="R409" s="16" t="s">
        <v>8553</v>
      </c>
      <c r="S409" s="16" t="s">
        <v>8259</v>
      </c>
      <c r="T409" t="s">
        <v>5714</v>
      </c>
      <c r="U409">
        <v>0</v>
      </c>
      <c r="V409" t="s">
        <v>8654</v>
      </c>
      <c r="W409" t="s">
        <v>6979</v>
      </c>
      <c r="X409" t="s">
        <v>8664</v>
      </c>
      <c r="Y409">
        <f t="shared" si="13"/>
        <v>1</v>
      </c>
    </row>
    <row r="410" spans="1:25" hidden="1">
      <c r="A410" t="s">
        <v>6155</v>
      </c>
      <c r="B410">
        <v>1298</v>
      </c>
      <c r="C410">
        <v>1298</v>
      </c>
      <c r="D410">
        <v>13</v>
      </c>
      <c r="E410" t="s">
        <v>77</v>
      </c>
      <c r="F410" t="s">
        <v>1231</v>
      </c>
      <c r="H410" t="s">
        <v>6157</v>
      </c>
      <c r="J410" t="s">
        <v>1230</v>
      </c>
      <c r="K410" t="s">
        <v>1229</v>
      </c>
      <c r="L410">
        <f t="shared" si="12"/>
        <v>1</v>
      </c>
      <c r="M410" t="s">
        <v>77</v>
      </c>
      <c r="N410" t="s">
        <v>6416</v>
      </c>
      <c r="O410" t="s">
        <v>11</v>
      </c>
      <c r="P410">
        <v>91900</v>
      </c>
      <c r="Q410">
        <v>454640</v>
      </c>
      <c r="R410" s="16" t="s">
        <v>8432</v>
      </c>
      <c r="S410" s="16" t="s">
        <v>8136</v>
      </c>
      <c r="T410" t="s">
        <v>6155</v>
      </c>
      <c r="U410">
        <v>1</v>
      </c>
      <c r="V410" t="s">
        <v>8656</v>
      </c>
      <c r="W410" t="s">
        <v>11</v>
      </c>
      <c r="X410" t="s">
        <v>8666</v>
      </c>
      <c r="Y410">
        <f t="shared" si="13"/>
        <v>1</v>
      </c>
    </row>
    <row r="411" spans="1:25" hidden="1">
      <c r="A411" t="s">
        <v>7262</v>
      </c>
      <c r="B411">
        <v>996</v>
      </c>
      <c r="C411">
        <v>996</v>
      </c>
      <c r="D411">
        <v>10</v>
      </c>
      <c r="E411" t="s">
        <v>1218</v>
      </c>
      <c r="F411" t="s">
        <v>1217</v>
      </c>
      <c r="H411" t="s">
        <v>6157</v>
      </c>
      <c r="J411" t="s">
        <v>1219</v>
      </c>
      <c r="K411" t="s">
        <v>1237</v>
      </c>
      <c r="L411">
        <f t="shared" si="12"/>
        <v>1</v>
      </c>
      <c r="M411" t="s">
        <v>4646</v>
      </c>
      <c r="N411" t="s">
        <v>6295</v>
      </c>
      <c r="O411" t="s">
        <v>11</v>
      </c>
      <c r="P411">
        <v>124964</v>
      </c>
      <c r="Q411">
        <v>419028</v>
      </c>
      <c r="R411" s="16" t="s">
        <v>8368</v>
      </c>
      <c r="S411" s="16" t="s">
        <v>8073</v>
      </c>
      <c r="T411" t="s">
        <v>7262</v>
      </c>
      <c r="U411">
        <v>1</v>
      </c>
      <c r="V411" t="s">
        <v>8656</v>
      </c>
      <c r="W411" t="s">
        <v>11</v>
      </c>
      <c r="X411" t="s">
        <v>8666</v>
      </c>
      <c r="Y411">
        <f t="shared" si="13"/>
        <v>1</v>
      </c>
    </row>
    <row r="412" spans="1:25" hidden="1">
      <c r="A412" t="s">
        <v>7263</v>
      </c>
      <c r="B412" t="s">
        <v>1224</v>
      </c>
      <c r="C412">
        <v>1267</v>
      </c>
      <c r="D412">
        <v>13</v>
      </c>
      <c r="E412" t="s">
        <v>1225</v>
      </c>
      <c r="F412" t="s">
        <v>1226</v>
      </c>
      <c r="H412" t="s">
        <v>6157</v>
      </c>
      <c r="J412" t="s">
        <v>1223</v>
      </c>
      <c r="K412" t="s">
        <v>1222</v>
      </c>
      <c r="L412">
        <f t="shared" si="12"/>
        <v>1</v>
      </c>
      <c r="M412" t="s">
        <v>6370</v>
      </c>
      <c r="N412" t="s">
        <v>6371</v>
      </c>
      <c r="O412" t="s">
        <v>11</v>
      </c>
      <c r="P412">
        <v>122340</v>
      </c>
      <c r="Q412">
        <v>434540</v>
      </c>
      <c r="R412" s="16" t="s">
        <v>8462</v>
      </c>
      <c r="S412" s="16" t="s">
        <v>8166</v>
      </c>
      <c r="T412" t="s">
        <v>7263</v>
      </c>
      <c r="U412">
        <v>1</v>
      </c>
      <c r="V412" t="s">
        <v>8656</v>
      </c>
      <c r="W412" t="s">
        <v>11</v>
      </c>
      <c r="X412" t="s">
        <v>8666</v>
      </c>
      <c r="Y412">
        <f t="shared" si="13"/>
        <v>1</v>
      </c>
    </row>
    <row r="413" spans="1:25" hidden="1">
      <c r="A413" t="s">
        <v>6156</v>
      </c>
      <c r="B413">
        <v>1279</v>
      </c>
      <c r="C413">
        <v>1279</v>
      </c>
      <c r="D413">
        <v>13</v>
      </c>
      <c r="E413" t="s">
        <v>104</v>
      </c>
      <c r="F413" t="s">
        <v>1234</v>
      </c>
      <c r="H413" t="s">
        <v>6157</v>
      </c>
      <c r="J413" t="s">
        <v>1236</v>
      </c>
      <c r="K413" t="s">
        <v>1235</v>
      </c>
      <c r="L413">
        <f t="shared" si="12"/>
        <v>0</v>
      </c>
      <c r="R413" s="16" t="s">
        <v>8064</v>
      </c>
      <c r="S413" s="16" t="s">
        <v>8064</v>
      </c>
      <c r="T413" t="s">
        <v>6156</v>
      </c>
      <c r="U413">
        <v>1</v>
      </c>
      <c r="V413" t="s">
        <v>8655</v>
      </c>
      <c r="X413" t="s">
        <v>8666</v>
      </c>
      <c r="Y413">
        <f t="shared" si="13"/>
        <v>0</v>
      </c>
    </row>
    <row r="414" spans="1:25" hidden="1">
      <c r="A414" t="s">
        <v>7676</v>
      </c>
      <c r="B414" t="s">
        <v>778</v>
      </c>
      <c r="C414">
        <v>1286</v>
      </c>
      <c r="D414">
        <v>13</v>
      </c>
      <c r="E414" t="s">
        <v>1444</v>
      </c>
      <c r="F414" t="s">
        <v>4693</v>
      </c>
      <c r="H414" t="s">
        <v>4694</v>
      </c>
      <c r="J414" t="s">
        <v>8668</v>
      </c>
      <c r="L414">
        <f t="shared" si="12"/>
        <v>0</v>
      </c>
      <c r="R414" s="16" t="s">
        <v>8064</v>
      </c>
      <c r="S414" s="16" t="s">
        <v>8064</v>
      </c>
      <c r="T414" t="s">
        <v>7676</v>
      </c>
      <c r="U414">
        <v>0</v>
      </c>
      <c r="V414" t="s">
        <v>8655</v>
      </c>
      <c r="X414" t="s">
        <v>8660</v>
      </c>
      <c r="Y414">
        <f t="shared" si="13"/>
        <v>0</v>
      </c>
    </row>
    <row r="415" spans="1:25" hidden="1">
      <c r="A415" t="s">
        <v>7687</v>
      </c>
      <c r="B415" t="s">
        <v>4379</v>
      </c>
      <c r="C415">
        <v>1010</v>
      </c>
      <c r="D415">
        <v>11</v>
      </c>
      <c r="E415" t="s">
        <v>4380</v>
      </c>
      <c r="F415" t="s">
        <v>4705</v>
      </c>
      <c r="H415" t="s">
        <v>1328</v>
      </c>
      <c r="J415" t="s">
        <v>8976</v>
      </c>
      <c r="L415">
        <f t="shared" si="12"/>
        <v>1</v>
      </c>
      <c r="M415" t="s">
        <v>4380</v>
      </c>
      <c r="N415" t="s">
        <v>6308</v>
      </c>
      <c r="O415" t="s">
        <v>104</v>
      </c>
      <c r="P415">
        <v>42950</v>
      </c>
      <c r="Q415">
        <v>469500</v>
      </c>
      <c r="R415" s="16" t="s">
        <v>8375</v>
      </c>
      <c r="S415" s="16" t="s">
        <v>8079</v>
      </c>
      <c r="T415" t="s">
        <v>7687</v>
      </c>
      <c r="U415">
        <v>1</v>
      </c>
      <c r="V415" t="s">
        <v>8656</v>
      </c>
      <c r="W415" t="s">
        <v>104</v>
      </c>
      <c r="X415" t="s">
        <v>8660</v>
      </c>
      <c r="Y415">
        <f t="shared" si="13"/>
        <v>1</v>
      </c>
    </row>
    <row r="416" spans="1:25" hidden="1">
      <c r="A416" t="s">
        <v>7684</v>
      </c>
      <c r="B416" t="s">
        <v>4706</v>
      </c>
      <c r="C416">
        <v>1154</v>
      </c>
      <c r="D416">
        <v>12</v>
      </c>
      <c r="E416" t="s">
        <v>4486</v>
      </c>
      <c r="F416" t="s">
        <v>4705</v>
      </c>
      <c r="H416" t="s">
        <v>1331</v>
      </c>
      <c r="J416" t="s">
        <v>8977</v>
      </c>
      <c r="L416">
        <f t="shared" si="12"/>
        <v>1</v>
      </c>
      <c r="M416" t="s">
        <v>6578</v>
      </c>
      <c r="N416" t="s">
        <v>6293</v>
      </c>
      <c r="O416" t="s">
        <v>3995</v>
      </c>
      <c r="P416" t="s">
        <v>6579</v>
      </c>
      <c r="Q416" t="s">
        <v>6580</v>
      </c>
      <c r="R416" s="16" t="s">
        <v>8372</v>
      </c>
      <c r="S416" s="16" t="s">
        <v>8076</v>
      </c>
      <c r="T416" t="s">
        <v>7684</v>
      </c>
      <c r="U416">
        <v>1</v>
      </c>
      <c r="V416" t="s">
        <v>8656</v>
      </c>
      <c r="W416" t="s">
        <v>3995</v>
      </c>
      <c r="X416" t="s">
        <v>8660</v>
      </c>
      <c r="Y416">
        <f t="shared" si="13"/>
        <v>1</v>
      </c>
    </row>
    <row r="417" spans="1:25" hidden="1">
      <c r="A417" t="s">
        <v>7682</v>
      </c>
      <c r="B417" t="s">
        <v>4437</v>
      </c>
      <c r="C417">
        <v>1102</v>
      </c>
      <c r="D417">
        <v>12</v>
      </c>
      <c r="E417" t="s">
        <v>4438</v>
      </c>
      <c r="F417" t="s">
        <v>4705</v>
      </c>
      <c r="H417" t="s">
        <v>1329</v>
      </c>
      <c r="J417" t="s">
        <v>9116</v>
      </c>
      <c r="L417">
        <f t="shared" si="12"/>
        <v>1</v>
      </c>
      <c r="M417" t="s">
        <v>6458</v>
      </c>
      <c r="N417" t="s">
        <v>6295</v>
      </c>
      <c r="O417" t="s">
        <v>11</v>
      </c>
      <c r="P417">
        <v>138220</v>
      </c>
      <c r="Q417">
        <v>414930</v>
      </c>
      <c r="R417" s="16" t="s">
        <v>8370</v>
      </c>
      <c r="S417" s="16" t="s">
        <v>8075</v>
      </c>
      <c r="T417" t="s">
        <v>7682</v>
      </c>
      <c r="U417">
        <v>1</v>
      </c>
      <c r="V417" t="s">
        <v>8656</v>
      </c>
      <c r="W417" t="s">
        <v>11</v>
      </c>
      <c r="X417" t="s">
        <v>8660</v>
      </c>
      <c r="Y417">
        <f t="shared" si="13"/>
        <v>1</v>
      </c>
    </row>
    <row r="418" spans="1:25" hidden="1">
      <c r="A418" t="s">
        <v>7677</v>
      </c>
      <c r="B418" t="s">
        <v>4442</v>
      </c>
      <c r="C418">
        <v>1109</v>
      </c>
      <c r="D418">
        <v>12</v>
      </c>
      <c r="E418" t="s">
        <v>4443</v>
      </c>
      <c r="F418" t="s">
        <v>4705</v>
      </c>
      <c r="H418" t="s">
        <v>1330</v>
      </c>
      <c r="J418" t="s">
        <v>8978</v>
      </c>
      <c r="L418">
        <f t="shared" si="12"/>
        <v>1</v>
      </c>
      <c r="M418" t="s">
        <v>6944</v>
      </c>
      <c r="N418" t="s">
        <v>6334</v>
      </c>
      <c r="O418" t="s">
        <v>3995</v>
      </c>
      <c r="P418" t="s">
        <v>6945</v>
      </c>
      <c r="Q418" t="s">
        <v>6946</v>
      </c>
      <c r="R418" s="16" t="s">
        <v>8365</v>
      </c>
      <c r="S418" s="16" t="s">
        <v>8070</v>
      </c>
      <c r="T418" t="s">
        <v>7677</v>
      </c>
      <c r="U418">
        <v>1</v>
      </c>
      <c r="V418" t="s">
        <v>8656</v>
      </c>
      <c r="W418" t="s">
        <v>3995</v>
      </c>
      <c r="X418" t="s">
        <v>8660</v>
      </c>
      <c r="Y418">
        <f t="shared" si="13"/>
        <v>1</v>
      </c>
    </row>
    <row r="419" spans="1:25" hidden="1">
      <c r="A419" t="s">
        <v>7696</v>
      </c>
      <c r="B419" t="s">
        <v>4456</v>
      </c>
      <c r="C419">
        <v>1125</v>
      </c>
      <c r="D419">
        <v>12</v>
      </c>
      <c r="E419" t="s">
        <v>1444</v>
      </c>
      <c r="F419" t="s">
        <v>4705</v>
      </c>
      <c r="H419" t="s">
        <v>1330</v>
      </c>
      <c r="J419" t="s">
        <v>8668</v>
      </c>
      <c r="L419">
        <f t="shared" si="12"/>
        <v>0</v>
      </c>
      <c r="R419" s="16" t="s">
        <v>8064</v>
      </c>
      <c r="S419" s="16" t="s">
        <v>8064</v>
      </c>
      <c r="T419" t="s">
        <v>7734</v>
      </c>
      <c r="U419">
        <v>0</v>
      </c>
      <c r="V419" t="s">
        <v>8655</v>
      </c>
      <c r="X419" t="s">
        <v>8660</v>
      </c>
      <c r="Y419">
        <f t="shared" si="13"/>
        <v>0</v>
      </c>
    </row>
    <row r="420" spans="1:25" hidden="1">
      <c r="A420" t="s">
        <v>7695</v>
      </c>
      <c r="B420" t="s">
        <v>683</v>
      </c>
      <c r="C420">
        <v>1218</v>
      </c>
      <c r="D420">
        <v>13</v>
      </c>
      <c r="E420" t="s">
        <v>1444</v>
      </c>
      <c r="F420" t="s">
        <v>4705</v>
      </c>
      <c r="H420" t="s">
        <v>1332</v>
      </c>
      <c r="J420" t="s">
        <v>8803</v>
      </c>
      <c r="L420">
        <f t="shared" si="12"/>
        <v>0</v>
      </c>
      <c r="R420" s="16" t="s">
        <v>8064</v>
      </c>
      <c r="S420" s="16" t="s">
        <v>8064</v>
      </c>
      <c r="T420" t="s">
        <v>7695</v>
      </c>
      <c r="U420">
        <v>1</v>
      </c>
      <c r="V420" t="s">
        <v>8655</v>
      </c>
      <c r="X420" t="s">
        <v>8660</v>
      </c>
      <c r="Y420">
        <f t="shared" si="13"/>
        <v>0</v>
      </c>
    </row>
    <row r="421" spans="1:25" hidden="1">
      <c r="A421" t="s">
        <v>7690</v>
      </c>
      <c r="B421" t="s">
        <v>4707</v>
      </c>
      <c r="C421">
        <v>1237</v>
      </c>
      <c r="D421">
        <v>13</v>
      </c>
      <c r="E421" t="s">
        <v>1444</v>
      </c>
      <c r="F421" t="s">
        <v>4705</v>
      </c>
      <c r="H421" t="s">
        <v>1334</v>
      </c>
      <c r="J421" t="s">
        <v>8668</v>
      </c>
      <c r="L421">
        <f t="shared" si="12"/>
        <v>0</v>
      </c>
      <c r="R421" s="16" t="s">
        <v>8064</v>
      </c>
      <c r="S421" s="16" t="s">
        <v>8064</v>
      </c>
      <c r="T421" t="s">
        <v>7690</v>
      </c>
      <c r="U421">
        <v>0</v>
      </c>
      <c r="V421" t="s">
        <v>8655</v>
      </c>
      <c r="X421" t="s">
        <v>8660</v>
      </c>
      <c r="Y421">
        <f t="shared" si="13"/>
        <v>0</v>
      </c>
    </row>
    <row r="422" spans="1:25" hidden="1">
      <c r="A422" t="s">
        <v>7679</v>
      </c>
      <c r="B422" t="s">
        <v>4539</v>
      </c>
      <c r="C422">
        <v>1240</v>
      </c>
      <c r="D422">
        <v>13</v>
      </c>
      <c r="E422" t="s">
        <v>4540</v>
      </c>
      <c r="F422" t="s">
        <v>4705</v>
      </c>
      <c r="H422" t="s">
        <v>1333</v>
      </c>
      <c r="J422" t="s">
        <v>8668</v>
      </c>
      <c r="L422">
        <f t="shared" si="12"/>
        <v>1</v>
      </c>
      <c r="M422" t="s">
        <v>6762</v>
      </c>
      <c r="N422" t="s">
        <v>6763</v>
      </c>
      <c r="O422" t="s">
        <v>104</v>
      </c>
      <c r="P422" t="s">
        <v>6764</v>
      </c>
      <c r="Q422" t="s">
        <v>6765</v>
      </c>
      <c r="R422" s="16" t="s">
        <v>8367</v>
      </c>
      <c r="S422" s="16" t="s">
        <v>8072</v>
      </c>
      <c r="T422" t="s">
        <v>7679</v>
      </c>
      <c r="U422">
        <v>0</v>
      </c>
      <c r="V422" t="s">
        <v>8654</v>
      </c>
      <c r="W422" t="s">
        <v>104</v>
      </c>
      <c r="X422" t="s">
        <v>8660</v>
      </c>
      <c r="Y422">
        <f t="shared" si="13"/>
        <v>1</v>
      </c>
    </row>
    <row r="423" spans="1:25" hidden="1">
      <c r="A423" t="s">
        <v>7692</v>
      </c>
      <c r="B423" t="s">
        <v>4708</v>
      </c>
      <c r="C423">
        <v>1244</v>
      </c>
      <c r="D423">
        <v>13</v>
      </c>
      <c r="E423" t="s">
        <v>1444</v>
      </c>
      <c r="F423" t="s">
        <v>4705</v>
      </c>
      <c r="H423" t="s">
        <v>1333</v>
      </c>
      <c r="J423" t="s">
        <v>8668</v>
      </c>
      <c r="L423">
        <f t="shared" si="12"/>
        <v>0</v>
      </c>
      <c r="R423" s="16" t="s">
        <v>8064</v>
      </c>
      <c r="S423" s="16" t="s">
        <v>8064</v>
      </c>
      <c r="T423" t="s">
        <v>7692</v>
      </c>
      <c r="U423">
        <v>0</v>
      </c>
      <c r="V423" t="s">
        <v>8655</v>
      </c>
      <c r="X423" t="s">
        <v>8660</v>
      </c>
      <c r="Y423">
        <f t="shared" si="13"/>
        <v>0</v>
      </c>
    </row>
    <row r="424" spans="1:25" hidden="1">
      <c r="A424" t="s">
        <v>7685</v>
      </c>
      <c r="B424" t="s">
        <v>4710</v>
      </c>
      <c r="C424">
        <v>1258</v>
      </c>
      <c r="D424">
        <v>13</v>
      </c>
      <c r="E424" t="s">
        <v>4548</v>
      </c>
      <c r="F424" t="s">
        <v>4705</v>
      </c>
      <c r="H424" t="s">
        <v>1335</v>
      </c>
      <c r="J424" t="s">
        <v>8979</v>
      </c>
      <c r="L424">
        <f t="shared" si="12"/>
        <v>1</v>
      </c>
      <c r="M424" t="s">
        <v>4548</v>
      </c>
      <c r="N424" t="s">
        <v>6553</v>
      </c>
      <c r="O424" t="s">
        <v>104</v>
      </c>
      <c r="P424" t="s">
        <v>6554</v>
      </c>
      <c r="Q424" t="s">
        <v>6555</v>
      </c>
      <c r="R424" s="16" t="s">
        <v>8373</v>
      </c>
      <c r="S424" s="16" t="s">
        <v>8077</v>
      </c>
      <c r="T424" t="s">
        <v>7685</v>
      </c>
      <c r="U424">
        <v>1</v>
      </c>
      <c r="V424" t="s">
        <v>8656</v>
      </c>
      <c r="W424" t="s">
        <v>104</v>
      </c>
      <c r="X424" t="s">
        <v>8660</v>
      </c>
      <c r="Y424">
        <f t="shared" si="13"/>
        <v>1</v>
      </c>
    </row>
    <row r="425" spans="1:25" hidden="1">
      <c r="A425" t="s">
        <v>7689</v>
      </c>
      <c r="B425" t="s">
        <v>4709</v>
      </c>
      <c r="C425">
        <v>1268</v>
      </c>
      <c r="D425">
        <v>13</v>
      </c>
      <c r="E425" t="s">
        <v>1444</v>
      </c>
      <c r="F425" t="s">
        <v>4705</v>
      </c>
      <c r="H425" t="s">
        <v>1335</v>
      </c>
      <c r="J425" t="s">
        <v>8668</v>
      </c>
      <c r="L425">
        <f t="shared" si="12"/>
        <v>0</v>
      </c>
      <c r="R425" s="16" t="s">
        <v>8064</v>
      </c>
      <c r="S425" s="16" t="s">
        <v>8064</v>
      </c>
      <c r="T425" t="s">
        <v>7689</v>
      </c>
      <c r="U425">
        <v>0</v>
      </c>
      <c r="V425" t="s">
        <v>8655</v>
      </c>
      <c r="X425" t="s">
        <v>8660</v>
      </c>
      <c r="Y425">
        <f t="shared" si="13"/>
        <v>0</v>
      </c>
    </row>
    <row r="426" spans="1:25" hidden="1">
      <c r="A426" t="s">
        <v>7686</v>
      </c>
      <c r="B426" t="s">
        <v>4711</v>
      </c>
      <c r="C426">
        <v>1287</v>
      </c>
      <c r="D426">
        <v>13</v>
      </c>
      <c r="E426" t="s">
        <v>4616</v>
      </c>
      <c r="F426" t="s">
        <v>4705</v>
      </c>
      <c r="H426" t="s">
        <v>1340</v>
      </c>
      <c r="J426" t="s">
        <v>8668</v>
      </c>
      <c r="L426">
        <f t="shared" si="12"/>
        <v>1</v>
      </c>
      <c r="M426" t="s">
        <v>4616</v>
      </c>
      <c r="N426" t="s">
        <v>6329</v>
      </c>
      <c r="O426" t="s">
        <v>11</v>
      </c>
      <c r="P426">
        <v>121660</v>
      </c>
      <c r="Q426">
        <v>434900</v>
      </c>
      <c r="R426" s="16" t="s">
        <v>8374</v>
      </c>
      <c r="S426" s="16" t="s">
        <v>8078</v>
      </c>
      <c r="T426" t="s">
        <v>7686</v>
      </c>
      <c r="U426">
        <v>0</v>
      </c>
      <c r="V426" t="s">
        <v>8654</v>
      </c>
      <c r="W426" t="s">
        <v>11</v>
      </c>
      <c r="X426" t="s">
        <v>8660</v>
      </c>
      <c r="Y426">
        <f t="shared" si="13"/>
        <v>1</v>
      </c>
    </row>
    <row r="427" spans="1:25" hidden="1">
      <c r="A427" t="s">
        <v>7691</v>
      </c>
      <c r="B427" t="s">
        <v>4712</v>
      </c>
      <c r="C427">
        <v>1288</v>
      </c>
      <c r="D427">
        <v>13</v>
      </c>
      <c r="E427" t="s">
        <v>1444</v>
      </c>
      <c r="F427" t="s">
        <v>4705</v>
      </c>
      <c r="H427" t="s">
        <v>1341</v>
      </c>
      <c r="J427" t="s">
        <v>8668</v>
      </c>
      <c r="L427">
        <f t="shared" si="12"/>
        <v>0</v>
      </c>
      <c r="R427" s="16" t="s">
        <v>8064</v>
      </c>
      <c r="S427" s="16" t="s">
        <v>8064</v>
      </c>
      <c r="T427" t="s">
        <v>7691</v>
      </c>
      <c r="U427">
        <v>0</v>
      </c>
      <c r="V427" t="s">
        <v>8655</v>
      </c>
      <c r="X427" t="s">
        <v>8660</v>
      </c>
      <c r="Y427">
        <f t="shared" si="13"/>
        <v>0</v>
      </c>
    </row>
    <row r="428" spans="1:25" hidden="1">
      <c r="A428" t="s">
        <v>7688</v>
      </c>
      <c r="B428" t="s">
        <v>4713</v>
      </c>
      <c r="C428">
        <v>1270</v>
      </c>
      <c r="D428">
        <v>13</v>
      </c>
      <c r="E428" t="s">
        <v>1444</v>
      </c>
      <c r="F428" t="s">
        <v>4705</v>
      </c>
      <c r="H428" t="s">
        <v>1336</v>
      </c>
      <c r="J428" t="s">
        <v>8668</v>
      </c>
      <c r="L428">
        <f t="shared" si="12"/>
        <v>0</v>
      </c>
      <c r="R428" s="16" t="s">
        <v>8064</v>
      </c>
      <c r="S428" s="16" t="s">
        <v>8064</v>
      </c>
      <c r="T428" t="s">
        <v>7688</v>
      </c>
      <c r="U428">
        <v>0</v>
      </c>
      <c r="V428" t="s">
        <v>8655</v>
      </c>
      <c r="X428" t="s">
        <v>8660</v>
      </c>
      <c r="Y428">
        <f t="shared" si="13"/>
        <v>0</v>
      </c>
    </row>
    <row r="429" spans="1:25" hidden="1">
      <c r="A429" t="s">
        <v>7678</v>
      </c>
      <c r="B429" t="s">
        <v>4713</v>
      </c>
      <c r="C429">
        <v>1270</v>
      </c>
      <c r="D429">
        <v>13</v>
      </c>
      <c r="E429" t="s">
        <v>4532</v>
      </c>
      <c r="F429" t="s">
        <v>4705</v>
      </c>
      <c r="H429" t="s">
        <v>1337</v>
      </c>
      <c r="J429" t="s">
        <v>8980</v>
      </c>
      <c r="L429">
        <f t="shared" si="12"/>
        <v>1</v>
      </c>
      <c r="M429" t="s">
        <v>4532</v>
      </c>
      <c r="N429" t="s">
        <v>6308</v>
      </c>
      <c r="O429" t="s">
        <v>104</v>
      </c>
      <c r="P429">
        <v>32830</v>
      </c>
      <c r="Q429">
        <v>481980</v>
      </c>
      <c r="R429" s="16" t="s">
        <v>8366</v>
      </c>
      <c r="S429" s="16" t="s">
        <v>8071</v>
      </c>
      <c r="T429" t="s">
        <v>7678</v>
      </c>
      <c r="U429">
        <v>1</v>
      </c>
      <c r="V429" t="s">
        <v>8656</v>
      </c>
      <c r="W429" t="s">
        <v>104</v>
      </c>
      <c r="X429" t="s">
        <v>8660</v>
      </c>
      <c r="Y429">
        <f t="shared" si="13"/>
        <v>1</v>
      </c>
    </row>
    <row r="430" spans="1:25" hidden="1">
      <c r="A430" t="s">
        <v>7702</v>
      </c>
      <c r="B430" t="s">
        <v>1327</v>
      </c>
      <c r="C430">
        <v>1276</v>
      </c>
      <c r="D430">
        <v>13</v>
      </c>
      <c r="E430" t="s">
        <v>1444</v>
      </c>
      <c r="F430" t="s">
        <v>4705</v>
      </c>
      <c r="H430" t="s">
        <v>1338</v>
      </c>
      <c r="J430" t="s">
        <v>8806</v>
      </c>
      <c r="L430">
        <f t="shared" si="12"/>
        <v>0</v>
      </c>
      <c r="R430" s="16" t="s">
        <v>8064</v>
      </c>
      <c r="S430" s="16" t="s">
        <v>8064</v>
      </c>
      <c r="T430" t="s">
        <v>7702</v>
      </c>
      <c r="U430">
        <v>1</v>
      </c>
      <c r="V430" t="s">
        <v>8655</v>
      </c>
      <c r="X430" t="s">
        <v>8660</v>
      </c>
      <c r="Y430">
        <f t="shared" si="13"/>
        <v>0</v>
      </c>
    </row>
    <row r="431" spans="1:25" hidden="1">
      <c r="A431" t="s">
        <v>7683</v>
      </c>
      <c r="B431" t="s">
        <v>4714</v>
      </c>
      <c r="C431">
        <v>1281</v>
      </c>
      <c r="D431">
        <v>13</v>
      </c>
      <c r="E431" t="s">
        <v>4560</v>
      </c>
      <c r="F431" t="s">
        <v>4705</v>
      </c>
      <c r="H431" t="s">
        <v>1338</v>
      </c>
      <c r="J431" t="s">
        <v>9117</v>
      </c>
      <c r="L431">
        <f t="shared" si="12"/>
        <v>1</v>
      </c>
      <c r="M431" t="s">
        <v>6629</v>
      </c>
      <c r="N431" t="s">
        <v>6324</v>
      </c>
      <c r="O431" t="s">
        <v>11</v>
      </c>
      <c r="P431" t="s">
        <v>6630</v>
      </c>
      <c r="Q431" t="s">
        <v>6631</v>
      </c>
      <c r="R431" s="16" t="s">
        <v>8371</v>
      </c>
      <c r="S431" s="16" t="s">
        <v>6631</v>
      </c>
      <c r="T431" t="s">
        <v>7683</v>
      </c>
      <c r="U431">
        <v>1</v>
      </c>
      <c r="V431" t="s">
        <v>8656</v>
      </c>
      <c r="W431" t="s">
        <v>11</v>
      </c>
      <c r="X431" t="s">
        <v>8660</v>
      </c>
      <c r="Y431">
        <f t="shared" si="13"/>
        <v>1</v>
      </c>
    </row>
    <row r="432" spans="1:25" hidden="1">
      <c r="A432" t="s">
        <v>7697</v>
      </c>
      <c r="B432" t="s">
        <v>4715</v>
      </c>
      <c r="C432">
        <v>1282</v>
      </c>
      <c r="D432">
        <v>13</v>
      </c>
      <c r="E432" t="s">
        <v>1444</v>
      </c>
      <c r="F432" t="s">
        <v>4705</v>
      </c>
      <c r="H432" t="s">
        <v>1339</v>
      </c>
      <c r="J432" t="s">
        <v>8668</v>
      </c>
      <c r="L432">
        <f t="shared" si="12"/>
        <v>0</v>
      </c>
      <c r="R432" s="16" t="s">
        <v>8064</v>
      </c>
      <c r="S432" s="16" t="s">
        <v>8064</v>
      </c>
      <c r="T432" t="s">
        <v>7697</v>
      </c>
      <c r="U432">
        <v>0</v>
      </c>
      <c r="V432" t="s">
        <v>8655</v>
      </c>
      <c r="X432" t="s">
        <v>8660</v>
      </c>
      <c r="Y432">
        <f t="shared" si="13"/>
        <v>0</v>
      </c>
    </row>
    <row r="433" spans="1:25" hidden="1">
      <c r="A433" t="s">
        <v>7699</v>
      </c>
      <c r="B433" t="s">
        <v>4716</v>
      </c>
      <c r="C433">
        <v>1288</v>
      </c>
      <c r="D433">
        <v>13</v>
      </c>
      <c r="E433" t="s">
        <v>1444</v>
      </c>
      <c r="F433" t="s">
        <v>4705</v>
      </c>
      <c r="H433" t="s">
        <v>1343</v>
      </c>
      <c r="J433" t="s">
        <v>8668</v>
      </c>
      <c r="L433">
        <f t="shared" si="12"/>
        <v>0</v>
      </c>
      <c r="R433" s="16" t="s">
        <v>8064</v>
      </c>
      <c r="S433" s="16" t="s">
        <v>8064</v>
      </c>
      <c r="T433" t="s">
        <v>7699</v>
      </c>
      <c r="U433">
        <v>0</v>
      </c>
      <c r="V433" t="s">
        <v>8655</v>
      </c>
      <c r="X433" t="s">
        <v>8660</v>
      </c>
      <c r="Y433">
        <f t="shared" si="13"/>
        <v>0</v>
      </c>
    </row>
    <row r="434" spans="1:25" hidden="1">
      <c r="A434" t="s">
        <v>7701</v>
      </c>
      <c r="B434" t="s">
        <v>4712</v>
      </c>
      <c r="C434">
        <v>1288</v>
      </c>
      <c r="D434">
        <v>13</v>
      </c>
      <c r="E434" t="s">
        <v>1444</v>
      </c>
      <c r="F434" t="s">
        <v>4705</v>
      </c>
      <c r="H434" t="s">
        <v>1342</v>
      </c>
      <c r="J434" t="s">
        <v>8805</v>
      </c>
      <c r="L434">
        <f t="shared" si="12"/>
        <v>0</v>
      </c>
      <c r="R434" s="16" t="s">
        <v>8064</v>
      </c>
      <c r="S434" s="16" t="s">
        <v>8064</v>
      </c>
      <c r="T434" t="s">
        <v>7701</v>
      </c>
      <c r="U434">
        <v>1</v>
      </c>
      <c r="V434" t="s">
        <v>8655</v>
      </c>
      <c r="X434" t="s">
        <v>8660</v>
      </c>
      <c r="Y434">
        <f t="shared" si="13"/>
        <v>0</v>
      </c>
    </row>
    <row r="435" spans="1:25" hidden="1">
      <c r="A435" t="s">
        <v>7681</v>
      </c>
      <c r="B435" t="s">
        <v>4717</v>
      </c>
      <c r="C435">
        <v>1289</v>
      </c>
      <c r="D435">
        <v>13</v>
      </c>
      <c r="E435" t="s">
        <v>4620</v>
      </c>
      <c r="F435" t="s">
        <v>4705</v>
      </c>
      <c r="H435" t="s">
        <v>1344</v>
      </c>
      <c r="J435" t="s">
        <v>8668</v>
      </c>
      <c r="L435">
        <f t="shared" si="12"/>
        <v>1</v>
      </c>
      <c r="M435" t="s">
        <v>6471</v>
      </c>
      <c r="N435" t="s">
        <v>6359</v>
      </c>
      <c r="O435" t="s">
        <v>104</v>
      </c>
      <c r="P435">
        <v>19090</v>
      </c>
      <c r="Q435">
        <v>479020</v>
      </c>
      <c r="R435" s="16" t="s">
        <v>8369</v>
      </c>
      <c r="S435" s="16" t="s">
        <v>8074</v>
      </c>
      <c r="T435" t="s">
        <v>7681</v>
      </c>
      <c r="U435">
        <v>0</v>
      </c>
      <c r="V435" t="s">
        <v>8654</v>
      </c>
      <c r="W435" t="s">
        <v>104</v>
      </c>
      <c r="X435" t="s">
        <v>8660</v>
      </c>
      <c r="Y435">
        <f t="shared" si="13"/>
        <v>1</v>
      </c>
    </row>
    <row r="436" spans="1:25" hidden="1">
      <c r="A436" t="s">
        <v>7694</v>
      </c>
      <c r="B436" t="s">
        <v>790</v>
      </c>
      <c r="C436">
        <v>1295</v>
      </c>
      <c r="D436">
        <v>13</v>
      </c>
      <c r="E436" t="s">
        <v>1444</v>
      </c>
      <c r="F436" t="s">
        <v>4705</v>
      </c>
      <c r="H436" t="s">
        <v>1345</v>
      </c>
      <c r="J436" t="s">
        <v>8668</v>
      </c>
      <c r="L436">
        <f t="shared" si="12"/>
        <v>0</v>
      </c>
      <c r="R436" s="16" t="s">
        <v>8064</v>
      </c>
      <c r="S436" s="16" t="s">
        <v>8064</v>
      </c>
      <c r="T436" t="s">
        <v>7694</v>
      </c>
      <c r="U436">
        <v>0</v>
      </c>
      <c r="V436" t="s">
        <v>8655</v>
      </c>
      <c r="X436" t="s">
        <v>8660</v>
      </c>
      <c r="Y436">
        <f t="shared" si="13"/>
        <v>0</v>
      </c>
    </row>
    <row r="437" spans="1:25" hidden="1">
      <c r="A437" t="s">
        <v>7700</v>
      </c>
      <c r="B437" t="s">
        <v>790</v>
      </c>
      <c r="C437">
        <v>1295</v>
      </c>
      <c r="D437">
        <v>13</v>
      </c>
      <c r="E437" t="s">
        <v>1444</v>
      </c>
      <c r="F437" t="s">
        <v>4705</v>
      </c>
      <c r="H437" t="s">
        <v>1346</v>
      </c>
      <c r="J437" t="s">
        <v>8804</v>
      </c>
      <c r="L437">
        <f t="shared" si="12"/>
        <v>0</v>
      </c>
      <c r="R437" s="16" t="s">
        <v>8064</v>
      </c>
      <c r="S437" s="16" t="s">
        <v>8064</v>
      </c>
      <c r="T437" t="s">
        <v>7700</v>
      </c>
      <c r="U437">
        <v>1</v>
      </c>
      <c r="V437" t="s">
        <v>8655</v>
      </c>
      <c r="X437" t="s">
        <v>8660</v>
      </c>
      <c r="Y437">
        <f t="shared" si="13"/>
        <v>0</v>
      </c>
    </row>
    <row r="438" spans="1:25" hidden="1">
      <c r="A438" t="s">
        <v>7693</v>
      </c>
      <c r="B438" t="s">
        <v>4718</v>
      </c>
      <c r="C438">
        <v>1296</v>
      </c>
      <c r="D438">
        <v>13</v>
      </c>
      <c r="E438" t="s">
        <v>1444</v>
      </c>
      <c r="F438" t="s">
        <v>4705</v>
      </c>
      <c r="H438" t="s">
        <v>1347</v>
      </c>
      <c r="J438" t="s">
        <v>8668</v>
      </c>
      <c r="L438">
        <f t="shared" si="12"/>
        <v>0</v>
      </c>
      <c r="R438" s="16" t="s">
        <v>8064</v>
      </c>
      <c r="S438" s="16" t="s">
        <v>8064</v>
      </c>
      <c r="T438" t="s">
        <v>7693</v>
      </c>
      <c r="U438">
        <v>0</v>
      </c>
      <c r="V438" t="s">
        <v>8655</v>
      </c>
      <c r="X438" t="s">
        <v>8660</v>
      </c>
      <c r="Y438">
        <f t="shared" si="13"/>
        <v>0</v>
      </c>
    </row>
    <row r="439" spans="1:25" hidden="1">
      <c r="A439" t="s">
        <v>7703</v>
      </c>
      <c r="B439" t="s">
        <v>1280</v>
      </c>
      <c r="C439">
        <v>1297</v>
      </c>
      <c r="D439">
        <v>13</v>
      </c>
      <c r="E439" t="s">
        <v>1444</v>
      </c>
      <c r="F439" t="s">
        <v>4705</v>
      </c>
      <c r="H439" t="s">
        <v>1348</v>
      </c>
      <c r="J439" t="s">
        <v>8668</v>
      </c>
      <c r="L439">
        <f t="shared" si="12"/>
        <v>0</v>
      </c>
      <c r="R439" s="16" t="s">
        <v>8064</v>
      </c>
      <c r="S439" s="16" t="s">
        <v>8064</v>
      </c>
      <c r="T439" t="s">
        <v>7703</v>
      </c>
      <c r="U439">
        <v>0</v>
      </c>
      <c r="V439" t="s">
        <v>8655</v>
      </c>
      <c r="X439" t="s">
        <v>8660</v>
      </c>
      <c r="Y439">
        <f t="shared" si="13"/>
        <v>0</v>
      </c>
    </row>
    <row r="440" spans="1:25" hidden="1">
      <c r="A440" t="s">
        <v>7680</v>
      </c>
      <c r="B440" t="s">
        <v>1047</v>
      </c>
      <c r="C440">
        <v>1299</v>
      </c>
      <c r="D440">
        <v>13</v>
      </c>
      <c r="E440" t="s">
        <v>4646</v>
      </c>
      <c r="F440" t="s">
        <v>4705</v>
      </c>
      <c r="H440" t="s">
        <v>1349</v>
      </c>
      <c r="J440" t="s">
        <v>8668</v>
      </c>
      <c r="L440">
        <f t="shared" si="12"/>
        <v>1</v>
      </c>
      <c r="M440" t="s">
        <v>4646</v>
      </c>
      <c r="N440" t="s">
        <v>6295</v>
      </c>
      <c r="O440" t="s">
        <v>11</v>
      </c>
      <c r="P440">
        <v>124964</v>
      </c>
      <c r="Q440">
        <v>419028</v>
      </c>
      <c r="R440" s="16" t="s">
        <v>8368</v>
      </c>
      <c r="S440" s="16" t="s">
        <v>8073</v>
      </c>
      <c r="T440" t="s">
        <v>7680</v>
      </c>
      <c r="U440">
        <v>0</v>
      </c>
      <c r="V440" t="s">
        <v>8654</v>
      </c>
      <c r="W440" t="s">
        <v>11</v>
      </c>
      <c r="X440" t="s">
        <v>8660</v>
      </c>
      <c r="Y440">
        <f t="shared" si="13"/>
        <v>1</v>
      </c>
    </row>
    <row r="441" spans="1:25" hidden="1">
      <c r="A441" t="s">
        <v>1420</v>
      </c>
      <c r="B441" t="s">
        <v>1270</v>
      </c>
      <c r="C441">
        <v>1242</v>
      </c>
      <c r="D441">
        <v>13</v>
      </c>
      <c r="E441" t="s">
        <v>4534</v>
      </c>
      <c r="F441" t="s">
        <v>4688</v>
      </c>
      <c r="H441" t="s">
        <v>4689</v>
      </c>
      <c r="J441" t="s">
        <v>8668</v>
      </c>
      <c r="L441">
        <f t="shared" si="12"/>
        <v>1</v>
      </c>
      <c r="M441" t="s">
        <v>6327</v>
      </c>
      <c r="N441" t="s">
        <v>6318</v>
      </c>
      <c r="O441" t="s">
        <v>104</v>
      </c>
      <c r="P441" t="s">
        <v>6328</v>
      </c>
      <c r="Q441">
        <v>491840</v>
      </c>
      <c r="R441" s="16" t="s">
        <v>8561</v>
      </c>
      <c r="S441" s="16" t="s">
        <v>8266</v>
      </c>
      <c r="T441" t="s">
        <v>1420</v>
      </c>
      <c r="U441">
        <v>0</v>
      </c>
      <c r="V441" t="s">
        <v>8654</v>
      </c>
      <c r="W441" t="s">
        <v>104</v>
      </c>
      <c r="X441" t="s">
        <v>8660</v>
      </c>
      <c r="Y441">
        <f t="shared" si="13"/>
        <v>1</v>
      </c>
    </row>
    <row r="442" spans="1:25" hidden="1">
      <c r="A442" t="s">
        <v>2059</v>
      </c>
      <c r="B442" t="s">
        <v>1241</v>
      </c>
      <c r="C442">
        <v>990</v>
      </c>
      <c r="D442">
        <v>10</v>
      </c>
      <c r="E442" t="s">
        <v>4357</v>
      </c>
      <c r="F442" t="s">
        <v>4688</v>
      </c>
      <c r="H442" t="s">
        <v>4699</v>
      </c>
      <c r="J442" t="s">
        <v>8981</v>
      </c>
      <c r="L442">
        <f t="shared" si="12"/>
        <v>1</v>
      </c>
      <c r="M442" t="s">
        <v>6437</v>
      </c>
      <c r="N442" t="s">
        <v>6438</v>
      </c>
      <c r="O442" t="s">
        <v>104</v>
      </c>
      <c r="P442">
        <v>12610</v>
      </c>
      <c r="Q442">
        <v>458330</v>
      </c>
      <c r="R442" s="16" t="s">
        <v>8559</v>
      </c>
      <c r="S442" s="16" t="s">
        <v>8264</v>
      </c>
      <c r="T442" t="s">
        <v>7920</v>
      </c>
      <c r="U442">
        <v>1</v>
      </c>
      <c r="V442" t="s">
        <v>8656</v>
      </c>
      <c r="W442" t="s">
        <v>104</v>
      </c>
      <c r="X442" t="s">
        <v>8660</v>
      </c>
      <c r="Y442">
        <f t="shared" si="13"/>
        <v>1</v>
      </c>
    </row>
    <row r="443" spans="1:25" hidden="1">
      <c r="A443" t="s">
        <v>1418</v>
      </c>
      <c r="B443" t="s">
        <v>4700</v>
      </c>
      <c r="C443">
        <v>1114</v>
      </c>
      <c r="D443">
        <v>12</v>
      </c>
      <c r="E443" t="s">
        <v>4453</v>
      </c>
      <c r="F443" t="s">
        <v>4688</v>
      </c>
      <c r="H443" t="s">
        <v>4701</v>
      </c>
      <c r="J443" t="s">
        <v>8668</v>
      </c>
      <c r="L443">
        <f t="shared" si="12"/>
        <v>1</v>
      </c>
      <c r="M443" t="s">
        <v>4453</v>
      </c>
      <c r="N443" t="s">
        <v>7012</v>
      </c>
      <c r="O443" t="s">
        <v>6973</v>
      </c>
      <c r="P443">
        <v>-15833</v>
      </c>
      <c r="Q443">
        <v>466500</v>
      </c>
      <c r="R443" s="16" t="s">
        <v>8560</v>
      </c>
      <c r="S443" s="16" t="s">
        <v>8265</v>
      </c>
      <c r="T443" t="s">
        <v>1418</v>
      </c>
      <c r="U443">
        <v>0</v>
      </c>
      <c r="V443" t="s">
        <v>8654</v>
      </c>
      <c r="W443" t="s">
        <v>6973</v>
      </c>
      <c r="X443" t="s">
        <v>8660</v>
      </c>
      <c r="Y443">
        <f t="shared" si="13"/>
        <v>1</v>
      </c>
    </row>
    <row r="444" spans="1:25" hidden="1">
      <c r="A444" t="s">
        <v>1423</v>
      </c>
      <c r="B444" t="s">
        <v>1273</v>
      </c>
      <c r="C444">
        <v>1270</v>
      </c>
      <c r="D444">
        <v>13</v>
      </c>
      <c r="E444" t="s">
        <v>4418</v>
      </c>
      <c r="F444" t="s">
        <v>4688</v>
      </c>
      <c r="H444" t="s">
        <v>4702</v>
      </c>
      <c r="J444" t="s">
        <v>8668</v>
      </c>
      <c r="L444">
        <f t="shared" si="12"/>
        <v>1</v>
      </c>
      <c r="M444" t="s">
        <v>4418</v>
      </c>
      <c r="N444" t="s">
        <v>6773</v>
      </c>
      <c r="O444" t="s">
        <v>104</v>
      </c>
      <c r="P444" t="s">
        <v>6774</v>
      </c>
      <c r="Q444" t="s">
        <v>6775</v>
      </c>
      <c r="R444" s="16" t="s">
        <v>8558</v>
      </c>
      <c r="S444" s="16" t="s">
        <v>8263</v>
      </c>
      <c r="T444" t="s">
        <v>1423</v>
      </c>
      <c r="U444">
        <v>0</v>
      </c>
      <c r="V444" t="s">
        <v>8654</v>
      </c>
      <c r="W444" t="s">
        <v>104</v>
      </c>
      <c r="X444" t="s">
        <v>8660</v>
      </c>
      <c r="Y444">
        <f t="shared" si="13"/>
        <v>1</v>
      </c>
    </row>
    <row r="445" spans="1:25" hidden="1">
      <c r="A445" t="s">
        <v>1382</v>
      </c>
      <c r="B445" t="s">
        <v>1242</v>
      </c>
      <c r="C445">
        <v>991</v>
      </c>
      <c r="D445">
        <v>10</v>
      </c>
      <c r="E445" t="s">
        <v>4357</v>
      </c>
      <c r="F445" t="s">
        <v>4719</v>
      </c>
      <c r="H445" t="s">
        <v>1281</v>
      </c>
      <c r="J445" t="s">
        <v>8985</v>
      </c>
      <c r="L445">
        <f t="shared" si="12"/>
        <v>1</v>
      </c>
      <c r="M445" t="s">
        <v>6437</v>
      </c>
      <c r="N445" t="s">
        <v>6438</v>
      </c>
      <c r="O445" t="s">
        <v>104</v>
      </c>
      <c r="P445">
        <v>12610</v>
      </c>
      <c r="Q445">
        <v>458330</v>
      </c>
      <c r="R445" s="16" t="s">
        <v>8559</v>
      </c>
      <c r="S445" s="16" t="s">
        <v>8264</v>
      </c>
      <c r="T445" t="s">
        <v>1382</v>
      </c>
      <c r="U445">
        <v>1</v>
      </c>
      <c r="V445" t="s">
        <v>8656</v>
      </c>
      <c r="W445" t="s">
        <v>104</v>
      </c>
      <c r="X445" t="s">
        <v>8660</v>
      </c>
      <c r="Y445">
        <f t="shared" si="13"/>
        <v>1</v>
      </c>
    </row>
    <row r="446" spans="1:25" hidden="1">
      <c r="A446" t="s">
        <v>4888</v>
      </c>
      <c r="B446" t="s">
        <v>4889</v>
      </c>
      <c r="C446">
        <v>951</v>
      </c>
      <c r="D446">
        <v>10</v>
      </c>
      <c r="E446" t="s">
        <v>4363</v>
      </c>
      <c r="F446" t="s">
        <v>4688</v>
      </c>
      <c r="H446" t="s">
        <v>1282</v>
      </c>
      <c r="J446" t="s">
        <v>9118</v>
      </c>
      <c r="L446">
        <f t="shared" si="12"/>
        <v>1</v>
      </c>
      <c r="M446" t="s">
        <v>4363</v>
      </c>
      <c r="N446" t="s">
        <v>6289</v>
      </c>
      <c r="O446" t="s">
        <v>6290</v>
      </c>
      <c r="P446">
        <v>-25170</v>
      </c>
      <c r="Q446">
        <v>424580</v>
      </c>
      <c r="R446" s="16" t="s">
        <v>8562</v>
      </c>
      <c r="S446" s="16" t="s">
        <v>8267</v>
      </c>
      <c r="T446" t="s">
        <v>4888</v>
      </c>
      <c r="U446">
        <v>1</v>
      </c>
      <c r="V446" t="s">
        <v>8656</v>
      </c>
      <c r="W446" t="s">
        <v>6290</v>
      </c>
      <c r="X446" t="s">
        <v>8660</v>
      </c>
      <c r="Y446">
        <f t="shared" si="13"/>
        <v>1</v>
      </c>
    </row>
    <row r="447" spans="1:25" hidden="1">
      <c r="A447" t="s">
        <v>2039</v>
      </c>
      <c r="B447" t="s">
        <v>1239</v>
      </c>
      <c r="C447">
        <v>951</v>
      </c>
      <c r="D447">
        <v>10</v>
      </c>
      <c r="E447" t="s">
        <v>1444</v>
      </c>
      <c r="F447" t="s">
        <v>4719</v>
      </c>
      <c r="H447" t="s">
        <v>1282</v>
      </c>
      <c r="J447" t="s">
        <v>8668</v>
      </c>
      <c r="L447">
        <f t="shared" si="12"/>
        <v>0</v>
      </c>
      <c r="R447" s="16" t="s">
        <v>8064</v>
      </c>
      <c r="S447" s="16" t="s">
        <v>8064</v>
      </c>
      <c r="T447" t="s">
        <v>7931</v>
      </c>
      <c r="U447">
        <v>0</v>
      </c>
      <c r="V447" t="s">
        <v>8655</v>
      </c>
      <c r="X447" t="s">
        <v>8660</v>
      </c>
      <c r="Y447">
        <f t="shared" si="13"/>
        <v>0</v>
      </c>
    </row>
    <row r="448" spans="1:25" hidden="1">
      <c r="A448" t="s">
        <v>7649</v>
      </c>
      <c r="B448" t="s">
        <v>1161</v>
      </c>
      <c r="C448">
        <v>1208</v>
      </c>
      <c r="D448">
        <v>13</v>
      </c>
      <c r="E448" t="s">
        <v>3997</v>
      </c>
      <c r="F448" t="s">
        <v>1162</v>
      </c>
      <c r="G448" t="str">
        <f>VLOOKUP(TRIM(F448), [1]mss!$AA:$AA,1,0)</f>
        <v>Lo I 192</v>
      </c>
      <c r="H448" t="s">
        <v>1163</v>
      </c>
      <c r="J448" t="s">
        <v>8668</v>
      </c>
      <c r="L448">
        <f t="shared" si="12"/>
        <v>1</v>
      </c>
      <c r="M448" t="s">
        <v>6430</v>
      </c>
      <c r="N448" t="s">
        <v>6431</v>
      </c>
      <c r="O448" t="s">
        <v>12</v>
      </c>
      <c r="P448" t="s">
        <v>6432</v>
      </c>
      <c r="Q448">
        <v>514680</v>
      </c>
      <c r="R448" s="16" t="s">
        <v>8498</v>
      </c>
      <c r="S448" s="16" t="s">
        <v>8204</v>
      </c>
      <c r="T448" t="s">
        <v>7649</v>
      </c>
      <c r="U448">
        <v>0</v>
      </c>
      <c r="V448" t="s">
        <v>8654</v>
      </c>
      <c r="W448" t="s">
        <v>12</v>
      </c>
      <c r="X448" t="s">
        <v>8661</v>
      </c>
      <c r="Y448">
        <f t="shared" si="13"/>
        <v>1</v>
      </c>
    </row>
    <row r="449" spans="1:25" hidden="1">
      <c r="A449" t="s">
        <v>1384</v>
      </c>
      <c r="B449" t="s">
        <v>1245</v>
      </c>
      <c r="C449">
        <v>1031</v>
      </c>
      <c r="D449">
        <v>11</v>
      </c>
      <c r="E449" t="s">
        <v>4357</v>
      </c>
      <c r="F449" t="s">
        <v>4719</v>
      </c>
      <c r="H449" t="s">
        <v>1283</v>
      </c>
      <c r="J449" t="s">
        <v>8668</v>
      </c>
      <c r="L449">
        <f t="shared" si="12"/>
        <v>1</v>
      </c>
      <c r="M449" t="s">
        <v>6437</v>
      </c>
      <c r="N449" t="s">
        <v>6438</v>
      </c>
      <c r="O449" t="s">
        <v>104</v>
      </c>
      <c r="P449">
        <v>12610</v>
      </c>
      <c r="Q449">
        <v>458330</v>
      </c>
      <c r="R449" s="16" t="s">
        <v>8559</v>
      </c>
      <c r="S449" s="16" t="s">
        <v>8264</v>
      </c>
      <c r="T449" t="s">
        <v>1384</v>
      </c>
      <c r="U449">
        <v>0</v>
      </c>
      <c r="V449" t="s">
        <v>8654</v>
      </c>
      <c r="W449" t="s">
        <v>104</v>
      </c>
      <c r="X449" t="s">
        <v>8660</v>
      </c>
      <c r="Y449">
        <f t="shared" si="13"/>
        <v>1</v>
      </c>
    </row>
    <row r="450" spans="1:25" hidden="1">
      <c r="A450" t="s">
        <v>2040</v>
      </c>
      <c r="B450" t="s">
        <v>4720</v>
      </c>
      <c r="C450">
        <v>1058</v>
      </c>
      <c r="D450">
        <v>11</v>
      </c>
      <c r="E450" t="s">
        <v>4418</v>
      </c>
      <c r="F450" t="s">
        <v>4719</v>
      </c>
      <c r="H450" t="s">
        <v>1283</v>
      </c>
      <c r="J450" t="s">
        <v>8668</v>
      </c>
      <c r="L450">
        <f t="shared" ref="L450:L513" si="14">IF(M450&lt;&gt;"",1,0)</f>
        <v>1</v>
      </c>
      <c r="M450" t="s">
        <v>4418</v>
      </c>
      <c r="N450" t="s">
        <v>6773</v>
      </c>
      <c r="O450" t="s">
        <v>104</v>
      </c>
      <c r="P450" t="s">
        <v>6774</v>
      </c>
      <c r="Q450" t="s">
        <v>6775</v>
      </c>
      <c r="R450" s="16" t="s">
        <v>8558</v>
      </c>
      <c r="S450" s="16" t="s">
        <v>8263</v>
      </c>
      <c r="T450" t="s">
        <v>8024</v>
      </c>
      <c r="U450">
        <v>0</v>
      </c>
      <c r="V450" t="s">
        <v>8654</v>
      </c>
      <c r="W450" t="s">
        <v>104</v>
      </c>
      <c r="X450" t="s">
        <v>8660</v>
      </c>
      <c r="Y450">
        <f t="shared" ref="Y450:Y513" si="15">IF(OR(V450="Loc",V450="IIIF"),1,0)</f>
        <v>1</v>
      </c>
    </row>
    <row r="451" spans="1:25" hidden="1">
      <c r="A451" t="s">
        <v>1385</v>
      </c>
      <c r="B451" t="s">
        <v>1247</v>
      </c>
      <c r="C451">
        <v>1032</v>
      </c>
      <c r="D451">
        <v>11</v>
      </c>
      <c r="E451" t="s">
        <v>4357</v>
      </c>
      <c r="F451" t="s">
        <v>4719</v>
      </c>
      <c r="H451" t="s">
        <v>1284</v>
      </c>
      <c r="J451" t="s">
        <v>8668</v>
      </c>
      <c r="L451">
        <f t="shared" si="14"/>
        <v>1</v>
      </c>
      <c r="M451" t="s">
        <v>6437</v>
      </c>
      <c r="N451" t="s">
        <v>6438</v>
      </c>
      <c r="O451" t="s">
        <v>104</v>
      </c>
      <c r="P451">
        <v>12610</v>
      </c>
      <c r="Q451">
        <v>458330</v>
      </c>
      <c r="R451" s="16" t="s">
        <v>8559</v>
      </c>
      <c r="S451" s="16" t="s">
        <v>8264</v>
      </c>
      <c r="T451" t="s">
        <v>1385</v>
      </c>
      <c r="U451">
        <v>0</v>
      </c>
      <c r="V451" t="s">
        <v>8654</v>
      </c>
      <c r="W451" t="s">
        <v>104</v>
      </c>
      <c r="X451" t="s">
        <v>8660</v>
      </c>
      <c r="Y451">
        <f t="shared" si="15"/>
        <v>1</v>
      </c>
    </row>
    <row r="452" spans="1:25" hidden="1">
      <c r="A452" t="s">
        <v>2041</v>
      </c>
      <c r="B452" t="s">
        <v>1248</v>
      </c>
      <c r="C452">
        <v>1064</v>
      </c>
      <c r="D452">
        <v>11</v>
      </c>
      <c r="E452" t="s">
        <v>4416</v>
      </c>
      <c r="F452" t="s">
        <v>4719</v>
      </c>
      <c r="H452" t="s">
        <v>1284</v>
      </c>
      <c r="J452" t="s">
        <v>8987</v>
      </c>
      <c r="L452">
        <f t="shared" si="14"/>
        <v>1</v>
      </c>
      <c r="M452" t="s">
        <v>4416</v>
      </c>
      <c r="N452" t="s">
        <v>6308</v>
      </c>
      <c r="O452" t="s">
        <v>104</v>
      </c>
      <c r="P452">
        <v>35650</v>
      </c>
      <c r="Q452">
        <v>477980</v>
      </c>
      <c r="R452" s="16" t="s">
        <v>8479</v>
      </c>
      <c r="S452" s="16" t="s">
        <v>8184</v>
      </c>
      <c r="T452" t="s">
        <v>7930</v>
      </c>
      <c r="U452">
        <v>1</v>
      </c>
      <c r="V452" t="s">
        <v>8656</v>
      </c>
      <c r="W452" t="s">
        <v>104</v>
      </c>
      <c r="X452" t="s">
        <v>8660</v>
      </c>
      <c r="Y452">
        <f t="shared" si="15"/>
        <v>1</v>
      </c>
    </row>
    <row r="453" spans="1:25" hidden="1">
      <c r="A453" t="s">
        <v>1386</v>
      </c>
      <c r="B453" t="s">
        <v>1249</v>
      </c>
      <c r="C453">
        <v>1074</v>
      </c>
      <c r="D453">
        <v>11</v>
      </c>
      <c r="E453" t="s">
        <v>1444</v>
      </c>
      <c r="F453" t="s">
        <v>4719</v>
      </c>
      <c r="H453" t="s">
        <v>1285</v>
      </c>
      <c r="J453" t="s">
        <v>8668</v>
      </c>
      <c r="L453">
        <f t="shared" si="14"/>
        <v>0</v>
      </c>
      <c r="R453" s="16" t="s">
        <v>8064</v>
      </c>
      <c r="S453" s="16" t="s">
        <v>8064</v>
      </c>
      <c r="T453" t="s">
        <v>1386</v>
      </c>
      <c r="U453">
        <v>0</v>
      </c>
      <c r="V453" t="s">
        <v>8655</v>
      </c>
      <c r="X453" t="s">
        <v>8660</v>
      </c>
      <c r="Y453">
        <f t="shared" si="15"/>
        <v>0</v>
      </c>
    </row>
    <row r="454" spans="1:25" hidden="1">
      <c r="A454" t="s">
        <v>1387</v>
      </c>
      <c r="B454" t="s">
        <v>1251</v>
      </c>
      <c r="C454">
        <v>1118</v>
      </c>
      <c r="D454">
        <v>12</v>
      </c>
      <c r="E454" t="s">
        <v>4451</v>
      </c>
      <c r="F454" t="s">
        <v>4719</v>
      </c>
      <c r="H454" t="s">
        <v>1285</v>
      </c>
      <c r="J454" t="s">
        <v>8668</v>
      </c>
      <c r="L454">
        <f t="shared" si="14"/>
        <v>1</v>
      </c>
      <c r="M454" t="s">
        <v>6657</v>
      </c>
      <c r="N454" t="s">
        <v>6658</v>
      </c>
      <c r="O454" t="s">
        <v>104</v>
      </c>
      <c r="P454" t="s">
        <v>6659</v>
      </c>
      <c r="Q454" t="s">
        <v>6660</v>
      </c>
      <c r="R454" s="16" t="s">
        <v>8566</v>
      </c>
      <c r="S454" s="16" t="s">
        <v>8271</v>
      </c>
      <c r="T454" t="s">
        <v>1387</v>
      </c>
      <c r="U454">
        <v>0</v>
      </c>
      <c r="V454" t="s">
        <v>8654</v>
      </c>
      <c r="W454" t="s">
        <v>104</v>
      </c>
      <c r="X454" t="s">
        <v>8660</v>
      </c>
      <c r="Y454">
        <f t="shared" si="15"/>
        <v>1</v>
      </c>
    </row>
    <row r="455" spans="1:25" hidden="1">
      <c r="A455" t="s">
        <v>2042</v>
      </c>
      <c r="B455" t="s">
        <v>1250</v>
      </c>
      <c r="C455">
        <v>1114</v>
      </c>
      <c r="D455">
        <v>12</v>
      </c>
      <c r="E455" t="s">
        <v>4445</v>
      </c>
      <c r="F455" t="s">
        <v>4719</v>
      </c>
      <c r="H455" t="s">
        <v>1286</v>
      </c>
      <c r="J455" t="s">
        <v>8668</v>
      </c>
      <c r="L455">
        <f t="shared" si="14"/>
        <v>1</v>
      </c>
      <c r="M455" t="s">
        <v>4445</v>
      </c>
      <c r="N455" t="s">
        <v>6565</v>
      </c>
      <c r="O455" t="s">
        <v>104</v>
      </c>
      <c r="P455" t="s">
        <v>6756</v>
      </c>
      <c r="Q455" t="s">
        <v>6757</v>
      </c>
      <c r="R455" s="16" t="s">
        <v>8565</v>
      </c>
      <c r="S455" s="16" t="s">
        <v>8270</v>
      </c>
      <c r="T455" t="s">
        <v>7924</v>
      </c>
      <c r="U455">
        <v>0</v>
      </c>
      <c r="V455" t="s">
        <v>8654</v>
      </c>
      <c r="W455" t="s">
        <v>104</v>
      </c>
      <c r="X455" t="s">
        <v>8660</v>
      </c>
      <c r="Y455">
        <f t="shared" si="15"/>
        <v>1</v>
      </c>
    </row>
    <row r="456" spans="1:25" hidden="1">
      <c r="A456" t="s">
        <v>1388</v>
      </c>
      <c r="B456" t="s">
        <v>1252</v>
      </c>
      <c r="C456">
        <v>1122</v>
      </c>
      <c r="D456">
        <v>12</v>
      </c>
      <c r="E456" t="s">
        <v>4451</v>
      </c>
      <c r="F456" t="s">
        <v>4719</v>
      </c>
      <c r="H456" t="s">
        <v>1287</v>
      </c>
      <c r="J456" t="s">
        <v>8668</v>
      </c>
      <c r="L456">
        <f t="shared" si="14"/>
        <v>1</v>
      </c>
      <c r="M456" t="s">
        <v>6657</v>
      </c>
      <c r="N456" t="s">
        <v>6658</v>
      </c>
      <c r="O456" t="s">
        <v>104</v>
      </c>
      <c r="P456" t="s">
        <v>6659</v>
      </c>
      <c r="Q456" t="s">
        <v>6660</v>
      </c>
      <c r="R456" s="16" t="s">
        <v>8566</v>
      </c>
      <c r="S456" s="16" t="s">
        <v>8271</v>
      </c>
      <c r="T456" t="s">
        <v>1388</v>
      </c>
      <c r="U456">
        <v>0</v>
      </c>
      <c r="V456" t="s">
        <v>8654</v>
      </c>
      <c r="W456" t="s">
        <v>104</v>
      </c>
      <c r="X456" t="s">
        <v>8660</v>
      </c>
      <c r="Y456">
        <f t="shared" si="15"/>
        <v>1</v>
      </c>
    </row>
    <row r="457" spans="1:25" hidden="1">
      <c r="A457" t="s">
        <v>1389</v>
      </c>
      <c r="B457" t="s">
        <v>1252</v>
      </c>
      <c r="C457">
        <v>1122</v>
      </c>
      <c r="D457">
        <v>12</v>
      </c>
      <c r="E457" t="s">
        <v>4451</v>
      </c>
      <c r="F457" t="s">
        <v>4719</v>
      </c>
      <c r="H457" t="s">
        <v>1287</v>
      </c>
      <c r="J457" t="s">
        <v>8668</v>
      </c>
      <c r="L457">
        <f t="shared" si="14"/>
        <v>1</v>
      </c>
      <c r="M457" t="s">
        <v>6657</v>
      </c>
      <c r="N457" t="s">
        <v>6658</v>
      </c>
      <c r="O457" t="s">
        <v>104</v>
      </c>
      <c r="P457" t="s">
        <v>6659</v>
      </c>
      <c r="Q457" t="s">
        <v>6660</v>
      </c>
      <c r="R457" s="16" t="s">
        <v>8566</v>
      </c>
      <c r="S457" s="16" t="s">
        <v>8271</v>
      </c>
      <c r="T457" t="s">
        <v>1389</v>
      </c>
      <c r="U457">
        <v>0</v>
      </c>
      <c r="V457" t="s">
        <v>8654</v>
      </c>
      <c r="W457" t="s">
        <v>104</v>
      </c>
      <c r="X457" t="s">
        <v>8660</v>
      </c>
      <c r="Y457">
        <f t="shared" si="15"/>
        <v>1</v>
      </c>
    </row>
    <row r="458" spans="1:25" hidden="1">
      <c r="A458" t="s">
        <v>1390</v>
      </c>
      <c r="B458" t="s">
        <v>1259</v>
      </c>
      <c r="C458">
        <v>1154</v>
      </c>
      <c r="D458">
        <v>12</v>
      </c>
      <c r="E458" t="s">
        <v>4445</v>
      </c>
      <c r="F458" t="s">
        <v>4719</v>
      </c>
      <c r="H458" t="s">
        <v>1288</v>
      </c>
      <c r="J458" t="s">
        <v>8668</v>
      </c>
      <c r="L458">
        <f t="shared" si="14"/>
        <v>1</v>
      </c>
      <c r="M458" t="s">
        <v>4445</v>
      </c>
      <c r="N458" t="s">
        <v>6565</v>
      </c>
      <c r="O458" t="s">
        <v>104</v>
      </c>
      <c r="P458" t="s">
        <v>6756</v>
      </c>
      <c r="Q458" t="s">
        <v>6757</v>
      </c>
      <c r="R458" s="16" t="s">
        <v>8565</v>
      </c>
      <c r="S458" s="16" t="s">
        <v>8270</v>
      </c>
      <c r="T458" t="s">
        <v>1390</v>
      </c>
      <c r="U458">
        <v>0</v>
      </c>
      <c r="V458" t="s">
        <v>8654</v>
      </c>
      <c r="W458" t="s">
        <v>104</v>
      </c>
      <c r="X458" t="s">
        <v>8660</v>
      </c>
      <c r="Y458">
        <f t="shared" si="15"/>
        <v>1</v>
      </c>
    </row>
    <row r="459" spans="1:25" hidden="1">
      <c r="A459" t="s">
        <v>4900</v>
      </c>
      <c r="B459">
        <v>1039</v>
      </c>
      <c r="C459">
        <v>1039</v>
      </c>
      <c r="D459">
        <v>11</v>
      </c>
      <c r="E459" t="s">
        <v>1444</v>
      </c>
      <c r="F459" t="s">
        <v>4688</v>
      </c>
      <c r="H459" t="s">
        <v>4901</v>
      </c>
      <c r="J459" t="s">
        <v>8668</v>
      </c>
      <c r="L459">
        <f t="shared" si="14"/>
        <v>0</v>
      </c>
      <c r="R459" s="16" t="s">
        <v>8064</v>
      </c>
      <c r="S459" s="16" t="s">
        <v>8064</v>
      </c>
      <c r="T459" t="s">
        <v>4900</v>
      </c>
      <c r="U459">
        <v>0</v>
      </c>
      <c r="V459" t="s">
        <v>8655</v>
      </c>
      <c r="X459" t="s">
        <v>8660</v>
      </c>
      <c r="Y459">
        <f t="shared" si="15"/>
        <v>0</v>
      </c>
    </row>
    <row r="460" spans="1:25" hidden="1">
      <c r="A460" t="s">
        <v>2043</v>
      </c>
      <c r="B460" t="s">
        <v>1254</v>
      </c>
      <c r="C460">
        <v>1127</v>
      </c>
      <c r="D460">
        <v>12</v>
      </c>
      <c r="E460" t="s">
        <v>4441</v>
      </c>
      <c r="F460" t="s">
        <v>4719</v>
      </c>
      <c r="H460" t="s">
        <v>1289</v>
      </c>
      <c r="J460" t="s">
        <v>8668</v>
      </c>
      <c r="L460">
        <f t="shared" si="14"/>
        <v>1</v>
      </c>
      <c r="M460" t="s">
        <v>4441</v>
      </c>
      <c r="N460" t="s">
        <v>6594</v>
      </c>
      <c r="O460" t="s">
        <v>4016</v>
      </c>
      <c r="P460" t="s">
        <v>6891</v>
      </c>
      <c r="Q460" t="s">
        <v>6892</v>
      </c>
      <c r="R460" s="16" t="s">
        <v>8563</v>
      </c>
      <c r="S460" s="16" t="s">
        <v>8268</v>
      </c>
      <c r="T460" t="s">
        <v>7921</v>
      </c>
      <c r="U460">
        <v>0</v>
      </c>
      <c r="V460" t="s">
        <v>8654</v>
      </c>
      <c r="W460" t="s">
        <v>4016</v>
      </c>
      <c r="X460" t="s">
        <v>8660</v>
      </c>
      <c r="Y460">
        <f t="shared" si="15"/>
        <v>1</v>
      </c>
    </row>
    <row r="461" spans="1:25" hidden="1">
      <c r="A461" t="s">
        <v>1391</v>
      </c>
      <c r="B461" t="s">
        <v>1253</v>
      </c>
      <c r="C461">
        <v>1132</v>
      </c>
      <c r="D461">
        <v>12</v>
      </c>
      <c r="E461" t="s">
        <v>4447</v>
      </c>
      <c r="F461" t="s">
        <v>4719</v>
      </c>
      <c r="H461" t="s">
        <v>1289</v>
      </c>
      <c r="J461" t="s">
        <v>8988</v>
      </c>
      <c r="L461">
        <f t="shared" si="14"/>
        <v>1</v>
      </c>
      <c r="M461" t="s">
        <v>4447</v>
      </c>
      <c r="N461" t="s">
        <v>6509</v>
      </c>
      <c r="O461" t="s">
        <v>104</v>
      </c>
      <c r="P461" t="s">
        <v>6766</v>
      </c>
      <c r="Q461" t="s">
        <v>6767</v>
      </c>
      <c r="R461" s="16" t="s">
        <v>8363</v>
      </c>
      <c r="S461" s="16" t="s">
        <v>8067</v>
      </c>
      <c r="T461" t="s">
        <v>1391</v>
      </c>
      <c r="U461">
        <v>1</v>
      </c>
      <c r="V461" t="s">
        <v>8656</v>
      </c>
      <c r="W461" t="s">
        <v>104</v>
      </c>
      <c r="X461" t="s">
        <v>8660</v>
      </c>
      <c r="Y461">
        <f t="shared" si="15"/>
        <v>1</v>
      </c>
    </row>
    <row r="462" spans="1:25" hidden="1">
      <c r="A462" t="s">
        <v>1393</v>
      </c>
      <c r="B462" t="s">
        <v>592</v>
      </c>
      <c r="C462">
        <v>1138</v>
      </c>
      <c r="D462">
        <v>12</v>
      </c>
      <c r="E462" t="s">
        <v>1444</v>
      </c>
      <c r="F462" t="s">
        <v>4719</v>
      </c>
      <c r="H462" t="s">
        <v>1290</v>
      </c>
      <c r="J462" t="s">
        <v>8668</v>
      </c>
      <c r="L462">
        <f t="shared" si="14"/>
        <v>0</v>
      </c>
      <c r="R462" s="16" t="s">
        <v>8064</v>
      </c>
      <c r="S462" s="16" t="s">
        <v>8064</v>
      </c>
      <c r="T462" t="s">
        <v>1393</v>
      </c>
      <c r="U462">
        <v>0</v>
      </c>
      <c r="V462" t="s">
        <v>8655</v>
      </c>
      <c r="X462" t="s">
        <v>8660</v>
      </c>
      <c r="Y462">
        <f t="shared" si="15"/>
        <v>0</v>
      </c>
    </row>
    <row r="463" spans="1:25" hidden="1">
      <c r="A463" t="s">
        <v>1392</v>
      </c>
      <c r="B463" t="s">
        <v>1255</v>
      </c>
      <c r="C463">
        <v>1142</v>
      </c>
      <c r="D463">
        <v>12</v>
      </c>
      <c r="E463" t="s">
        <v>4418</v>
      </c>
      <c r="F463" t="s">
        <v>4719</v>
      </c>
      <c r="H463" t="s">
        <v>1290</v>
      </c>
      <c r="J463" t="s">
        <v>8989</v>
      </c>
      <c r="L463">
        <f t="shared" si="14"/>
        <v>1</v>
      </c>
      <c r="M463" t="s">
        <v>4418</v>
      </c>
      <c r="N463" t="s">
        <v>6773</v>
      </c>
      <c r="O463" t="s">
        <v>104</v>
      </c>
      <c r="P463" t="s">
        <v>6774</v>
      </c>
      <c r="Q463" t="s">
        <v>6775</v>
      </c>
      <c r="R463" s="16" t="s">
        <v>8558</v>
      </c>
      <c r="S463" s="16" t="s">
        <v>8263</v>
      </c>
      <c r="T463" t="s">
        <v>1392</v>
      </c>
      <c r="U463">
        <v>1</v>
      </c>
      <c r="V463" t="s">
        <v>8656</v>
      </c>
      <c r="W463" t="s">
        <v>104</v>
      </c>
      <c r="X463" t="s">
        <v>8660</v>
      </c>
      <c r="Y463">
        <f t="shared" si="15"/>
        <v>1</v>
      </c>
    </row>
    <row r="464" spans="1:25" hidden="1">
      <c r="A464" t="s">
        <v>4908</v>
      </c>
      <c r="B464">
        <v>1143</v>
      </c>
      <c r="C464">
        <v>1143</v>
      </c>
      <c r="D464">
        <v>12</v>
      </c>
      <c r="E464" t="s">
        <v>4447</v>
      </c>
      <c r="F464" t="s">
        <v>4688</v>
      </c>
      <c r="H464" t="s">
        <v>1291</v>
      </c>
      <c r="J464" t="s">
        <v>8982</v>
      </c>
      <c r="L464">
        <f t="shared" si="14"/>
        <v>1</v>
      </c>
      <c r="M464" t="s">
        <v>4447</v>
      </c>
      <c r="N464" t="s">
        <v>6509</v>
      </c>
      <c r="O464" t="s">
        <v>104</v>
      </c>
      <c r="P464" t="s">
        <v>6766</v>
      </c>
      <c r="Q464" t="s">
        <v>6767</v>
      </c>
      <c r="R464" s="16" t="s">
        <v>8363</v>
      </c>
      <c r="S464" s="16" t="s">
        <v>8067</v>
      </c>
      <c r="T464" t="s">
        <v>4908</v>
      </c>
      <c r="U464">
        <v>1</v>
      </c>
      <c r="V464" t="s">
        <v>8656</v>
      </c>
      <c r="W464" t="s">
        <v>104</v>
      </c>
      <c r="X464" t="s">
        <v>8660</v>
      </c>
      <c r="Y464">
        <f t="shared" si="15"/>
        <v>1</v>
      </c>
    </row>
    <row r="465" spans="1:25" hidden="1">
      <c r="A465" t="s">
        <v>1395</v>
      </c>
      <c r="B465" t="s">
        <v>1257</v>
      </c>
      <c r="C465">
        <v>1149</v>
      </c>
      <c r="D465">
        <v>12</v>
      </c>
      <c r="E465" t="s">
        <v>1444</v>
      </c>
      <c r="F465" t="s">
        <v>4719</v>
      </c>
      <c r="H465" t="s">
        <v>1291</v>
      </c>
      <c r="J465" t="s">
        <v>8668</v>
      </c>
      <c r="L465">
        <f t="shared" si="14"/>
        <v>0</v>
      </c>
      <c r="R465" s="16" t="s">
        <v>8064</v>
      </c>
      <c r="S465" s="16" t="s">
        <v>8064</v>
      </c>
      <c r="T465" t="s">
        <v>1395</v>
      </c>
      <c r="U465">
        <v>0</v>
      </c>
      <c r="V465" t="s">
        <v>8655</v>
      </c>
      <c r="X465" t="s">
        <v>8660</v>
      </c>
      <c r="Y465">
        <f t="shared" si="15"/>
        <v>0</v>
      </c>
    </row>
    <row r="466" spans="1:25" hidden="1">
      <c r="A466" t="s">
        <v>1394</v>
      </c>
      <c r="B466" t="s">
        <v>1256</v>
      </c>
      <c r="C466">
        <v>1149</v>
      </c>
      <c r="D466">
        <v>12</v>
      </c>
      <c r="E466" t="s">
        <v>4357</v>
      </c>
      <c r="F466" t="s">
        <v>4719</v>
      </c>
      <c r="H466" t="s">
        <v>1291</v>
      </c>
      <c r="J466" t="s">
        <v>8990</v>
      </c>
      <c r="L466">
        <f t="shared" si="14"/>
        <v>1</v>
      </c>
      <c r="M466" t="s">
        <v>6437</v>
      </c>
      <c r="N466" t="s">
        <v>6438</v>
      </c>
      <c r="O466" t="s">
        <v>104</v>
      </c>
      <c r="P466">
        <v>12610</v>
      </c>
      <c r="Q466">
        <v>458330</v>
      </c>
      <c r="R466" s="16" t="s">
        <v>8559</v>
      </c>
      <c r="S466" s="16" t="s">
        <v>8264</v>
      </c>
      <c r="T466" t="s">
        <v>1394</v>
      </c>
      <c r="U466">
        <v>1</v>
      </c>
      <c r="V466" t="s">
        <v>8656</v>
      </c>
      <c r="W466" t="s">
        <v>104</v>
      </c>
      <c r="X466" t="s">
        <v>8660</v>
      </c>
      <c r="Y466">
        <f t="shared" si="15"/>
        <v>1</v>
      </c>
    </row>
    <row r="467" spans="1:25" hidden="1">
      <c r="A467" t="s">
        <v>2044</v>
      </c>
      <c r="B467" t="s">
        <v>1258</v>
      </c>
      <c r="C467">
        <v>1148</v>
      </c>
      <c r="D467">
        <v>12</v>
      </c>
      <c r="E467" t="s">
        <v>4365</v>
      </c>
      <c r="F467" t="s">
        <v>4719</v>
      </c>
      <c r="H467" t="s">
        <v>1292</v>
      </c>
      <c r="J467" t="s">
        <v>8668</v>
      </c>
      <c r="L467">
        <f t="shared" si="14"/>
        <v>1</v>
      </c>
      <c r="M467" t="s">
        <v>6758</v>
      </c>
      <c r="N467" t="s">
        <v>6759</v>
      </c>
      <c r="O467" t="s">
        <v>104</v>
      </c>
      <c r="P467" t="s">
        <v>6760</v>
      </c>
      <c r="Q467" t="s">
        <v>6761</v>
      </c>
      <c r="R467" s="16" t="s">
        <v>8483</v>
      </c>
      <c r="S467" s="16" t="s">
        <v>8188</v>
      </c>
      <c r="T467" t="s">
        <v>7923</v>
      </c>
      <c r="U467">
        <v>0</v>
      </c>
      <c r="V467" t="s">
        <v>8654</v>
      </c>
      <c r="W467" t="s">
        <v>104</v>
      </c>
      <c r="X467" t="s">
        <v>8660</v>
      </c>
      <c r="Y467">
        <f t="shared" si="15"/>
        <v>1</v>
      </c>
    </row>
    <row r="468" spans="1:25" hidden="1">
      <c r="A468" t="s">
        <v>1396</v>
      </c>
      <c r="B468" t="s">
        <v>4721</v>
      </c>
      <c r="C468">
        <v>1162</v>
      </c>
      <c r="D468">
        <v>12</v>
      </c>
      <c r="E468" t="s">
        <v>1444</v>
      </c>
      <c r="F468" t="s">
        <v>4719</v>
      </c>
      <c r="H468" t="s">
        <v>1293</v>
      </c>
      <c r="J468" t="s">
        <v>8668</v>
      </c>
      <c r="L468">
        <f t="shared" si="14"/>
        <v>0</v>
      </c>
      <c r="R468" s="16" t="s">
        <v>8064</v>
      </c>
      <c r="S468" s="16" t="s">
        <v>8064</v>
      </c>
      <c r="T468" t="s">
        <v>1396</v>
      </c>
      <c r="U468">
        <v>0</v>
      </c>
      <c r="V468" t="s">
        <v>8655</v>
      </c>
      <c r="X468" t="s">
        <v>8660</v>
      </c>
      <c r="Y468">
        <f t="shared" si="15"/>
        <v>0</v>
      </c>
    </row>
    <row r="469" spans="1:25" hidden="1">
      <c r="A469" t="s">
        <v>1397</v>
      </c>
      <c r="B469" t="s">
        <v>1261</v>
      </c>
      <c r="C469">
        <v>1175</v>
      </c>
      <c r="D469">
        <v>12</v>
      </c>
      <c r="E469" t="s">
        <v>1444</v>
      </c>
      <c r="F469" t="s">
        <v>4719</v>
      </c>
      <c r="H469" t="s">
        <v>1293</v>
      </c>
      <c r="J469" t="s">
        <v>8668</v>
      </c>
      <c r="L469">
        <f t="shared" si="14"/>
        <v>0</v>
      </c>
      <c r="R469" s="16" t="s">
        <v>8064</v>
      </c>
      <c r="S469" s="16" t="s">
        <v>8064</v>
      </c>
      <c r="T469" t="s">
        <v>1397</v>
      </c>
      <c r="U469">
        <v>0</v>
      </c>
      <c r="V469" t="s">
        <v>8655</v>
      </c>
      <c r="X469" t="s">
        <v>8660</v>
      </c>
      <c r="Y469">
        <f t="shared" si="15"/>
        <v>0</v>
      </c>
    </row>
    <row r="470" spans="1:25" hidden="1">
      <c r="A470" t="s">
        <v>1398</v>
      </c>
      <c r="B470" t="s">
        <v>110</v>
      </c>
      <c r="C470">
        <v>1182</v>
      </c>
      <c r="D470">
        <v>12</v>
      </c>
      <c r="E470" t="s">
        <v>4510</v>
      </c>
      <c r="F470" t="s">
        <v>4719</v>
      </c>
      <c r="H470" t="s">
        <v>1294</v>
      </c>
      <c r="J470" t="s">
        <v>9119</v>
      </c>
      <c r="L470">
        <f t="shared" si="14"/>
        <v>1</v>
      </c>
      <c r="M470" t="s">
        <v>6995</v>
      </c>
      <c r="N470" t="s">
        <v>6996</v>
      </c>
      <c r="O470" t="s">
        <v>6976</v>
      </c>
      <c r="P470">
        <v>138793</v>
      </c>
      <c r="Q470">
        <v>423183</v>
      </c>
      <c r="R470" s="16" t="s">
        <v>8568</v>
      </c>
      <c r="S470" s="16" t="s">
        <v>8273</v>
      </c>
      <c r="T470" t="s">
        <v>1398</v>
      </c>
      <c r="U470">
        <v>1</v>
      </c>
      <c r="V470" t="s">
        <v>8656</v>
      </c>
      <c r="W470" t="s">
        <v>6976</v>
      </c>
      <c r="X470" t="s">
        <v>8660</v>
      </c>
      <c r="Y470">
        <f t="shared" si="15"/>
        <v>1</v>
      </c>
    </row>
    <row r="471" spans="1:25" hidden="1">
      <c r="A471" t="s">
        <v>2045</v>
      </c>
      <c r="B471" t="s">
        <v>4722</v>
      </c>
      <c r="C471">
        <v>1195</v>
      </c>
      <c r="D471">
        <v>12</v>
      </c>
      <c r="E471" t="s">
        <v>1444</v>
      </c>
      <c r="F471" t="s">
        <v>4719</v>
      </c>
      <c r="H471" t="s">
        <v>1294</v>
      </c>
      <c r="J471" t="s">
        <v>8668</v>
      </c>
      <c r="L471">
        <f t="shared" si="14"/>
        <v>0</v>
      </c>
      <c r="R471" s="16" t="s">
        <v>8064</v>
      </c>
      <c r="S471" s="16" t="s">
        <v>8064</v>
      </c>
      <c r="T471" t="s">
        <v>7936</v>
      </c>
      <c r="U471">
        <v>0</v>
      </c>
      <c r="V471" t="s">
        <v>8655</v>
      </c>
      <c r="X471" t="s">
        <v>8660</v>
      </c>
      <c r="Y471">
        <f t="shared" si="15"/>
        <v>0</v>
      </c>
    </row>
    <row r="472" spans="1:25" hidden="1">
      <c r="A472" t="s">
        <v>2046</v>
      </c>
      <c r="B472" t="s">
        <v>1263</v>
      </c>
      <c r="C472">
        <v>1201</v>
      </c>
      <c r="D472">
        <v>13</v>
      </c>
      <c r="E472" t="s">
        <v>4357</v>
      </c>
      <c r="F472" t="s">
        <v>4719</v>
      </c>
      <c r="H472" t="s">
        <v>1294</v>
      </c>
      <c r="J472" t="s">
        <v>8668</v>
      </c>
      <c r="L472">
        <f t="shared" si="14"/>
        <v>1</v>
      </c>
      <c r="M472" t="s">
        <v>6437</v>
      </c>
      <c r="N472" t="s">
        <v>6438</v>
      </c>
      <c r="O472" t="s">
        <v>104</v>
      </c>
      <c r="P472">
        <v>12610</v>
      </c>
      <c r="Q472">
        <v>458330</v>
      </c>
      <c r="R472" s="16" t="s">
        <v>8559</v>
      </c>
      <c r="S472" s="16" t="s">
        <v>8264</v>
      </c>
      <c r="T472" t="s">
        <v>7928</v>
      </c>
      <c r="U472">
        <v>0</v>
      </c>
      <c r="V472" t="s">
        <v>8654</v>
      </c>
      <c r="W472" t="s">
        <v>104</v>
      </c>
      <c r="X472" t="s">
        <v>8660</v>
      </c>
      <c r="Y472">
        <f t="shared" si="15"/>
        <v>1</v>
      </c>
    </row>
    <row r="473" spans="1:25" hidden="1">
      <c r="A473" t="s">
        <v>2047</v>
      </c>
      <c r="B473" t="s">
        <v>1264</v>
      </c>
      <c r="C473">
        <v>1202</v>
      </c>
      <c r="D473">
        <v>13</v>
      </c>
      <c r="E473" t="s">
        <v>4357</v>
      </c>
      <c r="F473" t="s">
        <v>4719</v>
      </c>
      <c r="H473" t="s">
        <v>1310</v>
      </c>
      <c r="J473" t="s">
        <v>8668</v>
      </c>
      <c r="L473">
        <f t="shared" si="14"/>
        <v>1</v>
      </c>
      <c r="M473" t="s">
        <v>6437</v>
      </c>
      <c r="N473" t="s">
        <v>6438</v>
      </c>
      <c r="O473" t="s">
        <v>104</v>
      </c>
      <c r="P473">
        <v>12610</v>
      </c>
      <c r="Q473">
        <v>458330</v>
      </c>
      <c r="R473" s="16" t="s">
        <v>8559</v>
      </c>
      <c r="S473" s="16" t="s">
        <v>8264</v>
      </c>
      <c r="T473" t="s">
        <v>8039</v>
      </c>
      <c r="U473">
        <v>0</v>
      </c>
      <c r="V473" t="s">
        <v>8654</v>
      </c>
      <c r="W473" t="s">
        <v>104</v>
      </c>
      <c r="X473" t="s">
        <v>8660</v>
      </c>
      <c r="Y473">
        <f t="shared" si="15"/>
        <v>1</v>
      </c>
    </row>
    <row r="474" spans="1:25" hidden="1">
      <c r="A474" t="s">
        <v>1399</v>
      </c>
      <c r="B474" t="s">
        <v>666</v>
      </c>
      <c r="C474">
        <v>1202</v>
      </c>
      <c r="D474">
        <v>13</v>
      </c>
      <c r="E474" t="s">
        <v>4357</v>
      </c>
      <c r="F474" t="s">
        <v>4719</v>
      </c>
      <c r="H474" t="s">
        <v>1295</v>
      </c>
      <c r="J474" t="s">
        <v>8668</v>
      </c>
      <c r="L474">
        <f t="shared" si="14"/>
        <v>1</v>
      </c>
      <c r="M474" t="s">
        <v>6437</v>
      </c>
      <c r="N474" t="s">
        <v>6438</v>
      </c>
      <c r="O474" t="s">
        <v>104</v>
      </c>
      <c r="P474">
        <v>12610</v>
      </c>
      <c r="Q474">
        <v>458330</v>
      </c>
      <c r="R474" s="16" t="s">
        <v>8559</v>
      </c>
      <c r="S474" s="16" t="s">
        <v>8264</v>
      </c>
      <c r="T474" t="s">
        <v>1399</v>
      </c>
      <c r="U474">
        <v>0</v>
      </c>
      <c r="V474" t="s">
        <v>8654</v>
      </c>
      <c r="W474" t="s">
        <v>104</v>
      </c>
      <c r="X474" t="s">
        <v>8660</v>
      </c>
      <c r="Y474">
        <f t="shared" si="15"/>
        <v>1</v>
      </c>
    </row>
    <row r="475" spans="1:25" hidden="1">
      <c r="A475" t="s">
        <v>1400</v>
      </c>
      <c r="B475" t="s">
        <v>1266</v>
      </c>
      <c r="C475">
        <v>1202</v>
      </c>
      <c r="D475">
        <v>13</v>
      </c>
      <c r="E475" t="s">
        <v>4357</v>
      </c>
      <c r="F475" t="s">
        <v>4719</v>
      </c>
      <c r="H475" t="s">
        <v>1295</v>
      </c>
      <c r="J475" t="s">
        <v>8668</v>
      </c>
      <c r="L475">
        <f t="shared" si="14"/>
        <v>1</v>
      </c>
      <c r="M475" t="s">
        <v>6437</v>
      </c>
      <c r="N475" t="s">
        <v>6438</v>
      </c>
      <c r="O475" t="s">
        <v>104</v>
      </c>
      <c r="P475">
        <v>12610</v>
      </c>
      <c r="Q475">
        <v>458330</v>
      </c>
      <c r="R475" s="16" t="s">
        <v>8559</v>
      </c>
      <c r="S475" s="16" t="s">
        <v>8264</v>
      </c>
      <c r="T475" t="s">
        <v>1400</v>
      </c>
      <c r="U475">
        <v>0</v>
      </c>
      <c r="V475" t="s">
        <v>8654</v>
      </c>
      <c r="W475" t="s">
        <v>104</v>
      </c>
      <c r="X475" t="s">
        <v>8660</v>
      </c>
      <c r="Y475">
        <f t="shared" si="15"/>
        <v>1</v>
      </c>
    </row>
    <row r="476" spans="1:25" hidden="1">
      <c r="A476" t="s">
        <v>1401</v>
      </c>
      <c r="B476" t="s">
        <v>1265</v>
      </c>
      <c r="C476">
        <v>1201</v>
      </c>
      <c r="D476">
        <v>13</v>
      </c>
      <c r="E476" t="s">
        <v>1444</v>
      </c>
      <c r="F476" t="s">
        <v>4719</v>
      </c>
      <c r="H476" t="s">
        <v>1296</v>
      </c>
      <c r="J476" t="s">
        <v>8668</v>
      </c>
      <c r="L476">
        <f t="shared" si="14"/>
        <v>0</v>
      </c>
      <c r="R476" s="16" t="s">
        <v>8064</v>
      </c>
      <c r="S476" s="16" t="s">
        <v>8064</v>
      </c>
      <c r="T476" t="s">
        <v>1401</v>
      </c>
      <c r="U476">
        <v>0</v>
      </c>
      <c r="V476" t="s">
        <v>8655</v>
      </c>
      <c r="X476" t="s">
        <v>8660</v>
      </c>
      <c r="Y476">
        <f t="shared" si="15"/>
        <v>0</v>
      </c>
    </row>
    <row r="477" spans="1:25" hidden="1">
      <c r="A477" t="s">
        <v>1402</v>
      </c>
      <c r="B477" t="s">
        <v>1266</v>
      </c>
      <c r="C477">
        <v>1202</v>
      </c>
      <c r="D477">
        <v>13</v>
      </c>
      <c r="E477" t="s">
        <v>4357</v>
      </c>
      <c r="F477" t="s">
        <v>4719</v>
      </c>
      <c r="H477" t="s">
        <v>1296</v>
      </c>
      <c r="J477" t="s">
        <v>8668</v>
      </c>
      <c r="L477">
        <f t="shared" si="14"/>
        <v>1</v>
      </c>
      <c r="M477" t="s">
        <v>6437</v>
      </c>
      <c r="N477" t="s">
        <v>6438</v>
      </c>
      <c r="O477" t="s">
        <v>104</v>
      </c>
      <c r="P477">
        <v>12610</v>
      </c>
      <c r="Q477">
        <v>458330</v>
      </c>
      <c r="R477" s="16" t="s">
        <v>8559</v>
      </c>
      <c r="S477" s="16" t="s">
        <v>8264</v>
      </c>
      <c r="T477" t="s">
        <v>1402</v>
      </c>
      <c r="U477">
        <v>0</v>
      </c>
      <c r="V477" t="s">
        <v>8654</v>
      </c>
      <c r="W477" t="s">
        <v>104</v>
      </c>
      <c r="X477" t="s">
        <v>8660</v>
      </c>
      <c r="Y477">
        <f t="shared" si="15"/>
        <v>1</v>
      </c>
    </row>
    <row r="478" spans="1:25" hidden="1">
      <c r="A478" t="s">
        <v>2048</v>
      </c>
      <c r="B478" t="s">
        <v>4723</v>
      </c>
      <c r="C478">
        <v>1256</v>
      </c>
      <c r="D478">
        <v>13</v>
      </c>
      <c r="E478" t="s">
        <v>4549</v>
      </c>
      <c r="F478" t="s">
        <v>4719</v>
      </c>
      <c r="H478" t="s">
        <v>1297</v>
      </c>
      <c r="J478" t="s">
        <v>8668</v>
      </c>
      <c r="L478">
        <f t="shared" si="14"/>
        <v>1</v>
      </c>
      <c r="M478" t="s">
        <v>4549</v>
      </c>
      <c r="N478" t="s">
        <v>6345</v>
      </c>
      <c r="O478" t="s">
        <v>104</v>
      </c>
      <c r="P478">
        <v>38770</v>
      </c>
      <c r="Q478">
        <v>436110</v>
      </c>
      <c r="R478" s="16" t="s">
        <v>8538</v>
      </c>
      <c r="S478" s="16" t="s">
        <v>8243</v>
      </c>
      <c r="T478" t="s">
        <v>7926</v>
      </c>
      <c r="U478">
        <v>0</v>
      </c>
      <c r="V478" t="s">
        <v>8654</v>
      </c>
      <c r="W478" t="s">
        <v>104</v>
      </c>
      <c r="X478" t="s">
        <v>8660</v>
      </c>
      <c r="Y478">
        <f t="shared" si="15"/>
        <v>1</v>
      </c>
    </row>
    <row r="479" spans="1:25" hidden="1">
      <c r="A479" t="s">
        <v>2049</v>
      </c>
      <c r="B479" t="s">
        <v>4724</v>
      </c>
      <c r="C479">
        <v>1257</v>
      </c>
      <c r="D479">
        <v>13</v>
      </c>
      <c r="E479" t="s">
        <v>4560</v>
      </c>
      <c r="F479" t="s">
        <v>4719</v>
      </c>
      <c r="H479" t="s">
        <v>1297</v>
      </c>
      <c r="J479" t="s">
        <v>9132</v>
      </c>
      <c r="L479">
        <f t="shared" si="14"/>
        <v>1</v>
      </c>
      <c r="M479" t="s">
        <v>6629</v>
      </c>
      <c r="N479" t="s">
        <v>6324</v>
      </c>
      <c r="O479" t="s">
        <v>11</v>
      </c>
      <c r="P479" t="s">
        <v>6630</v>
      </c>
      <c r="Q479" t="s">
        <v>6631</v>
      </c>
      <c r="R479" s="16" t="s">
        <v>8371</v>
      </c>
      <c r="S479" s="16" t="s">
        <v>6631</v>
      </c>
      <c r="T479" t="s">
        <v>7927</v>
      </c>
      <c r="U479">
        <v>1</v>
      </c>
      <c r="V479" t="s">
        <v>8656</v>
      </c>
      <c r="W479" t="s">
        <v>11</v>
      </c>
      <c r="X479" t="s">
        <v>8660</v>
      </c>
      <c r="Y479">
        <f t="shared" si="15"/>
        <v>1</v>
      </c>
    </row>
    <row r="480" spans="1:25" hidden="1">
      <c r="A480" t="s">
        <v>2050</v>
      </c>
      <c r="B480" t="s">
        <v>1267</v>
      </c>
      <c r="C480">
        <v>1218</v>
      </c>
      <c r="D480">
        <v>13</v>
      </c>
      <c r="E480" t="s">
        <v>4357</v>
      </c>
      <c r="F480" t="s">
        <v>4719</v>
      </c>
      <c r="H480" t="s">
        <v>1298</v>
      </c>
      <c r="J480" t="s">
        <v>8991</v>
      </c>
      <c r="L480">
        <f t="shared" si="14"/>
        <v>1</v>
      </c>
      <c r="M480" t="s">
        <v>6437</v>
      </c>
      <c r="N480" t="s">
        <v>6438</v>
      </c>
      <c r="O480" t="s">
        <v>104</v>
      </c>
      <c r="P480">
        <v>12610</v>
      </c>
      <c r="Q480">
        <v>458330</v>
      </c>
      <c r="R480" s="16" t="s">
        <v>8559</v>
      </c>
      <c r="S480" s="16" t="s">
        <v>8264</v>
      </c>
      <c r="T480" t="s">
        <v>8025</v>
      </c>
      <c r="U480">
        <v>1</v>
      </c>
      <c r="V480" t="s">
        <v>8656</v>
      </c>
      <c r="W480" t="s">
        <v>104</v>
      </c>
      <c r="X480" t="s">
        <v>8660</v>
      </c>
      <c r="Y480">
        <f t="shared" si="15"/>
        <v>1</v>
      </c>
    </row>
    <row r="481" spans="1:25" hidden="1">
      <c r="A481" t="s">
        <v>1403</v>
      </c>
      <c r="B481" t="s">
        <v>4725</v>
      </c>
      <c r="C481">
        <v>1230</v>
      </c>
      <c r="D481">
        <v>13</v>
      </c>
      <c r="E481" t="s">
        <v>1444</v>
      </c>
      <c r="F481" t="s">
        <v>4719</v>
      </c>
      <c r="H481" t="s">
        <v>1299</v>
      </c>
      <c r="J481" t="s">
        <v>8808</v>
      </c>
      <c r="L481">
        <f t="shared" si="14"/>
        <v>0</v>
      </c>
      <c r="R481" s="16" t="s">
        <v>8064</v>
      </c>
      <c r="S481" s="16" t="s">
        <v>8064</v>
      </c>
      <c r="T481" t="s">
        <v>1403</v>
      </c>
      <c r="U481">
        <v>1</v>
      </c>
      <c r="V481" t="s">
        <v>8655</v>
      </c>
      <c r="X481" t="s">
        <v>8660</v>
      </c>
      <c r="Y481">
        <f t="shared" si="15"/>
        <v>0</v>
      </c>
    </row>
    <row r="482" spans="1:25" hidden="1">
      <c r="A482" t="s">
        <v>1405</v>
      </c>
      <c r="B482" t="s">
        <v>1269</v>
      </c>
      <c r="C482">
        <v>1240</v>
      </c>
      <c r="D482">
        <v>13</v>
      </c>
      <c r="E482" t="s">
        <v>1444</v>
      </c>
      <c r="F482" t="s">
        <v>4719</v>
      </c>
      <c r="H482" t="s">
        <v>1300</v>
      </c>
      <c r="J482" t="s">
        <v>8668</v>
      </c>
      <c r="L482">
        <f t="shared" si="14"/>
        <v>0</v>
      </c>
      <c r="R482" s="16" t="s">
        <v>8064</v>
      </c>
      <c r="S482" s="16" t="s">
        <v>8064</v>
      </c>
      <c r="T482" t="s">
        <v>1405</v>
      </c>
      <c r="U482">
        <v>0</v>
      </c>
      <c r="V482" t="s">
        <v>8655</v>
      </c>
      <c r="X482" t="s">
        <v>8660</v>
      </c>
      <c r="Y482">
        <f t="shared" si="15"/>
        <v>0</v>
      </c>
    </row>
    <row r="483" spans="1:25" hidden="1">
      <c r="A483" t="s">
        <v>1404</v>
      </c>
      <c r="B483" t="s">
        <v>1269</v>
      </c>
      <c r="C483">
        <v>1240</v>
      </c>
      <c r="D483">
        <v>13</v>
      </c>
      <c r="E483" t="s">
        <v>1444</v>
      </c>
      <c r="F483" t="s">
        <v>4719</v>
      </c>
      <c r="H483" t="s">
        <v>1300</v>
      </c>
      <c r="J483" t="s">
        <v>8668</v>
      </c>
      <c r="L483">
        <f t="shared" si="14"/>
        <v>0</v>
      </c>
      <c r="R483" s="16" t="s">
        <v>8064</v>
      </c>
      <c r="S483" s="16" t="s">
        <v>8064</v>
      </c>
      <c r="T483" t="s">
        <v>1404</v>
      </c>
      <c r="U483">
        <v>0</v>
      </c>
      <c r="V483" t="s">
        <v>8655</v>
      </c>
      <c r="X483" t="s">
        <v>8660</v>
      </c>
      <c r="Y483">
        <f t="shared" si="15"/>
        <v>0</v>
      </c>
    </row>
    <row r="484" spans="1:25" hidden="1">
      <c r="A484" t="s">
        <v>1406</v>
      </c>
      <c r="B484" t="s">
        <v>1268</v>
      </c>
      <c r="C484">
        <v>1239</v>
      </c>
      <c r="D484">
        <v>13</v>
      </c>
      <c r="E484" t="s">
        <v>1444</v>
      </c>
      <c r="F484" t="s">
        <v>4719</v>
      </c>
      <c r="H484" t="s">
        <v>1301</v>
      </c>
      <c r="J484" t="s">
        <v>8668</v>
      </c>
      <c r="L484">
        <f t="shared" si="14"/>
        <v>0</v>
      </c>
      <c r="R484" s="16" t="s">
        <v>8064</v>
      </c>
      <c r="S484" s="16" t="s">
        <v>8064</v>
      </c>
      <c r="T484" t="s">
        <v>1406</v>
      </c>
      <c r="U484">
        <v>0</v>
      </c>
      <c r="V484" t="s">
        <v>8655</v>
      </c>
      <c r="X484" t="s">
        <v>8660</v>
      </c>
      <c r="Y484">
        <f t="shared" si="15"/>
        <v>0</v>
      </c>
    </row>
    <row r="485" spans="1:25" hidden="1">
      <c r="A485" t="s">
        <v>2051</v>
      </c>
      <c r="B485" t="s">
        <v>4726</v>
      </c>
      <c r="C485">
        <v>1245</v>
      </c>
      <c r="D485">
        <v>13</v>
      </c>
      <c r="E485" t="s">
        <v>1444</v>
      </c>
      <c r="F485" t="s">
        <v>4719</v>
      </c>
      <c r="H485" t="s">
        <v>1301</v>
      </c>
      <c r="J485" t="s">
        <v>8809</v>
      </c>
      <c r="L485">
        <f t="shared" si="14"/>
        <v>0</v>
      </c>
      <c r="R485" s="16" t="s">
        <v>8064</v>
      </c>
      <c r="S485" s="16" t="s">
        <v>8064</v>
      </c>
      <c r="T485" t="s">
        <v>7935</v>
      </c>
      <c r="U485">
        <v>1</v>
      </c>
      <c r="V485" t="s">
        <v>8655</v>
      </c>
      <c r="X485" t="s">
        <v>8660</v>
      </c>
      <c r="Y485">
        <f t="shared" si="15"/>
        <v>0</v>
      </c>
    </row>
    <row r="486" spans="1:25" hidden="1">
      <c r="A486" t="s">
        <v>1407</v>
      </c>
      <c r="B486" t="s">
        <v>1274</v>
      </c>
      <c r="C486">
        <v>1268</v>
      </c>
      <c r="D486">
        <v>13</v>
      </c>
      <c r="E486" t="s">
        <v>4570</v>
      </c>
      <c r="F486" t="s">
        <v>4719</v>
      </c>
      <c r="H486" t="s">
        <v>1302</v>
      </c>
      <c r="J486" t="s">
        <v>8668</v>
      </c>
      <c r="L486">
        <f t="shared" si="14"/>
        <v>1</v>
      </c>
      <c r="M486" t="s">
        <v>6317</v>
      </c>
      <c r="N486" t="s">
        <v>6318</v>
      </c>
      <c r="O486" t="s">
        <v>104</v>
      </c>
      <c r="P486" t="s">
        <v>6319</v>
      </c>
      <c r="Q486">
        <v>491830</v>
      </c>
      <c r="R486" s="16" t="s">
        <v>8459</v>
      </c>
      <c r="S486" s="16" t="s">
        <v>8163</v>
      </c>
      <c r="T486" t="s">
        <v>1407</v>
      </c>
      <c r="U486">
        <v>0</v>
      </c>
      <c r="V486" t="s">
        <v>8654</v>
      </c>
      <c r="W486" t="s">
        <v>104</v>
      </c>
      <c r="X486" t="s">
        <v>8660</v>
      </c>
      <c r="Y486">
        <f t="shared" si="15"/>
        <v>1</v>
      </c>
    </row>
    <row r="487" spans="1:25" hidden="1">
      <c r="A487" t="s">
        <v>2052</v>
      </c>
      <c r="B487" t="s">
        <v>751</v>
      </c>
      <c r="C487">
        <v>1269</v>
      </c>
      <c r="D487">
        <v>13</v>
      </c>
      <c r="E487" t="s">
        <v>1444</v>
      </c>
      <c r="F487" t="s">
        <v>4719</v>
      </c>
      <c r="H487" t="s">
        <v>1302</v>
      </c>
      <c r="J487" t="s">
        <v>8668</v>
      </c>
      <c r="L487">
        <f t="shared" si="14"/>
        <v>0</v>
      </c>
      <c r="R487" s="16" t="s">
        <v>8064</v>
      </c>
      <c r="S487" s="16" t="s">
        <v>8064</v>
      </c>
      <c r="T487" t="s">
        <v>7933</v>
      </c>
      <c r="U487">
        <v>0</v>
      </c>
      <c r="V487" t="s">
        <v>8655</v>
      </c>
      <c r="X487" t="s">
        <v>8660</v>
      </c>
      <c r="Y487">
        <f t="shared" si="15"/>
        <v>0</v>
      </c>
    </row>
    <row r="488" spans="1:25" hidden="1">
      <c r="A488" t="s">
        <v>2053</v>
      </c>
      <c r="B488" t="s">
        <v>4727</v>
      </c>
      <c r="C488">
        <v>1267</v>
      </c>
      <c r="D488">
        <v>13</v>
      </c>
      <c r="E488" t="s">
        <v>4573</v>
      </c>
      <c r="F488" t="s">
        <v>4719</v>
      </c>
      <c r="H488" t="s">
        <v>1303</v>
      </c>
      <c r="J488" t="s">
        <v>8992</v>
      </c>
      <c r="L488">
        <f t="shared" si="14"/>
        <v>1</v>
      </c>
      <c r="M488" t="s">
        <v>4573</v>
      </c>
      <c r="N488" t="s">
        <v>6594</v>
      </c>
      <c r="O488" t="s">
        <v>4016</v>
      </c>
      <c r="P488" t="s">
        <v>6768</v>
      </c>
      <c r="Q488" t="s">
        <v>6769</v>
      </c>
      <c r="R488" s="16" t="s">
        <v>8564</v>
      </c>
      <c r="S488" s="16" t="s">
        <v>8269</v>
      </c>
      <c r="T488" t="s">
        <v>7922</v>
      </c>
      <c r="U488">
        <v>1</v>
      </c>
      <c r="V488" t="s">
        <v>8656</v>
      </c>
      <c r="W488" t="s">
        <v>4016</v>
      </c>
      <c r="X488" t="s">
        <v>8660</v>
      </c>
      <c r="Y488">
        <f t="shared" si="15"/>
        <v>1</v>
      </c>
    </row>
    <row r="489" spans="1:25" hidden="1">
      <c r="A489" t="s">
        <v>1408</v>
      </c>
      <c r="B489" t="s">
        <v>1275</v>
      </c>
      <c r="C489">
        <v>1270</v>
      </c>
      <c r="D489">
        <v>13</v>
      </c>
      <c r="E489" t="s">
        <v>1444</v>
      </c>
      <c r="F489" t="s">
        <v>4719</v>
      </c>
      <c r="H489" t="s">
        <v>1303</v>
      </c>
      <c r="J489" t="s">
        <v>8668</v>
      </c>
      <c r="L489">
        <f t="shared" si="14"/>
        <v>0</v>
      </c>
      <c r="R489" s="16" t="s">
        <v>8064</v>
      </c>
      <c r="S489" s="16" t="s">
        <v>8064</v>
      </c>
      <c r="T489" t="s">
        <v>1408</v>
      </c>
      <c r="U489">
        <v>0</v>
      </c>
      <c r="V489" t="s">
        <v>8655</v>
      </c>
      <c r="X489" t="s">
        <v>8660</v>
      </c>
      <c r="Y489">
        <f t="shared" si="15"/>
        <v>0</v>
      </c>
    </row>
    <row r="490" spans="1:25" hidden="1">
      <c r="A490" t="s">
        <v>2054</v>
      </c>
      <c r="B490" t="s">
        <v>760</v>
      </c>
      <c r="C490">
        <v>1273</v>
      </c>
      <c r="D490">
        <v>13</v>
      </c>
      <c r="E490" t="s">
        <v>4502</v>
      </c>
      <c r="F490" t="s">
        <v>4719</v>
      </c>
      <c r="H490" t="s">
        <v>1304</v>
      </c>
      <c r="J490" t="s">
        <v>8668</v>
      </c>
      <c r="L490">
        <f t="shared" si="14"/>
        <v>1</v>
      </c>
      <c r="M490" t="s">
        <v>4502</v>
      </c>
      <c r="N490" t="s">
        <v>6456</v>
      </c>
      <c r="O490" t="s">
        <v>104</v>
      </c>
      <c r="P490">
        <v>23522</v>
      </c>
      <c r="Q490">
        <v>488566</v>
      </c>
      <c r="R490" s="16" t="s">
        <v>8364</v>
      </c>
      <c r="S490" s="16" t="s">
        <v>8069</v>
      </c>
      <c r="T490" t="s">
        <v>7925</v>
      </c>
      <c r="U490">
        <v>0</v>
      </c>
      <c r="V490" t="s">
        <v>8654</v>
      </c>
      <c r="W490" t="s">
        <v>104</v>
      </c>
      <c r="X490" t="s">
        <v>8660</v>
      </c>
      <c r="Y490">
        <f t="shared" si="15"/>
        <v>1</v>
      </c>
    </row>
    <row r="491" spans="1:25" hidden="1">
      <c r="A491" t="s">
        <v>2055</v>
      </c>
      <c r="B491" t="s">
        <v>4728</v>
      </c>
      <c r="C491">
        <v>1274</v>
      </c>
      <c r="D491">
        <v>13</v>
      </c>
      <c r="E491" t="s">
        <v>1444</v>
      </c>
      <c r="F491" t="s">
        <v>4719</v>
      </c>
      <c r="H491" t="s">
        <v>1304</v>
      </c>
      <c r="J491" t="s">
        <v>8668</v>
      </c>
      <c r="L491">
        <f t="shared" si="14"/>
        <v>0</v>
      </c>
      <c r="R491" s="16" t="s">
        <v>8064</v>
      </c>
      <c r="S491" s="16" t="s">
        <v>8064</v>
      </c>
      <c r="T491" t="s">
        <v>7932</v>
      </c>
      <c r="U491">
        <v>0</v>
      </c>
      <c r="V491" t="s">
        <v>8655</v>
      </c>
      <c r="X491" t="s">
        <v>8660</v>
      </c>
      <c r="Y491">
        <f t="shared" si="15"/>
        <v>0</v>
      </c>
    </row>
    <row r="492" spans="1:25" hidden="1">
      <c r="A492" t="s">
        <v>1409</v>
      </c>
      <c r="B492" t="s">
        <v>1276</v>
      </c>
      <c r="C492">
        <v>1279</v>
      </c>
      <c r="D492">
        <v>13</v>
      </c>
      <c r="E492" t="s">
        <v>1444</v>
      </c>
      <c r="F492" t="s">
        <v>4719</v>
      </c>
      <c r="H492" t="s">
        <v>1305</v>
      </c>
      <c r="J492" t="s">
        <v>8668</v>
      </c>
      <c r="L492">
        <f t="shared" si="14"/>
        <v>0</v>
      </c>
      <c r="R492" s="16" t="s">
        <v>8064</v>
      </c>
      <c r="S492" s="16" t="s">
        <v>8064</v>
      </c>
      <c r="T492" t="s">
        <v>1409</v>
      </c>
      <c r="U492">
        <v>0</v>
      </c>
      <c r="V492" t="s">
        <v>8655</v>
      </c>
      <c r="X492" t="s">
        <v>8660</v>
      </c>
      <c r="Y492">
        <f t="shared" si="15"/>
        <v>0</v>
      </c>
    </row>
    <row r="493" spans="1:25" hidden="1">
      <c r="A493" t="s">
        <v>1410</v>
      </c>
      <c r="B493" t="s">
        <v>1277</v>
      </c>
      <c r="C493">
        <v>1280</v>
      </c>
      <c r="D493">
        <v>13</v>
      </c>
      <c r="E493" t="s">
        <v>4601</v>
      </c>
      <c r="F493" t="s">
        <v>4719</v>
      </c>
      <c r="H493" t="s">
        <v>1305</v>
      </c>
      <c r="J493" t="s">
        <v>9120</v>
      </c>
      <c r="L493">
        <f t="shared" si="14"/>
        <v>1</v>
      </c>
      <c r="M493" t="s">
        <v>4601</v>
      </c>
      <c r="N493" t="s">
        <v>6460</v>
      </c>
      <c r="O493" t="s">
        <v>11</v>
      </c>
      <c r="P493">
        <v>142681</v>
      </c>
      <c r="Q493">
        <v>408518</v>
      </c>
      <c r="R493" s="16" t="s">
        <v>8397</v>
      </c>
      <c r="S493" s="16" t="s">
        <v>8101</v>
      </c>
      <c r="T493" t="s">
        <v>1410</v>
      </c>
      <c r="U493">
        <v>1</v>
      </c>
      <c r="V493" t="s">
        <v>8656</v>
      </c>
      <c r="W493" t="s">
        <v>11</v>
      </c>
      <c r="X493" t="s">
        <v>8660</v>
      </c>
      <c r="Y493">
        <f t="shared" si="15"/>
        <v>1</v>
      </c>
    </row>
    <row r="494" spans="1:25" hidden="1">
      <c r="A494" t="s">
        <v>1411</v>
      </c>
      <c r="B494" t="s">
        <v>1020</v>
      </c>
      <c r="C494">
        <v>1276</v>
      </c>
      <c r="D494">
        <v>13</v>
      </c>
      <c r="E494" t="s">
        <v>1444</v>
      </c>
      <c r="F494" t="s">
        <v>4719</v>
      </c>
      <c r="H494" t="s">
        <v>1306</v>
      </c>
      <c r="J494" t="s">
        <v>8668</v>
      </c>
      <c r="L494">
        <f t="shared" si="14"/>
        <v>0</v>
      </c>
      <c r="R494" s="16" t="s">
        <v>8064</v>
      </c>
      <c r="S494" s="16" t="s">
        <v>8064</v>
      </c>
      <c r="T494" t="s">
        <v>1411</v>
      </c>
      <c r="U494">
        <v>0</v>
      </c>
      <c r="V494" t="s">
        <v>8655</v>
      </c>
      <c r="X494" t="s">
        <v>8660</v>
      </c>
      <c r="Y494">
        <f t="shared" si="15"/>
        <v>0</v>
      </c>
    </row>
    <row r="495" spans="1:25" hidden="1">
      <c r="A495" t="s">
        <v>2056</v>
      </c>
      <c r="B495" t="s">
        <v>4729</v>
      </c>
      <c r="C495">
        <v>1281</v>
      </c>
      <c r="D495">
        <v>13</v>
      </c>
      <c r="E495" t="s">
        <v>4614</v>
      </c>
      <c r="F495" t="s">
        <v>4719</v>
      </c>
      <c r="H495" t="s">
        <v>1306</v>
      </c>
      <c r="J495" t="s">
        <v>8668</v>
      </c>
      <c r="L495">
        <f t="shared" si="14"/>
        <v>1</v>
      </c>
      <c r="M495" t="s">
        <v>4614</v>
      </c>
      <c r="N495" t="s">
        <v>6404</v>
      </c>
      <c r="O495" t="s">
        <v>11</v>
      </c>
      <c r="P495">
        <v>155450</v>
      </c>
      <c r="Q495">
        <v>414620</v>
      </c>
      <c r="R495" s="16" t="s">
        <v>8567</v>
      </c>
      <c r="S495" s="16" t="s">
        <v>8272</v>
      </c>
      <c r="T495" t="s">
        <v>7929</v>
      </c>
      <c r="U495">
        <v>0</v>
      </c>
      <c r="V495" t="s">
        <v>8654</v>
      </c>
      <c r="W495" t="s">
        <v>11</v>
      </c>
      <c r="X495" t="s">
        <v>8660</v>
      </c>
      <c r="Y495">
        <f t="shared" si="15"/>
        <v>1</v>
      </c>
    </row>
    <row r="496" spans="1:25" hidden="1">
      <c r="A496" t="s">
        <v>1412</v>
      </c>
      <c r="B496" t="s">
        <v>4730</v>
      </c>
      <c r="C496">
        <v>1283</v>
      </c>
      <c r="D496">
        <v>13</v>
      </c>
      <c r="E496" t="s">
        <v>1444</v>
      </c>
      <c r="F496" t="s">
        <v>4719</v>
      </c>
      <c r="H496" t="s">
        <v>1307</v>
      </c>
      <c r="J496" t="s">
        <v>8668</v>
      </c>
      <c r="L496">
        <f t="shared" si="14"/>
        <v>0</v>
      </c>
      <c r="R496" s="16" t="s">
        <v>8064</v>
      </c>
      <c r="S496" s="16" t="s">
        <v>8064</v>
      </c>
      <c r="T496" t="s">
        <v>1412</v>
      </c>
      <c r="U496">
        <v>0</v>
      </c>
      <c r="V496" t="s">
        <v>8655</v>
      </c>
      <c r="X496" t="s">
        <v>8660</v>
      </c>
      <c r="Y496">
        <f t="shared" si="15"/>
        <v>0</v>
      </c>
    </row>
    <row r="497" spans="1:25" hidden="1">
      <c r="A497" t="s">
        <v>2057</v>
      </c>
      <c r="B497" t="s">
        <v>778</v>
      </c>
      <c r="C497">
        <v>1286</v>
      </c>
      <c r="D497">
        <v>13</v>
      </c>
      <c r="E497" t="s">
        <v>1444</v>
      </c>
      <c r="F497" t="s">
        <v>4719</v>
      </c>
      <c r="H497" t="s">
        <v>1307</v>
      </c>
      <c r="J497" t="s">
        <v>8668</v>
      </c>
      <c r="L497">
        <f t="shared" si="14"/>
        <v>0</v>
      </c>
      <c r="R497" s="16" t="s">
        <v>8064</v>
      </c>
      <c r="S497" s="16" t="s">
        <v>8064</v>
      </c>
      <c r="T497" t="s">
        <v>7934</v>
      </c>
      <c r="U497">
        <v>0</v>
      </c>
      <c r="V497" t="s">
        <v>8655</v>
      </c>
      <c r="X497" t="s">
        <v>8660</v>
      </c>
      <c r="Y497">
        <f t="shared" si="15"/>
        <v>0</v>
      </c>
    </row>
    <row r="498" spans="1:25" hidden="1">
      <c r="A498" t="s">
        <v>4933</v>
      </c>
      <c r="B498" t="s">
        <v>4934</v>
      </c>
      <c r="C498">
        <v>1295</v>
      </c>
      <c r="D498">
        <v>13</v>
      </c>
      <c r="E498" t="s">
        <v>1444</v>
      </c>
      <c r="F498" t="s">
        <v>4688</v>
      </c>
      <c r="H498" t="s">
        <v>4935</v>
      </c>
      <c r="J498" t="s">
        <v>8668</v>
      </c>
      <c r="L498">
        <f t="shared" si="14"/>
        <v>0</v>
      </c>
      <c r="R498" s="16" t="s">
        <v>8064</v>
      </c>
      <c r="S498" s="16" t="s">
        <v>8064</v>
      </c>
      <c r="T498" t="s">
        <v>4933</v>
      </c>
      <c r="U498">
        <v>0</v>
      </c>
      <c r="V498" t="s">
        <v>8655</v>
      </c>
      <c r="X498" t="s">
        <v>8660</v>
      </c>
      <c r="Y498">
        <f t="shared" si="15"/>
        <v>0</v>
      </c>
    </row>
    <row r="499" spans="1:25" hidden="1">
      <c r="A499" t="s">
        <v>1413</v>
      </c>
      <c r="B499" t="s">
        <v>414</v>
      </c>
      <c r="C499">
        <v>1300</v>
      </c>
      <c r="D499">
        <v>13</v>
      </c>
      <c r="E499" t="s">
        <v>1444</v>
      </c>
      <c r="F499" t="s">
        <v>4719</v>
      </c>
      <c r="H499" t="s">
        <v>1308</v>
      </c>
      <c r="J499" t="s">
        <v>8668</v>
      </c>
      <c r="L499">
        <f t="shared" si="14"/>
        <v>0</v>
      </c>
      <c r="R499" s="16" t="s">
        <v>8064</v>
      </c>
      <c r="S499" s="16" t="s">
        <v>8064</v>
      </c>
      <c r="T499" t="s">
        <v>1413</v>
      </c>
      <c r="U499">
        <v>0</v>
      </c>
      <c r="V499" t="s">
        <v>8655</v>
      </c>
      <c r="X499" t="s">
        <v>8660</v>
      </c>
      <c r="Y499">
        <f t="shared" si="15"/>
        <v>0</v>
      </c>
    </row>
    <row r="500" spans="1:25" hidden="1">
      <c r="A500" t="s">
        <v>1414</v>
      </c>
      <c r="B500" t="s">
        <v>1279</v>
      </c>
      <c r="C500">
        <v>1296</v>
      </c>
      <c r="D500">
        <v>13</v>
      </c>
      <c r="E500" t="s">
        <v>1444</v>
      </c>
      <c r="F500" t="s">
        <v>4719</v>
      </c>
      <c r="H500" t="s">
        <v>1309</v>
      </c>
      <c r="J500" t="s">
        <v>8668</v>
      </c>
      <c r="L500">
        <f t="shared" si="14"/>
        <v>0</v>
      </c>
      <c r="R500" s="16" t="s">
        <v>8064</v>
      </c>
      <c r="S500" s="16" t="s">
        <v>8064</v>
      </c>
      <c r="T500" t="s">
        <v>1414</v>
      </c>
      <c r="U500">
        <v>0</v>
      </c>
      <c r="V500" t="s">
        <v>8655</v>
      </c>
      <c r="X500" t="s">
        <v>8660</v>
      </c>
      <c r="Y500">
        <f t="shared" si="15"/>
        <v>0</v>
      </c>
    </row>
    <row r="501" spans="1:25" hidden="1">
      <c r="A501" t="s">
        <v>1607</v>
      </c>
      <c r="B501" t="s">
        <v>1362</v>
      </c>
      <c r="C501">
        <v>1092</v>
      </c>
      <c r="D501">
        <v>11</v>
      </c>
      <c r="E501" t="s">
        <v>4392</v>
      </c>
      <c r="F501" t="s">
        <v>4690</v>
      </c>
      <c r="H501" t="s">
        <v>4691</v>
      </c>
      <c r="J501" t="s">
        <v>8668</v>
      </c>
      <c r="L501">
        <f t="shared" si="14"/>
        <v>1</v>
      </c>
      <c r="M501" t="s">
        <v>4502</v>
      </c>
      <c r="N501" t="s">
        <v>6456</v>
      </c>
      <c r="O501" t="s">
        <v>104</v>
      </c>
      <c r="P501">
        <v>23522</v>
      </c>
      <c r="Q501">
        <v>488566</v>
      </c>
      <c r="R501" s="16" t="s">
        <v>8364</v>
      </c>
      <c r="S501" s="16" t="s">
        <v>8069</v>
      </c>
      <c r="T501" t="s">
        <v>1607</v>
      </c>
      <c r="U501">
        <v>0</v>
      </c>
      <c r="V501" t="s">
        <v>8654</v>
      </c>
      <c r="W501" t="s">
        <v>104</v>
      </c>
      <c r="X501" t="s">
        <v>8660</v>
      </c>
      <c r="Y501">
        <f t="shared" si="15"/>
        <v>1</v>
      </c>
    </row>
    <row r="502" spans="1:25" hidden="1">
      <c r="A502" t="s">
        <v>2065</v>
      </c>
      <c r="B502" t="s">
        <v>1363</v>
      </c>
      <c r="C502">
        <v>1091</v>
      </c>
      <c r="D502">
        <v>11</v>
      </c>
      <c r="E502" t="s">
        <v>4362</v>
      </c>
      <c r="F502" t="s">
        <v>4690</v>
      </c>
      <c r="H502" t="s">
        <v>4692</v>
      </c>
      <c r="J502" t="s">
        <v>8993</v>
      </c>
      <c r="L502">
        <f t="shared" si="14"/>
        <v>1</v>
      </c>
      <c r="M502" t="s">
        <v>4362</v>
      </c>
      <c r="N502" t="s">
        <v>6373</v>
      </c>
      <c r="O502" t="s">
        <v>104</v>
      </c>
      <c r="P502">
        <v>46540</v>
      </c>
      <c r="Q502">
        <v>464340</v>
      </c>
      <c r="R502" s="16" t="s">
        <v>8392</v>
      </c>
      <c r="S502" s="16" t="s">
        <v>8096</v>
      </c>
      <c r="T502" t="s">
        <v>7945</v>
      </c>
      <c r="U502">
        <v>1</v>
      </c>
      <c r="V502" t="s">
        <v>8656</v>
      </c>
      <c r="W502" t="s">
        <v>104</v>
      </c>
      <c r="X502" t="s">
        <v>8660</v>
      </c>
      <c r="Y502">
        <f t="shared" si="15"/>
        <v>1</v>
      </c>
    </row>
    <row r="503" spans="1:25" hidden="1">
      <c r="A503" t="s">
        <v>4703</v>
      </c>
      <c r="B503">
        <v>1240</v>
      </c>
      <c r="C503">
        <v>1240</v>
      </c>
      <c r="D503">
        <v>13</v>
      </c>
      <c r="E503" t="s">
        <v>4544</v>
      </c>
      <c r="F503" t="s">
        <v>4690</v>
      </c>
      <c r="H503" t="s">
        <v>4704</v>
      </c>
      <c r="J503" t="s">
        <v>8668</v>
      </c>
      <c r="L503">
        <f t="shared" si="14"/>
        <v>1</v>
      </c>
      <c r="M503" t="s">
        <v>4544</v>
      </c>
      <c r="N503" t="s">
        <v>6590</v>
      </c>
      <c r="O503" t="s">
        <v>104</v>
      </c>
      <c r="P503" t="s">
        <v>6591</v>
      </c>
      <c r="Q503" t="s">
        <v>6592</v>
      </c>
      <c r="R503" s="16" t="s">
        <v>8575</v>
      </c>
      <c r="S503" s="16" t="s">
        <v>8280</v>
      </c>
      <c r="T503" t="s">
        <v>4703</v>
      </c>
      <c r="U503">
        <v>0</v>
      </c>
      <c r="V503" t="s">
        <v>8654</v>
      </c>
      <c r="W503" t="s">
        <v>104</v>
      </c>
      <c r="X503" t="s">
        <v>8660</v>
      </c>
      <c r="Y503">
        <f t="shared" si="15"/>
        <v>1</v>
      </c>
    </row>
    <row r="504" spans="1:25" hidden="1">
      <c r="A504" t="s">
        <v>1659</v>
      </c>
      <c r="B504" t="s">
        <v>4731</v>
      </c>
      <c r="C504">
        <v>1267</v>
      </c>
      <c r="D504">
        <v>13</v>
      </c>
      <c r="E504" t="s">
        <v>4502</v>
      </c>
      <c r="F504" t="s">
        <v>4732</v>
      </c>
      <c r="H504" t="s">
        <v>1481</v>
      </c>
      <c r="J504" t="s">
        <v>8668</v>
      </c>
      <c r="L504">
        <f t="shared" si="14"/>
        <v>1</v>
      </c>
      <c r="M504" t="s">
        <v>4502</v>
      </c>
      <c r="N504" t="s">
        <v>6456</v>
      </c>
      <c r="O504" t="s">
        <v>104</v>
      </c>
      <c r="P504">
        <v>23522</v>
      </c>
      <c r="Q504">
        <v>488566</v>
      </c>
      <c r="R504" s="16" t="s">
        <v>8364</v>
      </c>
      <c r="S504" s="16" t="s">
        <v>8069</v>
      </c>
      <c r="T504" t="s">
        <v>1659</v>
      </c>
      <c r="U504">
        <v>0</v>
      </c>
      <c r="V504" t="s">
        <v>8654</v>
      </c>
      <c r="W504" t="s">
        <v>104</v>
      </c>
      <c r="X504" t="s">
        <v>8660</v>
      </c>
      <c r="Y504">
        <f t="shared" si="15"/>
        <v>1</v>
      </c>
    </row>
    <row r="505" spans="1:25" hidden="1">
      <c r="A505" t="s">
        <v>1660</v>
      </c>
      <c r="B505" t="s">
        <v>4565</v>
      </c>
      <c r="C505">
        <v>1267</v>
      </c>
      <c r="D505">
        <v>13</v>
      </c>
      <c r="E505" t="s">
        <v>4502</v>
      </c>
      <c r="F505" t="s">
        <v>4732</v>
      </c>
      <c r="H505" t="s">
        <v>1481</v>
      </c>
      <c r="J505" t="s">
        <v>8668</v>
      </c>
      <c r="L505">
        <f t="shared" si="14"/>
        <v>1</v>
      </c>
      <c r="M505" t="s">
        <v>4502</v>
      </c>
      <c r="N505" t="s">
        <v>6456</v>
      </c>
      <c r="O505" t="s">
        <v>104</v>
      </c>
      <c r="P505">
        <v>23522</v>
      </c>
      <c r="Q505">
        <v>488566</v>
      </c>
      <c r="R505" s="16" t="s">
        <v>8364</v>
      </c>
      <c r="S505" s="16" t="s">
        <v>8069</v>
      </c>
      <c r="T505" t="s">
        <v>1660</v>
      </c>
      <c r="U505">
        <v>0</v>
      </c>
      <c r="V505" t="s">
        <v>8654</v>
      </c>
      <c r="W505" t="s">
        <v>104</v>
      </c>
      <c r="X505" t="s">
        <v>8660</v>
      </c>
      <c r="Y505">
        <f t="shared" si="15"/>
        <v>1</v>
      </c>
    </row>
    <row r="506" spans="1:25" hidden="1">
      <c r="A506" t="s">
        <v>1665</v>
      </c>
      <c r="B506" t="s">
        <v>4566</v>
      </c>
      <c r="C506">
        <v>1268</v>
      </c>
      <c r="D506">
        <v>13</v>
      </c>
      <c r="E506" t="s">
        <v>1444</v>
      </c>
      <c r="F506" t="s">
        <v>4732</v>
      </c>
      <c r="H506" t="s">
        <v>1482</v>
      </c>
      <c r="J506" t="s">
        <v>8668</v>
      </c>
      <c r="L506">
        <f t="shared" si="14"/>
        <v>0</v>
      </c>
      <c r="R506" s="16" t="s">
        <v>8064</v>
      </c>
      <c r="S506" s="16" t="s">
        <v>8064</v>
      </c>
      <c r="T506" t="s">
        <v>1665</v>
      </c>
      <c r="U506">
        <v>0</v>
      </c>
      <c r="V506" t="s">
        <v>8655</v>
      </c>
      <c r="X506" t="s">
        <v>8660</v>
      </c>
      <c r="Y506">
        <f t="shared" si="15"/>
        <v>0</v>
      </c>
    </row>
    <row r="507" spans="1:25" hidden="1">
      <c r="A507" t="s">
        <v>1668</v>
      </c>
      <c r="B507" t="s">
        <v>4567</v>
      </c>
      <c r="C507">
        <v>1262</v>
      </c>
      <c r="D507">
        <v>13</v>
      </c>
      <c r="E507" t="s">
        <v>1444</v>
      </c>
      <c r="F507" t="s">
        <v>4732</v>
      </c>
      <c r="H507" t="s">
        <v>1483</v>
      </c>
      <c r="J507" t="s">
        <v>8668</v>
      </c>
      <c r="L507">
        <f t="shared" si="14"/>
        <v>0</v>
      </c>
      <c r="R507" s="16" t="s">
        <v>8064</v>
      </c>
      <c r="S507" s="16" t="s">
        <v>8064</v>
      </c>
      <c r="T507" t="s">
        <v>1668</v>
      </c>
      <c r="U507">
        <v>0</v>
      </c>
      <c r="V507" t="s">
        <v>8655</v>
      </c>
      <c r="X507" t="s">
        <v>8660</v>
      </c>
      <c r="Y507">
        <f t="shared" si="15"/>
        <v>0</v>
      </c>
    </row>
    <row r="508" spans="1:25" hidden="1">
      <c r="A508" t="s">
        <v>1667</v>
      </c>
      <c r="B508" t="s">
        <v>4733</v>
      </c>
      <c r="C508">
        <v>1267</v>
      </c>
      <c r="D508">
        <v>13</v>
      </c>
      <c r="E508" t="s">
        <v>1444</v>
      </c>
      <c r="F508" t="s">
        <v>4732</v>
      </c>
      <c r="H508" t="s">
        <v>1483</v>
      </c>
      <c r="J508" t="s">
        <v>8668</v>
      </c>
      <c r="L508">
        <f t="shared" si="14"/>
        <v>0</v>
      </c>
      <c r="R508" s="16" t="s">
        <v>8064</v>
      </c>
      <c r="S508" s="16" t="s">
        <v>8064</v>
      </c>
      <c r="T508" t="s">
        <v>1667</v>
      </c>
      <c r="U508">
        <v>0</v>
      </c>
      <c r="V508" t="s">
        <v>8655</v>
      </c>
      <c r="X508" t="s">
        <v>8660</v>
      </c>
      <c r="Y508">
        <f t="shared" si="15"/>
        <v>0</v>
      </c>
    </row>
    <row r="509" spans="1:25" hidden="1">
      <c r="A509" t="s">
        <v>1669</v>
      </c>
      <c r="B509" t="s">
        <v>4727</v>
      </c>
      <c r="C509">
        <v>1267</v>
      </c>
      <c r="D509">
        <v>13</v>
      </c>
      <c r="E509" t="s">
        <v>1444</v>
      </c>
      <c r="F509" t="s">
        <v>4732</v>
      </c>
      <c r="H509" t="s">
        <v>1484</v>
      </c>
      <c r="J509" t="s">
        <v>8668</v>
      </c>
      <c r="L509">
        <f t="shared" si="14"/>
        <v>0</v>
      </c>
      <c r="R509" s="16" t="s">
        <v>8064</v>
      </c>
      <c r="S509" s="16" t="s">
        <v>8064</v>
      </c>
      <c r="T509" t="s">
        <v>1669</v>
      </c>
      <c r="U509">
        <v>0</v>
      </c>
      <c r="V509" t="s">
        <v>8655</v>
      </c>
      <c r="X509" t="s">
        <v>8660</v>
      </c>
      <c r="Y509">
        <f t="shared" si="15"/>
        <v>0</v>
      </c>
    </row>
    <row r="510" spans="1:25" hidden="1">
      <c r="A510" t="s">
        <v>2082</v>
      </c>
      <c r="B510" t="s">
        <v>4709</v>
      </c>
      <c r="C510">
        <v>1268</v>
      </c>
      <c r="D510">
        <v>13</v>
      </c>
      <c r="E510" t="s">
        <v>1444</v>
      </c>
      <c r="F510" t="s">
        <v>4732</v>
      </c>
      <c r="H510" t="s">
        <v>1484</v>
      </c>
      <c r="J510" t="s">
        <v>8815</v>
      </c>
      <c r="L510">
        <f t="shared" si="14"/>
        <v>0</v>
      </c>
      <c r="R510" s="16" t="s">
        <v>8064</v>
      </c>
      <c r="S510" s="16" t="s">
        <v>8064</v>
      </c>
      <c r="T510" t="s">
        <v>7970</v>
      </c>
      <c r="U510">
        <v>1</v>
      </c>
      <c r="V510" t="s">
        <v>8655</v>
      </c>
      <c r="X510" t="s">
        <v>8660</v>
      </c>
      <c r="Y510">
        <f t="shared" si="15"/>
        <v>0</v>
      </c>
    </row>
    <row r="511" spans="1:25" hidden="1">
      <c r="A511" t="s">
        <v>1677</v>
      </c>
      <c r="B511" t="s">
        <v>4588</v>
      </c>
      <c r="C511">
        <v>1288</v>
      </c>
      <c r="D511">
        <v>13</v>
      </c>
      <c r="E511" t="s">
        <v>1444</v>
      </c>
      <c r="F511" t="s">
        <v>4732</v>
      </c>
      <c r="H511" t="s">
        <v>1490</v>
      </c>
      <c r="J511" t="s">
        <v>8668</v>
      </c>
      <c r="L511">
        <f t="shared" si="14"/>
        <v>0</v>
      </c>
      <c r="R511" s="16" t="s">
        <v>8064</v>
      </c>
      <c r="S511" s="16" t="s">
        <v>8064</v>
      </c>
      <c r="T511" t="s">
        <v>1677</v>
      </c>
      <c r="U511">
        <v>0</v>
      </c>
      <c r="V511" t="s">
        <v>8655</v>
      </c>
      <c r="X511" t="s">
        <v>8660</v>
      </c>
      <c r="Y511">
        <f t="shared" si="15"/>
        <v>0</v>
      </c>
    </row>
    <row r="512" spans="1:25" hidden="1">
      <c r="A512" t="s">
        <v>1679</v>
      </c>
      <c r="B512" t="s">
        <v>4735</v>
      </c>
      <c r="C512">
        <v>1279</v>
      </c>
      <c r="D512">
        <v>13</v>
      </c>
      <c r="E512" t="s">
        <v>4502</v>
      </c>
      <c r="F512" t="s">
        <v>4732</v>
      </c>
      <c r="H512" t="s">
        <v>1488</v>
      </c>
      <c r="J512" t="s">
        <v>9010</v>
      </c>
      <c r="L512">
        <f t="shared" si="14"/>
        <v>1</v>
      </c>
      <c r="M512" t="s">
        <v>4502</v>
      </c>
      <c r="N512" t="s">
        <v>6456</v>
      </c>
      <c r="O512" t="s">
        <v>104</v>
      </c>
      <c r="P512">
        <v>23522</v>
      </c>
      <c r="Q512">
        <v>488566</v>
      </c>
      <c r="R512" s="16" t="s">
        <v>8364</v>
      </c>
      <c r="S512" s="16" t="s">
        <v>8069</v>
      </c>
      <c r="T512" t="s">
        <v>1679</v>
      </c>
      <c r="U512">
        <v>1</v>
      </c>
      <c r="V512" t="s">
        <v>8656</v>
      </c>
      <c r="W512" t="s">
        <v>104</v>
      </c>
      <c r="X512" t="s">
        <v>8660</v>
      </c>
      <c r="Y512">
        <f t="shared" si="15"/>
        <v>1</v>
      </c>
    </row>
    <row r="513" spans="1:25" hidden="1">
      <c r="A513" t="s">
        <v>1675</v>
      </c>
      <c r="B513" t="s">
        <v>4586</v>
      </c>
      <c r="C513">
        <v>1279</v>
      </c>
      <c r="D513">
        <v>13</v>
      </c>
      <c r="E513" t="s">
        <v>1444</v>
      </c>
      <c r="F513" t="s">
        <v>4732</v>
      </c>
      <c r="H513" t="s">
        <v>1488</v>
      </c>
      <c r="J513" t="s">
        <v>8668</v>
      </c>
      <c r="L513">
        <f t="shared" si="14"/>
        <v>0</v>
      </c>
      <c r="R513" s="16" t="s">
        <v>8064</v>
      </c>
      <c r="S513" s="16" t="s">
        <v>8064</v>
      </c>
      <c r="T513" t="s">
        <v>1675</v>
      </c>
      <c r="U513">
        <v>0</v>
      </c>
      <c r="V513" t="s">
        <v>8655</v>
      </c>
      <c r="X513" t="s">
        <v>8660</v>
      </c>
      <c r="Y513">
        <f t="shared" si="15"/>
        <v>0</v>
      </c>
    </row>
    <row r="514" spans="1:25" hidden="1">
      <c r="A514" t="s">
        <v>1678</v>
      </c>
      <c r="B514" t="s">
        <v>4734</v>
      </c>
      <c r="C514">
        <v>1279</v>
      </c>
      <c r="D514">
        <v>13</v>
      </c>
      <c r="E514" t="s">
        <v>1444</v>
      </c>
      <c r="F514" t="s">
        <v>4732</v>
      </c>
      <c r="H514" t="s">
        <v>1488</v>
      </c>
      <c r="J514" t="s">
        <v>8668</v>
      </c>
      <c r="L514">
        <f t="shared" ref="L514:L577" si="16">IF(M514&lt;&gt;"",1,0)</f>
        <v>0</v>
      </c>
      <c r="R514" s="16" t="s">
        <v>8064</v>
      </c>
      <c r="S514" s="16" t="s">
        <v>8064</v>
      </c>
      <c r="T514" t="s">
        <v>1678</v>
      </c>
      <c r="U514">
        <v>0</v>
      </c>
      <c r="V514" t="s">
        <v>8655</v>
      </c>
      <c r="X514" t="s">
        <v>8660</v>
      </c>
      <c r="Y514">
        <f t="shared" ref="Y514:Y577" si="17">IF(OR(V514="Loc",V514="IIIF"),1,0)</f>
        <v>0</v>
      </c>
    </row>
    <row r="515" spans="1:25" hidden="1">
      <c r="A515" t="s">
        <v>4865</v>
      </c>
      <c r="B515" t="s">
        <v>4578</v>
      </c>
      <c r="C515">
        <v>1270</v>
      </c>
      <c r="D515">
        <v>13</v>
      </c>
      <c r="E515" t="s">
        <v>1444</v>
      </c>
      <c r="F515" t="s">
        <v>4690</v>
      </c>
      <c r="H515" t="s">
        <v>4866</v>
      </c>
      <c r="J515" t="s">
        <v>8668</v>
      </c>
      <c r="L515">
        <f t="shared" si="16"/>
        <v>0</v>
      </c>
      <c r="R515" s="16" t="s">
        <v>8064</v>
      </c>
      <c r="S515" s="16" t="s">
        <v>8064</v>
      </c>
      <c r="T515" t="s">
        <v>4865</v>
      </c>
      <c r="U515">
        <v>0</v>
      </c>
      <c r="V515" t="s">
        <v>8655</v>
      </c>
      <c r="X515" t="s">
        <v>8660</v>
      </c>
      <c r="Y515">
        <f t="shared" si="17"/>
        <v>0</v>
      </c>
    </row>
    <row r="516" spans="1:25" hidden="1">
      <c r="A516" t="s">
        <v>4867</v>
      </c>
      <c r="B516" t="s">
        <v>4579</v>
      </c>
      <c r="C516">
        <v>1278</v>
      </c>
      <c r="D516">
        <v>13</v>
      </c>
      <c r="E516" t="s">
        <v>1444</v>
      </c>
      <c r="F516" t="s">
        <v>4690</v>
      </c>
      <c r="H516" t="s">
        <v>1485</v>
      </c>
      <c r="J516" t="s">
        <v>8668</v>
      </c>
      <c r="L516">
        <f t="shared" si="16"/>
        <v>0</v>
      </c>
      <c r="R516" s="16" t="s">
        <v>8064</v>
      </c>
      <c r="S516" s="16" t="s">
        <v>8064</v>
      </c>
      <c r="T516" t="s">
        <v>4867</v>
      </c>
      <c r="U516">
        <v>0</v>
      </c>
      <c r="V516" t="s">
        <v>8655</v>
      </c>
      <c r="X516" t="s">
        <v>8660</v>
      </c>
      <c r="Y516">
        <f t="shared" si="17"/>
        <v>0</v>
      </c>
    </row>
    <row r="517" spans="1:25" hidden="1">
      <c r="A517" t="s">
        <v>1672</v>
      </c>
      <c r="B517" t="s">
        <v>4713</v>
      </c>
      <c r="C517">
        <v>1270</v>
      </c>
      <c r="D517">
        <v>13</v>
      </c>
      <c r="E517" t="s">
        <v>1444</v>
      </c>
      <c r="F517" t="s">
        <v>4732</v>
      </c>
      <c r="H517" t="s">
        <v>1485</v>
      </c>
      <c r="J517" t="s">
        <v>8668</v>
      </c>
      <c r="L517">
        <f t="shared" si="16"/>
        <v>0</v>
      </c>
      <c r="R517" s="16" t="s">
        <v>8064</v>
      </c>
      <c r="S517" s="16" t="s">
        <v>8064</v>
      </c>
      <c r="T517" t="s">
        <v>1672</v>
      </c>
      <c r="U517">
        <v>0</v>
      </c>
      <c r="V517" t="s">
        <v>8655</v>
      </c>
      <c r="X517" t="s">
        <v>8660</v>
      </c>
      <c r="Y517">
        <f t="shared" si="17"/>
        <v>0</v>
      </c>
    </row>
    <row r="518" spans="1:25" hidden="1">
      <c r="A518" t="s">
        <v>1673</v>
      </c>
      <c r="B518" t="s">
        <v>4713</v>
      </c>
      <c r="C518">
        <v>1270</v>
      </c>
      <c r="D518">
        <v>13</v>
      </c>
      <c r="E518" t="s">
        <v>1444</v>
      </c>
      <c r="F518" t="s">
        <v>4732</v>
      </c>
      <c r="H518" t="s">
        <v>1486</v>
      </c>
      <c r="J518" t="s">
        <v>8668</v>
      </c>
      <c r="L518">
        <f t="shared" si="16"/>
        <v>0</v>
      </c>
      <c r="R518" s="16" t="s">
        <v>8064</v>
      </c>
      <c r="S518" s="16" t="s">
        <v>8064</v>
      </c>
      <c r="T518" t="s">
        <v>1673</v>
      </c>
      <c r="U518">
        <v>0</v>
      </c>
      <c r="V518" t="s">
        <v>8655</v>
      </c>
      <c r="X518" t="s">
        <v>8660</v>
      </c>
      <c r="Y518">
        <f t="shared" si="17"/>
        <v>0</v>
      </c>
    </row>
    <row r="519" spans="1:25" hidden="1">
      <c r="A519" t="s">
        <v>2083</v>
      </c>
      <c r="B519" t="s">
        <v>4713</v>
      </c>
      <c r="C519">
        <v>1270</v>
      </c>
      <c r="D519">
        <v>13</v>
      </c>
      <c r="E519" t="s">
        <v>1444</v>
      </c>
      <c r="F519" t="s">
        <v>4732</v>
      </c>
      <c r="H519" t="s">
        <v>1486</v>
      </c>
      <c r="J519" t="s">
        <v>8668</v>
      </c>
      <c r="L519">
        <f t="shared" si="16"/>
        <v>0</v>
      </c>
      <c r="R519" s="16" t="s">
        <v>8064</v>
      </c>
      <c r="S519" s="16" t="s">
        <v>8064</v>
      </c>
      <c r="T519" t="s">
        <v>7965</v>
      </c>
      <c r="U519">
        <v>0</v>
      </c>
      <c r="V519" t="s">
        <v>8655</v>
      </c>
      <c r="X519" t="s">
        <v>8660</v>
      </c>
      <c r="Y519">
        <f t="shared" si="17"/>
        <v>0</v>
      </c>
    </row>
    <row r="520" spans="1:25" hidden="1">
      <c r="A520" t="s">
        <v>2085</v>
      </c>
      <c r="B520" t="s">
        <v>4582</v>
      </c>
      <c r="C520">
        <v>1272</v>
      </c>
      <c r="D520">
        <v>13</v>
      </c>
      <c r="E520" t="s">
        <v>1444</v>
      </c>
      <c r="F520" t="s">
        <v>4732</v>
      </c>
      <c r="H520" t="s">
        <v>1487</v>
      </c>
      <c r="J520" t="s">
        <v>8668</v>
      </c>
      <c r="L520">
        <f t="shared" si="16"/>
        <v>0</v>
      </c>
      <c r="R520" s="16" t="s">
        <v>8064</v>
      </c>
      <c r="S520" s="16" t="s">
        <v>8064</v>
      </c>
      <c r="T520" t="s">
        <v>7967</v>
      </c>
      <c r="U520">
        <v>0</v>
      </c>
      <c r="V520" t="s">
        <v>8655</v>
      </c>
      <c r="X520" t="s">
        <v>8660</v>
      </c>
      <c r="Y520">
        <f t="shared" si="17"/>
        <v>0</v>
      </c>
    </row>
    <row r="521" spans="1:25" hidden="1">
      <c r="A521" t="s">
        <v>1674</v>
      </c>
      <c r="B521" t="s">
        <v>4585</v>
      </c>
      <c r="C521">
        <v>1288</v>
      </c>
      <c r="D521">
        <v>13</v>
      </c>
      <c r="E521" t="s">
        <v>1444</v>
      </c>
      <c r="F521" t="s">
        <v>4732</v>
      </c>
      <c r="H521" t="s">
        <v>1487</v>
      </c>
      <c r="J521" t="s">
        <v>8668</v>
      </c>
      <c r="L521">
        <f t="shared" si="16"/>
        <v>0</v>
      </c>
      <c r="R521" s="16" t="s">
        <v>8064</v>
      </c>
      <c r="S521" s="16" t="s">
        <v>8064</v>
      </c>
      <c r="T521" t="s">
        <v>1674</v>
      </c>
      <c r="U521">
        <v>0</v>
      </c>
      <c r="V521" t="s">
        <v>8655</v>
      </c>
      <c r="X521" t="s">
        <v>8660</v>
      </c>
      <c r="Y521">
        <f t="shared" si="17"/>
        <v>0</v>
      </c>
    </row>
    <row r="522" spans="1:25" hidden="1">
      <c r="A522" t="s">
        <v>1676</v>
      </c>
      <c r="B522" t="s">
        <v>4587</v>
      </c>
      <c r="C522">
        <v>1280</v>
      </c>
      <c r="D522">
        <v>13</v>
      </c>
      <c r="E522" t="s">
        <v>1444</v>
      </c>
      <c r="F522" t="s">
        <v>4732</v>
      </c>
      <c r="H522" t="s">
        <v>1489</v>
      </c>
      <c r="J522" t="s">
        <v>8668</v>
      </c>
      <c r="L522">
        <f t="shared" si="16"/>
        <v>0</v>
      </c>
      <c r="R522" s="16" t="s">
        <v>8064</v>
      </c>
      <c r="S522" s="16" t="s">
        <v>8064</v>
      </c>
      <c r="T522" t="s">
        <v>1676</v>
      </c>
      <c r="U522">
        <v>0</v>
      </c>
      <c r="V522" t="s">
        <v>8655</v>
      </c>
      <c r="X522" t="s">
        <v>8660</v>
      </c>
      <c r="Y522">
        <f t="shared" si="17"/>
        <v>0</v>
      </c>
    </row>
    <row r="523" spans="1:25" hidden="1">
      <c r="A523" t="s">
        <v>1680</v>
      </c>
      <c r="B523" t="s">
        <v>4736</v>
      </c>
      <c r="C523">
        <v>1288</v>
      </c>
      <c r="D523">
        <v>13</v>
      </c>
      <c r="E523" t="s">
        <v>1444</v>
      </c>
      <c r="F523" t="s">
        <v>4732</v>
      </c>
      <c r="H523" t="s">
        <v>1489</v>
      </c>
      <c r="J523" t="s">
        <v>8668</v>
      </c>
      <c r="L523">
        <f t="shared" si="16"/>
        <v>0</v>
      </c>
      <c r="R523" s="16" t="s">
        <v>8064</v>
      </c>
      <c r="S523" s="16" t="s">
        <v>8064</v>
      </c>
      <c r="T523" t="s">
        <v>1680</v>
      </c>
      <c r="U523">
        <v>0</v>
      </c>
      <c r="V523" t="s">
        <v>8655</v>
      </c>
      <c r="X523" t="s">
        <v>8660</v>
      </c>
      <c r="Y523">
        <f t="shared" si="17"/>
        <v>0</v>
      </c>
    </row>
    <row r="524" spans="1:25" hidden="1">
      <c r="A524" t="s">
        <v>1683</v>
      </c>
      <c r="B524" t="s">
        <v>1359</v>
      </c>
      <c r="C524">
        <v>1216</v>
      </c>
      <c r="D524">
        <v>13</v>
      </c>
      <c r="E524" t="s">
        <v>1444</v>
      </c>
      <c r="F524" t="s">
        <v>4732</v>
      </c>
      <c r="H524" t="s">
        <v>1491</v>
      </c>
      <c r="J524" t="s">
        <v>8668</v>
      </c>
      <c r="L524">
        <f t="shared" si="16"/>
        <v>0</v>
      </c>
      <c r="R524" s="16" t="s">
        <v>8064</v>
      </c>
      <c r="S524" s="16" t="s">
        <v>8064</v>
      </c>
      <c r="T524" t="s">
        <v>1683</v>
      </c>
      <c r="U524">
        <v>0</v>
      </c>
      <c r="V524" t="s">
        <v>8655</v>
      </c>
      <c r="X524" t="s">
        <v>8660</v>
      </c>
      <c r="Y524">
        <f t="shared" si="17"/>
        <v>0</v>
      </c>
    </row>
    <row r="525" spans="1:25" hidden="1">
      <c r="A525" t="s">
        <v>1681</v>
      </c>
      <c r="B525" t="s">
        <v>4736</v>
      </c>
      <c r="C525">
        <v>1288</v>
      </c>
      <c r="D525">
        <v>13</v>
      </c>
      <c r="E525" t="s">
        <v>1444</v>
      </c>
      <c r="F525" t="s">
        <v>4732</v>
      </c>
      <c r="H525" t="s">
        <v>1491</v>
      </c>
      <c r="J525" t="s">
        <v>8668</v>
      </c>
      <c r="L525">
        <f t="shared" si="16"/>
        <v>0</v>
      </c>
      <c r="R525" s="16" t="s">
        <v>8064</v>
      </c>
      <c r="S525" s="16" t="s">
        <v>8064</v>
      </c>
      <c r="T525" t="s">
        <v>1681</v>
      </c>
      <c r="U525">
        <v>0</v>
      </c>
      <c r="V525" t="s">
        <v>8655</v>
      </c>
      <c r="X525" t="s">
        <v>8660</v>
      </c>
      <c r="Y525">
        <f t="shared" si="17"/>
        <v>0</v>
      </c>
    </row>
    <row r="526" spans="1:25" hidden="1">
      <c r="A526" t="s">
        <v>2087</v>
      </c>
      <c r="B526" t="s">
        <v>4590</v>
      </c>
      <c r="C526">
        <v>1283</v>
      </c>
      <c r="D526">
        <v>13</v>
      </c>
      <c r="E526" t="s">
        <v>1444</v>
      </c>
      <c r="F526" t="s">
        <v>4732</v>
      </c>
      <c r="H526" t="s">
        <v>1492</v>
      </c>
      <c r="J526" t="s">
        <v>8668</v>
      </c>
      <c r="L526">
        <f t="shared" si="16"/>
        <v>0</v>
      </c>
      <c r="R526" s="16" t="s">
        <v>8064</v>
      </c>
      <c r="S526" s="16" t="s">
        <v>8064</v>
      </c>
      <c r="T526" t="s">
        <v>7968</v>
      </c>
      <c r="U526">
        <v>0</v>
      </c>
      <c r="V526" t="s">
        <v>8655</v>
      </c>
      <c r="X526" t="s">
        <v>8660</v>
      </c>
      <c r="Y526">
        <f t="shared" si="17"/>
        <v>0</v>
      </c>
    </row>
    <row r="527" spans="1:25" hidden="1">
      <c r="A527" t="s">
        <v>1684</v>
      </c>
      <c r="B527" t="s">
        <v>4593</v>
      </c>
      <c r="C527">
        <v>1289</v>
      </c>
      <c r="D527">
        <v>13</v>
      </c>
      <c r="E527" t="s">
        <v>4502</v>
      </c>
      <c r="F527" t="s">
        <v>4732</v>
      </c>
      <c r="H527" t="s">
        <v>1492</v>
      </c>
      <c r="J527" t="s">
        <v>8668</v>
      </c>
      <c r="L527">
        <f t="shared" si="16"/>
        <v>1</v>
      </c>
      <c r="M527" t="s">
        <v>4502</v>
      </c>
      <c r="N527" t="s">
        <v>6456</v>
      </c>
      <c r="O527" t="s">
        <v>104</v>
      </c>
      <c r="P527">
        <v>23522</v>
      </c>
      <c r="Q527">
        <v>488566</v>
      </c>
      <c r="R527" s="16" t="s">
        <v>8364</v>
      </c>
      <c r="S527" s="16" t="s">
        <v>8069</v>
      </c>
      <c r="T527" t="s">
        <v>1684</v>
      </c>
      <c r="U527">
        <v>0</v>
      </c>
      <c r="V527" t="s">
        <v>8654</v>
      </c>
      <c r="W527" t="s">
        <v>104</v>
      </c>
      <c r="X527" t="s">
        <v>8660</v>
      </c>
      <c r="Y527">
        <f t="shared" si="17"/>
        <v>1</v>
      </c>
    </row>
    <row r="528" spans="1:25" hidden="1">
      <c r="A528" t="s">
        <v>1686</v>
      </c>
      <c r="B528" t="s">
        <v>4737</v>
      </c>
      <c r="C528">
        <v>1275</v>
      </c>
      <c r="D528">
        <v>13</v>
      </c>
      <c r="E528" t="s">
        <v>4374</v>
      </c>
      <c r="F528" t="s">
        <v>4732</v>
      </c>
      <c r="H528" t="s">
        <v>1493</v>
      </c>
      <c r="J528" t="s">
        <v>8668</v>
      </c>
      <c r="L528">
        <f t="shared" si="16"/>
        <v>1</v>
      </c>
      <c r="M528" t="s">
        <v>6377</v>
      </c>
      <c r="N528" t="s">
        <v>6378</v>
      </c>
      <c r="O528" t="s">
        <v>104</v>
      </c>
      <c r="P528">
        <v>25400</v>
      </c>
      <c r="Q528">
        <v>499370</v>
      </c>
      <c r="R528" s="16" t="s">
        <v>8577</v>
      </c>
      <c r="S528" s="16" t="s">
        <v>8282</v>
      </c>
      <c r="T528" t="s">
        <v>1686</v>
      </c>
      <c r="U528">
        <v>0</v>
      </c>
      <c r="V528" t="s">
        <v>8654</v>
      </c>
      <c r="W528" t="s">
        <v>104</v>
      </c>
      <c r="X528" t="s">
        <v>8660</v>
      </c>
      <c r="Y528">
        <f t="shared" si="17"/>
        <v>1</v>
      </c>
    </row>
    <row r="529" spans="1:25" hidden="1">
      <c r="A529" t="s">
        <v>1689</v>
      </c>
      <c r="B529" t="s">
        <v>1020</v>
      </c>
      <c r="C529">
        <v>1276</v>
      </c>
      <c r="D529">
        <v>13</v>
      </c>
      <c r="E529" t="s">
        <v>1444</v>
      </c>
      <c r="F529" t="s">
        <v>4732</v>
      </c>
      <c r="H529" t="s">
        <v>1493</v>
      </c>
      <c r="J529" t="s">
        <v>8668</v>
      </c>
      <c r="L529">
        <f t="shared" si="16"/>
        <v>0</v>
      </c>
      <c r="R529" s="16" t="s">
        <v>8064</v>
      </c>
      <c r="S529" s="16" t="s">
        <v>8064</v>
      </c>
      <c r="T529" t="s">
        <v>1689</v>
      </c>
      <c r="U529">
        <v>0</v>
      </c>
      <c r="V529" t="s">
        <v>8655</v>
      </c>
      <c r="X529" t="s">
        <v>8660</v>
      </c>
      <c r="Y529">
        <f t="shared" si="17"/>
        <v>0</v>
      </c>
    </row>
    <row r="530" spans="1:25" hidden="1">
      <c r="A530" t="s">
        <v>1690</v>
      </c>
      <c r="B530" t="s">
        <v>1026</v>
      </c>
      <c r="C530">
        <v>1278</v>
      </c>
      <c r="D530">
        <v>13</v>
      </c>
      <c r="E530" t="s">
        <v>4599</v>
      </c>
      <c r="F530" t="s">
        <v>4732</v>
      </c>
      <c r="H530" t="s">
        <v>1494</v>
      </c>
      <c r="J530" t="s">
        <v>8668</v>
      </c>
      <c r="L530">
        <f t="shared" si="16"/>
        <v>1</v>
      </c>
      <c r="M530" t="s">
        <v>4599</v>
      </c>
      <c r="N530" t="s">
        <v>6779</v>
      </c>
      <c r="O530" t="s">
        <v>104</v>
      </c>
      <c r="P530" t="s">
        <v>6659</v>
      </c>
      <c r="Q530" t="s">
        <v>6780</v>
      </c>
      <c r="R530" s="16" t="s">
        <v>8566</v>
      </c>
      <c r="S530" s="16" t="s">
        <v>8287</v>
      </c>
      <c r="T530" t="s">
        <v>1690</v>
      </c>
      <c r="U530">
        <v>0</v>
      </c>
      <c r="V530" t="s">
        <v>8654</v>
      </c>
      <c r="W530" t="s">
        <v>104</v>
      </c>
      <c r="X530" t="s">
        <v>8660</v>
      </c>
      <c r="Y530">
        <f t="shared" si="17"/>
        <v>1</v>
      </c>
    </row>
    <row r="531" spans="1:25" hidden="1">
      <c r="A531" t="s">
        <v>1691</v>
      </c>
      <c r="B531" t="s">
        <v>4738</v>
      </c>
      <c r="C531">
        <v>1280</v>
      </c>
      <c r="D531">
        <v>13</v>
      </c>
      <c r="E531" t="s">
        <v>1444</v>
      </c>
      <c r="F531" t="s">
        <v>4732</v>
      </c>
      <c r="H531" t="s">
        <v>1494</v>
      </c>
      <c r="J531" t="s">
        <v>8668</v>
      </c>
      <c r="L531">
        <f t="shared" si="16"/>
        <v>0</v>
      </c>
      <c r="R531" s="16" t="s">
        <v>8064</v>
      </c>
      <c r="S531" s="16" t="s">
        <v>8064</v>
      </c>
      <c r="T531" t="s">
        <v>1691</v>
      </c>
      <c r="U531">
        <v>0</v>
      </c>
      <c r="V531" t="s">
        <v>8655</v>
      </c>
      <c r="X531" t="s">
        <v>8660</v>
      </c>
      <c r="Y531">
        <f t="shared" si="17"/>
        <v>0</v>
      </c>
    </row>
    <row r="532" spans="1:25" hidden="1">
      <c r="A532" t="s">
        <v>4739</v>
      </c>
      <c r="B532" t="s">
        <v>778</v>
      </c>
      <c r="C532">
        <v>1286</v>
      </c>
      <c r="D532">
        <v>13</v>
      </c>
      <c r="E532" t="s">
        <v>1444</v>
      </c>
      <c r="F532" t="s">
        <v>4732</v>
      </c>
      <c r="H532" t="s">
        <v>1499</v>
      </c>
      <c r="J532" t="s">
        <v>8668</v>
      </c>
      <c r="L532">
        <f t="shared" si="16"/>
        <v>0</v>
      </c>
      <c r="R532" s="16" t="s">
        <v>8064</v>
      </c>
      <c r="S532" s="16" t="s">
        <v>8064</v>
      </c>
      <c r="T532" t="s">
        <v>7969</v>
      </c>
      <c r="U532">
        <v>0</v>
      </c>
      <c r="V532" t="s">
        <v>8655</v>
      </c>
      <c r="X532" t="s">
        <v>8660</v>
      </c>
      <c r="Y532">
        <f t="shared" si="17"/>
        <v>0</v>
      </c>
    </row>
    <row r="533" spans="1:25" hidden="1">
      <c r="A533" t="s">
        <v>2088</v>
      </c>
      <c r="B533" t="s">
        <v>4738</v>
      </c>
      <c r="C533">
        <v>1280</v>
      </c>
      <c r="D533">
        <v>13</v>
      </c>
      <c r="E533" t="s">
        <v>4502</v>
      </c>
      <c r="F533" t="s">
        <v>4732</v>
      </c>
      <c r="H533" t="s">
        <v>1495</v>
      </c>
      <c r="J533" t="s">
        <v>8668</v>
      </c>
      <c r="L533">
        <f t="shared" si="16"/>
        <v>1</v>
      </c>
      <c r="M533" t="s">
        <v>4502</v>
      </c>
      <c r="N533" t="s">
        <v>6456</v>
      </c>
      <c r="O533" t="s">
        <v>104</v>
      </c>
      <c r="P533">
        <v>23522</v>
      </c>
      <c r="Q533">
        <v>488566</v>
      </c>
      <c r="R533" s="16" t="s">
        <v>8364</v>
      </c>
      <c r="S533" s="16" t="s">
        <v>8069</v>
      </c>
      <c r="T533" t="s">
        <v>7954</v>
      </c>
      <c r="U533">
        <v>0</v>
      </c>
      <c r="V533" t="s">
        <v>8654</v>
      </c>
      <c r="W533" t="s">
        <v>104</v>
      </c>
      <c r="X533" t="s">
        <v>8660</v>
      </c>
      <c r="Y533">
        <f t="shared" si="17"/>
        <v>1</v>
      </c>
    </row>
    <row r="534" spans="1:25" hidden="1">
      <c r="A534" t="s">
        <v>1694</v>
      </c>
      <c r="B534" t="s">
        <v>4715</v>
      </c>
      <c r="C534">
        <v>1282</v>
      </c>
      <c r="D534">
        <v>13</v>
      </c>
      <c r="E534" t="s">
        <v>1444</v>
      </c>
      <c r="F534" t="s">
        <v>4732</v>
      </c>
      <c r="H534" t="s">
        <v>1496</v>
      </c>
      <c r="J534" t="s">
        <v>8668</v>
      </c>
      <c r="L534">
        <f t="shared" si="16"/>
        <v>0</v>
      </c>
      <c r="R534" s="16" t="s">
        <v>8064</v>
      </c>
      <c r="S534" s="16" t="s">
        <v>8064</v>
      </c>
      <c r="T534" t="s">
        <v>1694</v>
      </c>
      <c r="U534">
        <v>0</v>
      </c>
      <c r="V534" t="s">
        <v>8655</v>
      </c>
      <c r="X534" t="s">
        <v>8660</v>
      </c>
      <c r="Y534">
        <f t="shared" si="17"/>
        <v>0</v>
      </c>
    </row>
    <row r="535" spans="1:25" hidden="1">
      <c r="A535" t="s">
        <v>1693</v>
      </c>
      <c r="B535" t="s">
        <v>4740</v>
      </c>
      <c r="C535">
        <v>1293</v>
      </c>
      <c r="D535">
        <v>13</v>
      </c>
      <c r="E535" t="s">
        <v>1444</v>
      </c>
      <c r="F535" t="s">
        <v>4732</v>
      </c>
      <c r="H535" t="s">
        <v>1496</v>
      </c>
      <c r="J535" t="s">
        <v>8668</v>
      </c>
      <c r="L535">
        <f t="shared" si="16"/>
        <v>0</v>
      </c>
      <c r="R535" s="16" t="s">
        <v>8064</v>
      </c>
      <c r="S535" s="16" t="s">
        <v>8064</v>
      </c>
      <c r="T535" t="s">
        <v>1693</v>
      </c>
      <c r="U535">
        <v>0</v>
      </c>
      <c r="V535" t="s">
        <v>8655</v>
      </c>
      <c r="X535" t="s">
        <v>8660</v>
      </c>
      <c r="Y535">
        <f t="shared" si="17"/>
        <v>0</v>
      </c>
    </row>
    <row r="536" spans="1:25" hidden="1">
      <c r="A536" t="s">
        <v>1697</v>
      </c>
      <c r="B536" t="s">
        <v>4730</v>
      </c>
      <c r="C536">
        <v>1283</v>
      </c>
      <c r="D536">
        <v>13</v>
      </c>
      <c r="E536" t="s">
        <v>1444</v>
      </c>
      <c r="F536" t="s">
        <v>4732</v>
      </c>
      <c r="H536" t="s">
        <v>1498</v>
      </c>
      <c r="J536" t="s">
        <v>8668</v>
      </c>
      <c r="L536">
        <f t="shared" si="16"/>
        <v>0</v>
      </c>
      <c r="R536" s="16" t="s">
        <v>8064</v>
      </c>
      <c r="S536" s="16" t="s">
        <v>8064</v>
      </c>
      <c r="T536" t="s">
        <v>1697</v>
      </c>
      <c r="U536">
        <v>0</v>
      </c>
      <c r="V536" t="s">
        <v>8655</v>
      </c>
      <c r="X536" t="s">
        <v>8660</v>
      </c>
      <c r="Y536">
        <f t="shared" si="17"/>
        <v>0</v>
      </c>
    </row>
    <row r="537" spans="1:25" hidden="1">
      <c r="A537" t="s">
        <v>1700</v>
      </c>
      <c r="B537" t="s">
        <v>4741</v>
      </c>
      <c r="C537">
        <v>1284</v>
      </c>
      <c r="D537">
        <v>13</v>
      </c>
      <c r="E537" t="s">
        <v>4357</v>
      </c>
      <c r="F537" t="s">
        <v>4732</v>
      </c>
      <c r="H537" t="s">
        <v>1498</v>
      </c>
      <c r="J537" t="s">
        <v>8668</v>
      </c>
      <c r="L537">
        <f t="shared" si="16"/>
        <v>1</v>
      </c>
      <c r="M537" t="s">
        <v>6437</v>
      </c>
      <c r="N537" t="s">
        <v>6438</v>
      </c>
      <c r="O537" t="s">
        <v>104</v>
      </c>
      <c r="P537">
        <v>12610</v>
      </c>
      <c r="Q537">
        <v>458330</v>
      </c>
      <c r="R537" s="16" t="s">
        <v>8559</v>
      </c>
      <c r="S537" s="16" t="s">
        <v>8264</v>
      </c>
      <c r="T537" t="s">
        <v>1700</v>
      </c>
      <c r="U537">
        <v>0</v>
      </c>
      <c r="V537" t="s">
        <v>8654</v>
      </c>
      <c r="W537" t="s">
        <v>104</v>
      </c>
      <c r="X537" t="s">
        <v>8660</v>
      </c>
      <c r="Y537">
        <f t="shared" si="17"/>
        <v>1</v>
      </c>
    </row>
    <row r="538" spans="1:25" hidden="1">
      <c r="A538" t="s">
        <v>2092</v>
      </c>
      <c r="B538" t="s">
        <v>4742</v>
      </c>
      <c r="C538">
        <v>1285</v>
      </c>
      <c r="D538">
        <v>13</v>
      </c>
      <c r="E538" t="s">
        <v>1444</v>
      </c>
      <c r="F538" t="s">
        <v>4732</v>
      </c>
      <c r="H538" t="s">
        <v>1497</v>
      </c>
      <c r="J538" t="s">
        <v>8668</v>
      </c>
      <c r="L538">
        <f t="shared" si="16"/>
        <v>0</v>
      </c>
      <c r="R538" s="16" t="s">
        <v>8064</v>
      </c>
      <c r="S538" s="16" t="s">
        <v>8064</v>
      </c>
      <c r="T538" t="s">
        <v>7963</v>
      </c>
      <c r="U538">
        <v>0</v>
      </c>
      <c r="V538" t="s">
        <v>8655</v>
      </c>
      <c r="X538" t="s">
        <v>8660</v>
      </c>
      <c r="Y538">
        <f t="shared" si="17"/>
        <v>0</v>
      </c>
    </row>
    <row r="539" spans="1:25" hidden="1">
      <c r="A539" t="s">
        <v>1695</v>
      </c>
      <c r="B539" t="s">
        <v>4605</v>
      </c>
      <c r="C539">
        <v>1294</v>
      </c>
      <c r="D539">
        <v>13</v>
      </c>
      <c r="E539" t="s">
        <v>1444</v>
      </c>
      <c r="F539" t="s">
        <v>4732</v>
      </c>
      <c r="H539" t="s">
        <v>1497</v>
      </c>
      <c r="J539" t="s">
        <v>8668</v>
      </c>
      <c r="L539">
        <f t="shared" si="16"/>
        <v>0</v>
      </c>
      <c r="R539" s="16" t="s">
        <v>8064</v>
      </c>
      <c r="S539" s="16" t="s">
        <v>8064</v>
      </c>
      <c r="T539" t="s">
        <v>1695</v>
      </c>
      <c r="U539">
        <v>0</v>
      </c>
      <c r="V539" t="s">
        <v>8655</v>
      </c>
      <c r="X539" t="s">
        <v>8660</v>
      </c>
      <c r="Y539">
        <f t="shared" si="17"/>
        <v>0</v>
      </c>
    </row>
    <row r="540" spans="1:25" hidden="1">
      <c r="A540" t="s">
        <v>1705</v>
      </c>
      <c r="B540" t="s">
        <v>4618</v>
      </c>
      <c r="C540">
        <v>1296</v>
      </c>
      <c r="D540">
        <v>13</v>
      </c>
      <c r="E540" t="s">
        <v>1444</v>
      </c>
      <c r="F540" t="s">
        <v>4732</v>
      </c>
      <c r="H540" t="s">
        <v>1500</v>
      </c>
      <c r="J540" t="s">
        <v>8668</v>
      </c>
      <c r="L540">
        <f t="shared" si="16"/>
        <v>0</v>
      </c>
      <c r="R540" s="16" t="s">
        <v>8064</v>
      </c>
      <c r="S540" s="16" t="s">
        <v>8064</v>
      </c>
      <c r="T540" t="s">
        <v>1705</v>
      </c>
      <c r="U540">
        <v>0</v>
      </c>
      <c r="V540" t="s">
        <v>8655</v>
      </c>
      <c r="X540" t="s">
        <v>8660</v>
      </c>
      <c r="Y540">
        <f t="shared" si="17"/>
        <v>0</v>
      </c>
    </row>
    <row r="541" spans="1:25" hidden="1">
      <c r="A541" t="s">
        <v>1703</v>
      </c>
      <c r="B541" t="s">
        <v>4615</v>
      </c>
      <c r="C541">
        <v>1296</v>
      </c>
      <c r="D541">
        <v>13</v>
      </c>
      <c r="E541" t="s">
        <v>1444</v>
      </c>
      <c r="F541" t="s">
        <v>4732</v>
      </c>
      <c r="H541" t="s">
        <v>1500</v>
      </c>
      <c r="J541" t="s">
        <v>8668</v>
      </c>
      <c r="L541">
        <f t="shared" si="16"/>
        <v>0</v>
      </c>
      <c r="R541" s="16" t="s">
        <v>8064</v>
      </c>
      <c r="S541" s="16" t="s">
        <v>8064</v>
      </c>
      <c r="T541" t="s">
        <v>1703</v>
      </c>
      <c r="U541">
        <v>0</v>
      </c>
      <c r="V541" t="s">
        <v>8655</v>
      </c>
      <c r="X541" t="s">
        <v>8660</v>
      </c>
      <c r="Y541">
        <f t="shared" si="17"/>
        <v>0</v>
      </c>
    </row>
    <row r="542" spans="1:25" hidden="1">
      <c r="A542" t="s">
        <v>2093</v>
      </c>
      <c r="B542" t="s">
        <v>4618</v>
      </c>
      <c r="C542">
        <v>1296</v>
      </c>
      <c r="D542">
        <v>13</v>
      </c>
      <c r="E542" t="s">
        <v>1444</v>
      </c>
      <c r="F542" t="s">
        <v>4732</v>
      </c>
      <c r="H542" t="s">
        <v>1501</v>
      </c>
      <c r="J542" t="s">
        <v>8668</v>
      </c>
      <c r="L542">
        <f t="shared" si="16"/>
        <v>0</v>
      </c>
      <c r="R542" s="16" t="s">
        <v>8064</v>
      </c>
      <c r="S542" s="16" t="s">
        <v>8064</v>
      </c>
      <c r="T542" t="s">
        <v>7951</v>
      </c>
      <c r="U542">
        <v>0</v>
      </c>
      <c r="V542" t="s">
        <v>8655</v>
      </c>
      <c r="X542" t="s">
        <v>8660</v>
      </c>
      <c r="Y542">
        <f t="shared" si="17"/>
        <v>0</v>
      </c>
    </row>
    <row r="543" spans="1:25" hidden="1">
      <c r="A543" t="s">
        <v>1710</v>
      </c>
      <c r="B543" t="s">
        <v>4625</v>
      </c>
      <c r="C543">
        <v>1298</v>
      </c>
      <c r="D543">
        <v>13</v>
      </c>
      <c r="E543" t="s">
        <v>1444</v>
      </c>
      <c r="F543" t="s">
        <v>4732</v>
      </c>
      <c r="H543" t="s">
        <v>1501</v>
      </c>
      <c r="J543" t="s">
        <v>8668</v>
      </c>
      <c r="L543">
        <f t="shared" si="16"/>
        <v>0</v>
      </c>
      <c r="R543" s="16" t="s">
        <v>8064</v>
      </c>
      <c r="S543" s="16" t="s">
        <v>8064</v>
      </c>
      <c r="T543" t="s">
        <v>1710</v>
      </c>
      <c r="U543">
        <v>0</v>
      </c>
      <c r="V543" t="s">
        <v>8655</v>
      </c>
      <c r="X543" t="s">
        <v>8660</v>
      </c>
      <c r="Y543">
        <f t="shared" si="17"/>
        <v>0</v>
      </c>
    </row>
    <row r="544" spans="1:25" hidden="1">
      <c r="A544" t="s">
        <v>1706</v>
      </c>
      <c r="B544" t="s">
        <v>4717</v>
      </c>
      <c r="C544">
        <v>1289</v>
      </c>
      <c r="D544">
        <v>13</v>
      </c>
      <c r="E544" t="s">
        <v>1444</v>
      </c>
      <c r="F544" t="s">
        <v>4732</v>
      </c>
      <c r="H544" t="s">
        <v>1502</v>
      </c>
      <c r="J544" t="s">
        <v>8811</v>
      </c>
      <c r="L544">
        <f t="shared" si="16"/>
        <v>0</v>
      </c>
      <c r="R544" s="16" t="s">
        <v>8064</v>
      </c>
      <c r="S544" s="16" t="s">
        <v>8064</v>
      </c>
      <c r="T544" t="s">
        <v>1706</v>
      </c>
      <c r="U544">
        <v>1</v>
      </c>
      <c r="V544" t="s">
        <v>8655</v>
      </c>
      <c r="X544" t="s">
        <v>8660</v>
      </c>
      <c r="Y544">
        <f t="shared" si="17"/>
        <v>0</v>
      </c>
    </row>
    <row r="545" spans="1:25" hidden="1">
      <c r="A545" t="s">
        <v>1709</v>
      </c>
      <c r="B545" t="s">
        <v>4743</v>
      </c>
      <c r="C545">
        <v>1291</v>
      </c>
      <c r="D545">
        <v>13</v>
      </c>
      <c r="E545" t="s">
        <v>4624</v>
      </c>
      <c r="F545" t="s">
        <v>4732</v>
      </c>
      <c r="H545" t="s">
        <v>1502</v>
      </c>
      <c r="J545" t="s">
        <v>8668</v>
      </c>
      <c r="L545">
        <f t="shared" si="16"/>
        <v>1</v>
      </c>
      <c r="M545" t="s">
        <v>7027</v>
      </c>
      <c r="N545" t="s">
        <v>7028</v>
      </c>
      <c r="O545" t="s">
        <v>6973</v>
      </c>
      <c r="P545">
        <v>36597</v>
      </c>
      <c r="Q545">
        <v>476425</v>
      </c>
      <c r="R545" s="16" t="s">
        <v>8589</v>
      </c>
      <c r="S545" s="16" t="s">
        <v>8294</v>
      </c>
      <c r="T545" t="s">
        <v>1709</v>
      </c>
      <c r="U545">
        <v>0</v>
      </c>
      <c r="V545" t="s">
        <v>8654</v>
      </c>
      <c r="W545" t="s">
        <v>6973</v>
      </c>
      <c r="X545" t="s">
        <v>8660</v>
      </c>
      <c r="Y545">
        <f t="shared" si="17"/>
        <v>1</v>
      </c>
    </row>
    <row r="546" spans="1:25" hidden="1">
      <c r="A546" t="s">
        <v>1708</v>
      </c>
      <c r="B546" t="s">
        <v>4872</v>
      </c>
      <c r="C546">
        <v>1298</v>
      </c>
      <c r="D546">
        <v>13</v>
      </c>
      <c r="E546" t="s">
        <v>1444</v>
      </c>
      <c r="F546" t="s">
        <v>4690</v>
      </c>
      <c r="H546" t="s">
        <v>1503</v>
      </c>
      <c r="J546" t="s">
        <v>8668</v>
      </c>
      <c r="L546">
        <f t="shared" si="16"/>
        <v>0</v>
      </c>
      <c r="R546" s="16" t="s">
        <v>8064</v>
      </c>
      <c r="S546" s="16" t="s">
        <v>8064</v>
      </c>
      <c r="T546" t="s">
        <v>1708</v>
      </c>
      <c r="U546">
        <v>0</v>
      </c>
      <c r="V546" t="s">
        <v>8655</v>
      </c>
      <c r="X546" t="s">
        <v>8660</v>
      </c>
      <c r="Y546">
        <f t="shared" si="17"/>
        <v>0</v>
      </c>
    </row>
    <row r="547" spans="1:25" hidden="1">
      <c r="A547" t="s">
        <v>1712</v>
      </c>
      <c r="B547" t="s">
        <v>4744</v>
      </c>
      <c r="C547">
        <v>1293</v>
      </c>
      <c r="D547">
        <v>13</v>
      </c>
      <c r="E547" t="s">
        <v>1444</v>
      </c>
      <c r="F547" t="s">
        <v>4732</v>
      </c>
      <c r="H547" t="s">
        <v>1503</v>
      </c>
      <c r="J547" t="s">
        <v>8668</v>
      </c>
      <c r="L547">
        <f t="shared" si="16"/>
        <v>0</v>
      </c>
      <c r="R547" s="16" t="s">
        <v>8064</v>
      </c>
      <c r="S547" s="16" t="s">
        <v>8064</v>
      </c>
      <c r="T547" t="s">
        <v>1712</v>
      </c>
      <c r="U547">
        <v>0</v>
      </c>
      <c r="V547" t="s">
        <v>8655</v>
      </c>
      <c r="X547" t="s">
        <v>8660</v>
      </c>
      <c r="Y547">
        <f t="shared" si="17"/>
        <v>0</v>
      </c>
    </row>
    <row r="548" spans="1:25" hidden="1">
      <c r="A548" t="s">
        <v>2096</v>
      </c>
      <c r="B548" t="s">
        <v>4745</v>
      </c>
      <c r="C548">
        <v>1294</v>
      </c>
      <c r="D548">
        <v>13</v>
      </c>
      <c r="E548" t="s">
        <v>1444</v>
      </c>
      <c r="F548" t="s">
        <v>4732</v>
      </c>
      <c r="H548" t="s">
        <v>1504</v>
      </c>
      <c r="J548" t="s">
        <v>8668</v>
      </c>
      <c r="L548">
        <f t="shared" si="16"/>
        <v>0</v>
      </c>
      <c r="R548" s="16" t="s">
        <v>8064</v>
      </c>
      <c r="S548" s="16" t="s">
        <v>8064</v>
      </c>
      <c r="T548" t="s">
        <v>7964</v>
      </c>
      <c r="U548">
        <v>0</v>
      </c>
      <c r="V548" t="s">
        <v>8655</v>
      </c>
      <c r="X548" t="s">
        <v>8660</v>
      </c>
      <c r="Y548">
        <f t="shared" si="17"/>
        <v>0</v>
      </c>
    </row>
    <row r="549" spans="1:25" hidden="1">
      <c r="A549" t="s">
        <v>1716</v>
      </c>
      <c r="B549" t="s">
        <v>4630</v>
      </c>
      <c r="C549">
        <v>1299</v>
      </c>
      <c r="D549">
        <v>13</v>
      </c>
      <c r="E549" t="s">
        <v>1444</v>
      </c>
      <c r="F549" t="s">
        <v>4732</v>
      </c>
      <c r="H549" t="s">
        <v>1504</v>
      </c>
      <c r="J549" t="s">
        <v>8668</v>
      </c>
      <c r="L549">
        <f t="shared" si="16"/>
        <v>0</v>
      </c>
      <c r="R549" s="16" t="s">
        <v>8064</v>
      </c>
      <c r="S549" s="16" t="s">
        <v>8064</v>
      </c>
      <c r="T549" t="s">
        <v>1716</v>
      </c>
      <c r="U549">
        <v>0</v>
      </c>
      <c r="V549" t="s">
        <v>8655</v>
      </c>
      <c r="X549" t="s">
        <v>8660</v>
      </c>
      <c r="Y549">
        <f t="shared" si="17"/>
        <v>0</v>
      </c>
    </row>
    <row r="550" spans="1:25" hidden="1">
      <c r="A550" t="s">
        <v>4879</v>
      </c>
      <c r="B550">
        <v>1299</v>
      </c>
      <c r="C550">
        <v>1299</v>
      </c>
      <c r="D550">
        <v>13</v>
      </c>
      <c r="E550" t="s">
        <v>1444</v>
      </c>
      <c r="F550" t="s">
        <v>4690</v>
      </c>
      <c r="H550" t="s">
        <v>4878</v>
      </c>
      <c r="J550" s="5" t="s">
        <v>8810</v>
      </c>
      <c r="L550">
        <f t="shared" si="16"/>
        <v>0</v>
      </c>
      <c r="R550" s="16" t="s">
        <v>8064</v>
      </c>
      <c r="S550" s="16" t="s">
        <v>8064</v>
      </c>
      <c r="T550" t="s">
        <v>4879</v>
      </c>
      <c r="U550">
        <v>1</v>
      </c>
      <c r="V550" t="s">
        <v>8655</v>
      </c>
      <c r="X550" t="s">
        <v>8660</v>
      </c>
      <c r="Y550">
        <f t="shared" si="17"/>
        <v>0</v>
      </c>
    </row>
    <row r="551" spans="1:25" hidden="1">
      <c r="A551" t="s">
        <v>4882</v>
      </c>
      <c r="B551" t="s">
        <v>4632</v>
      </c>
      <c r="C551">
        <v>1300</v>
      </c>
      <c r="D551">
        <v>13</v>
      </c>
      <c r="E551" t="s">
        <v>1444</v>
      </c>
      <c r="F551" t="s">
        <v>4690</v>
      </c>
      <c r="H551" t="s">
        <v>4881</v>
      </c>
      <c r="J551" t="s">
        <v>8668</v>
      </c>
      <c r="L551">
        <f t="shared" si="16"/>
        <v>0</v>
      </c>
      <c r="R551" s="16" t="s">
        <v>8064</v>
      </c>
      <c r="S551" s="16" t="s">
        <v>8064</v>
      </c>
      <c r="T551" t="s">
        <v>4882</v>
      </c>
      <c r="U551">
        <v>0</v>
      </c>
      <c r="V551" t="s">
        <v>8655</v>
      </c>
      <c r="X551" t="s">
        <v>8660</v>
      </c>
      <c r="Y551">
        <f t="shared" si="17"/>
        <v>0</v>
      </c>
    </row>
    <row r="552" spans="1:25" hidden="1">
      <c r="A552" t="s">
        <v>1719</v>
      </c>
      <c r="B552" t="s">
        <v>4718</v>
      </c>
      <c r="C552">
        <v>1296</v>
      </c>
      <c r="D552">
        <v>13</v>
      </c>
      <c r="E552" t="s">
        <v>4550</v>
      </c>
      <c r="F552" t="s">
        <v>4732</v>
      </c>
      <c r="H552" t="s">
        <v>1505</v>
      </c>
      <c r="J552" t="s">
        <v>9011</v>
      </c>
      <c r="L552">
        <f t="shared" si="16"/>
        <v>1</v>
      </c>
      <c r="M552" t="s">
        <v>4550</v>
      </c>
      <c r="N552" t="s">
        <v>6345</v>
      </c>
      <c r="O552" t="s">
        <v>104</v>
      </c>
      <c r="P552">
        <v>14440</v>
      </c>
      <c r="Q552">
        <v>436040</v>
      </c>
      <c r="R552" s="16" t="s">
        <v>8474</v>
      </c>
      <c r="S552" s="16" t="s">
        <v>8178</v>
      </c>
      <c r="T552" t="s">
        <v>1719</v>
      </c>
      <c r="U552">
        <v>1</v>
      </c>
      <c r="V552" t="s">
        <v>8656</v>
      </c>
      <c r="W552" t="s">
        <v>104</v>
      </c>
      <c r="X552" t="s">
        <v>8660</v>
      </c>
      <c r="Y552">
        <f t="shared" si="17"/>
        <v>1</v>
      </c>
    </row>
    <row r="553" spans="1:25" hidden="1">
      <c r="A553" t="s">
        <v>1718</v>
      </c>
      <c r="B553" t="s">
        <v>4746</v>
      </c>
      <c r="C553">
        <v>1300</v>
      </c>
      <c r="D553">
        <v>13</v>
      </c>
      <c r="E553" t="s">
        <v>1444</v>
      </c>
      <c r="F553" t="s">
        <v>4732</v>
      </c>
      <c r="H553" t="s">
        <v>1505</v>
      </c>
      <c r="J553" t="s">
        <v>8668</v>
      </c>
      <c r="L553">
        <f t="shared" si="16"/>
        <v>0</v>
      </c>
      <c r="R553" s="16" t="s">
        <v>8064</v>
      </c>
      <c r="S553" s="16" t="s">
        <v>8064</v>
      </c>
      <c r="T553" t="s">
        <v>1718</v>
      </c>
      <c r="U553">
        <v>0</v>
      </c>
      <c r="V553" t="s">
        <v>8655</v>
      </c>
      <c r="X553" t="s">
        <v>8660</v>
      </c>
      <c r="Y553">
        <f t="shared" si="17"/>
        <v>0</v>
      </c>
    </row>
    <row r="554" spans="1:25" hidden="1">
      <c r="A554" t="s">
        <v>1720</v>
      </c>
      <c r="B554" t="s">
        <v>1360</v>
      </c>
      <c r="C554">
        <v>1296</v>
      </c>
      <c r="D554">
        <v>13</v>
      </c>
      <c r="E554" t="s">
        <v>1444</v>
      </c>
      <c r="F554" t="s">
        <v>4732</v>
      </c>
      <c r="H554" t="s">
        <v>1506</v>
      </c>
      <c r="J554" t="s">
        <v>8668</v>
      </c>
      <c r="L554">
        <f t="shared" si="16"/>
        <v>0</v>
      </c>
      <c r="R554" s="16" t="s">
        <v>8064</v>
      </c>
      <c r="S554" s="16" t="s">
        <v>8064</v>
      </c>
      <c r="T554" t="s">
        <v>1720</v>
      </c>
      <c r="U554">
        <v>0</v>
      </c>
      <c r="V554" t="s">
        <v>8655</v>
      </c>
      <c r="X554" t="s">
        <v>8660</v>
      </c>
      <c r="Y554">
        <f t="shared" si="17"/>
        <v>0</v>
      </c>
    </row>
    <row r="555" spans="1:25" hidden="1">
      <c r="A555" t="s">
        <v>2099</v>
      </c>
      <c r="B555" t="s">
        <v>1044</v>
      </c>
      <c r="C555">
        <v>1298</v>
      </c>
      <c r="D555">
        <v>13</v>
      </c>
      <c r="E555" t="s">
        <v>4641</v>
      </c>
      <c r="F555" t="s">
        <v>4732</v>
      </c>
      <c r="H555" t="s">
        <v>1507</v>
      </c>
      <c r="J555" t="s">
        <v>8668</v>
      </c>
      <c r="L555">
        <f t="shared" si="16"/>
        <v>1</v>
      </c>
      <c r="M555" t="s">
        <v>4641</v>
      </c>
      <c r="N555" t="s">
        <v>6322</v>
      </c>
      <c r="O555" t="s">
        <v>104</v>
      </c>
      <c r="P555" t="s">
        <v>6323</v>
      </c>
      <c r="Q555">
        <v>495420</v>
      </c>
      <c r="R555" s="16" t="s">
        <v>8590</v>
      </c>
      <c r="S555" s="16" t="s">
        <v>8295</v>
      </c>
      <c r="T555" t="s">
        <v>7962</v>
      </c>
      <c r="U555">
        <v>0</v>
      </c>
      <c r="V555" t="s">
        <v>8654</v>
      </c>
      <c r="W555" t="s">
        <v>104</v>
      </c>
      <c r="X555" t="s">
        <v>8660</v>
      </c>
      <c r="Y555">
        <f t="shared" si="17"/>
        <v>1</v>
      </c>
    </row>
    <row r="556" spans="1:25" hidden="1">
      <c r="A556" t="s">
        <v>1723</v>
      </c>
      <c r="B556" t="s">
        <v>1047</v>
      </c>
      <c r="C556">
        <v>1299</v>
      </c>
      <c r="D556">
        <v>13</v>
      </c>
      <c r="E556" t="s">
        <v>4645</v>
      </c>
      <c r="F556" t="s">
        <v>4732</v>
      </c>
      <c r="H556" t="s">
        <v>1507</v>
      </c>
      <c r="J556" t="s">
        <v>8668</v>
      </c>
      <c r="L556">
        <f t="shared" si="16"/>
        <v>1</v>
      </c>
      <c r="M556" t="s">
        <v>6558</v>
      </c>
      <c r="N556" t="s">
        <v>6559</v>
      </c>
      <c r="O556" t="s">
        <v>104</v>
      </c>
      <c r="P556" t="s">
        <v>6560</v>
      </c>
      <c r="Q556" t="s">
        <v>6561</v>
      </c>
      <c r="R556" s="16" t="s">
        <v>8587</v>
      </c>
      <c r="S556" s="16" t="s">
        <v>8133</v>
      </c>
      <c r="T556" t="s">
        <v>1723</v>
      </c>
      <c r="U556">
        <v>0</v>
      </c>
      <c r="V556" t="s">
        <v>8654</v>
      </c>
      <c r="W556" t="s">
        <v>104</v>
      </c>
      <c r="X556" t="s">
        <v>8660</v>
      </c>
      <c r="Y556">
        <f t="shared" si="17"/>
        <v>1</v>
      </c>
    </row>
    <row r="557" spans="1:25" hidden="1">
      <c r="A557" t="s">
        <v>1586</v>
      </c>
      <c r="B557" t="s">
        <v>4376</v>
      </c>
      <c r="C557">
        <v>999</v>
      </c>
      <c r="D557">
        <v>10</v>
      </c>
      <c r="E557" t="s">
        <v>4377</v>
      </c>
      <c r="F557" t="s">
        <v>4732</v>
      </c>
      <c r="H557" t="s">
        <v>1445</v>
      </c>
      <c r="J557" t="s">
        <v>9013</v>
      </c>
      <c r="L557">
        <f t="shared" si="16"/>
        <v>1</v>
      </c>
      <c r="M557" t="s">
        <v>4377</v>
      </c>
      <c r="N557" t="s">
        <v>6308</v>
      </c>
      <c r="O557" t="s">
        <v>104</v>
      </c>
      <c r="P557">
        <v>35650</v>
      </c>
      <c r="Q557">
        <v>477980</v>
      </c>
      <c r="R557" s="16" t="s">
        <v>8479</v>
      </c>
      <c r="S557" s="16" t="s">
        <v>8184</v>
      </c>
      <c r="T557" t="s">
        <v>1586</v>
      </c>
      <c r="U557">
        <v>1</v>
      </c>
      <c r="V557" t="s">
        <v>8656</v>
      </c>
      <c r="W557" t="s">
        <v>104</v>
      </c>
      <c r="X557" t="s">
        <v>8660</v>
      </c>
      <c r="Y557">
        <f t="shared" si="17"/>
        <v>1</v>
      </c>
    </row>
    <row r="558" spans="1:25" hidden="1">
      <c r="A558" t="s">
        <v>2060</v>
      </c>
      <c r="B558" t="s">
        <v>4373</v>
      </c>
      <c r="C558">
        <v>1000</v>
      </c>
      <c r="D558">
        <v>11</v>
      </c>
      <c r="E558" t="s">
        <v>4374</v>
      </c>
      <c r="F558" t="s">
        <v>4732</v>
      </c>
      <c r="H558" t="s">
        <v>1445</v>
      </c>
      <c r="J558" t="s">
        <v>9012</v>
      </c>
      <c r="L558">
        <f t="shared" si="16"/>
        <v>1</v>
      </c>
      <c r="M558" t="s">
        <v>6377</v>
      </c>
      <c r="N558" t="s">
        <v>6378</v>
      </c>
      <c r="O558" t="s">
        <v>104</v>
      </c>
      <c r="P558">
        <v>25400</v>
      </c>
      <c r="Q558">
        <v>499370</v>
      </c>
      <c r="R558" s="16" t="s">
        <v>8577</v>
      </c>
      <c r="S558" s="16" t="s">
        <v>8282</v>
      </c>
      <c r="T558" t="s">
        <v>7960</v>
      </c>
      <c r="U558">
        <v>1</v>
      </c>
      <c r="V558" t="s">
        <v>8656</v>
      </c>
      <c r="W558" t="s">
        <v>104</v>
      </c>
      <c r="X558" t="s">
        <v>8660</v>
      </c>
      <c r="Y558">
        <f t="shared" si="17"/>
        <v>1</v>
      </c>
    </row>
    <row r="559" spans="1:25" hidden="1">
      <c r="A559" t="s">
        <v>1593</v>
      </c>
      <c r="B559" t="s">
        <v>4396</v>
      </c>
      <c r="C559">
        <v>1048</v>
      </c>
      <c r="D559">
        <v>11</v>
      </c>
      <c r="E559" t="s">
        <v>4397</v>
      </c>
      <c r="F559" t="s">
        <v>4732</v>
      </c>
      <c r="H559" t="s">
        <v>1450</v>
      </c>
      <c r="J559" t="s">
        <v>9014</v>
      </c>
      <c r="L559">
        <f t="shared" si="16"/>
        <v>1</v>
      </c>
      <c r="M559" t="s">
        <v>6321</v>
      </c>
      <c r="N559" t="s">
        <v>6308</v>
      </c>
      <c r="O559" t="s">
        <v>104</v>
      </c>
      <c r="P559">
        <v>60240</v>
      </c>
      <c r="Q559">
        <v>472370</v>
      </c>
      <c r="R559" s="16" t="s">
        <v>8591</v>
      </c>
      <c r="S559" s="16" t="s">
        <v>8296</v>
      </c>
      <c r="T559" t="s">
        <v>1593</v>
      </c>
      <c r="U559">
        <v>1</v>
      </c>
      <c r="V559" t="s">
        <v>8656</v>
      </c>
      <c r="W559" t="s">
        <v>104</v>
      </c>
      <c r="X559" t="s">
        <v>8660</v>
      </c>
      <c r="Y559">
        <f t="shared" si="17"/>
        <v>1</v>
      </c>
    </row>
    <row r="560" spans="1:25" hidden="1">
      <c r="A560" t="s">
        <v>1596</v>
      </c>
      <c r="B560" t="s">
        <v>4413</v>
      </c>
      <c r="C560">
        <v>1066</v>
      </c>
      <c r="D560">
        <v>11</v>
      </c>
      <c r="E560" t="s">
        <v>4408</v>
      </c>
      <c r="F560" t="s">
        <v>4732</v>
      </c>
      <c r="H560" t="s">
        <v>1450</v>
      </c>
      <c r="J560" t="s">
        <v>8668</v>
      </c>
      <c r="L560">
        <f t="shared" si="16"/>
        <v>1</v>
      </c>
      <c r="M560" t="s">
        <v>6389</v>
      </c>
      <c r="N560" t="s">
        <v>6389</v>
      </c>
      <c r="O560" t="s">
        <v>6390</v>
      </c>
      <c r="P560">
        <v>64790</v>
      </c>
      <c r="Q560">
        <v>498110</v>
      </c>
      <c r="R560" s="16" t="s">
        <v>8576</v>
      </c>
      <c r="S560" s="16" t="s">
        <v>8281</v>
      </c>
      <c r="T560" t="s">
        <v>1596</v>
      </c>
      <c r="U560">
        <v>0</v>
      </c>
      <c r="V560" t="s">
        <v>8654</v>
      </c>
      <c r="W560" t="s">
        <v>6390</v>
      </c>
      <c r="X560" t="s">
        <v>8660</v>
      </c>
      <c r="Y560">
        <f t="shared" si="17"/>
        <v>1</v>
      </c>
    </row>
    <row r="561" spans="1:25" hidden="1">
      <c r="A561" t="s">
        <v>1631</v>
      </c>
      <c r="B561" t="s">
        <v>4747</v>
      </c>
      <c r="C561">
        <v>1213</v>
      </c>
      <c r="D561">
        <v>13</v>
      </c>
      <c r="E561" t="s">
        <v>4502</v>
      </c>
      <c r="F561" t="s">
        <v>4732</v>
      </c>
      <c r="H561" t="s">
        <v>1471</v>
      </c>
      <c r="J561" t="s">
        <v>9015</v>
      </c>
      <c r="L561">
        <f t="shared" si="16"/>
        <v>1</v>
      </c>
      <c r="M561" t="s">
        <v>4502</v>
      </c>
      <c r="N561" t="s">
        <v>6456</v>
      </c>
      <c r="O561" t="s">
        <v>104</v>
      </c>
      <c r="P561">
        <v>23522</v>
      </c>
      <c r="Q561">
        <v>488566</v>
      </c>
      <c r="R561" s="16" t="s">
        <v>8364</v>
      </c>
      <c r="S561" s="16" t="s">
        <v>8069</v>
      </c>
      <c r="T561" t="s">
        <v>1631</v>
      </c>
      <c r="U561">
        <v>1</v>
      </c>
      <c r="V561" t="s">
        <v>8656</v>
      </c>
      <c r="W561" t="s">
        <v>104</v>
      </c>
      <c r="X561" t="s">
        <v>8660</v>
      </c>
      <c r="Y561">
        <f t="shared" si="17"/>
        <v>1</v>
      </c>
    </row>
    <row r="562" spans="1:25" hidden="1">
      <c r="A562" t="s">
        <v>2075</v>
      </c>
      <c r="B562" t="s">
        <v>1426</v>
      </c>
      <c r="C562">
        <v>1218</v>
      </c>
      <c r="D562">
        <v>13</v>
      </c>
      <c r="E562" t="s">
        <v>4392</v>
      </c>
      <c r="F562" t="s">
        <v>4732</v>
      </c>
      <c r="H562" t="s">
        <v>1471</v>
      </c>
      <c r="J562" t="s">
        <v>8668</v>
      </c>
      <c r="L562">
        <f t="shared" si="16"/>
        <v>1</v>
      </c>
      <c r="M562" t="s">
        <v>4502</v>
      </c>
      <c r="N562" t="s">
        <v>6456</v>
      </c>
      <c r="O562" t="s">
        <v>104</v>
      </c>
      <c r="P562">
        <v>23522</v>
      </c>
      <c r="Q562">
        <v>488566</v>
      </c>
      <c r="R562" s="16" t="s">
        <v>8364</v>
      </c>
      <c r="S562" s="16" t="s">
        <v>8069</v>
      </c>
      <c r="T562" t="s">
        <v>8027</v>
      </c>
      <c r="U562">
        <v>0</v>
      </c>
      <c r="V562" t="s">
        <v>8654</v>
      </c>
      <c r="W562" t="s">
        <v>104</v>
      </c>
      <c r="X562" t="s">
        <v>8660</v>
      </c>
      <c r="Y562">
        <f t="shared" si="17"/>
        <v>1</v>
      </c>
    </row>
    <row r="563" spans="1:25" hidden="1">
      <c r="A563" t="s">
        <v>1632</v>
      </c>
      <c r="B563" t="s">
        <v>1427</v>
      </c>
      <c r="C563">
        <v>1237</v>
      </c>
      <c r="D563">
        <v>13</v>
      </c>
      <c r="E563" t="s">
        <v>4528</v>
      </c>
      <c r="F563" t="s">
        <v>4732</v>
      </c>
      <c r="H563" t="s">
        <v>1471</v>
      </c>
      <c r="J563" t="s">
        <v>8668</v>
      </c>
      <c r="L563">
        <f t="shared" si="16"/>
        <v>1</v>
      </c>
      <c r="M563" t="s">
        <v>4528</v>
      </c>
      <c r="N563" t="s">
        <v>6707</v>
      </c>
      <c r="O563" t="s">
        <v>104</v>
      </c>
      <c r="P563" t="s">
        <v>6708</v>
      </c>
      <c r="Q563" t="s">
        <v>6709</v>
      </c>
      <c r="R563" s="16" t="s">
        <v>8583</v>
      </c>
      <c r="S563" s="16" t="s">
        <v>8289</v>
      </c>
      <c r="T563" t="s">
        <v>1632</v>
      </c>
      <c r="U563">
        <v>0</v>
      </c>
      <c r="V563" t="s">
        <v>8654</v>
      </c>
      <c r="W563" t="s">
        <v>104</v>
      </c>
      <c r="X563" t="s">
        <v>8660</v>
      </c>
      <c r="Y563">
        <f t="shared" si="17"/>
        <v>1</v>
      </c>
    </row>
    <row r="564" spans="1:25" hidden="1">
      <c r="A564" t="s">
        <v>1634</v>
      </c>
      <c r="B564" t="s">
        <v>4748</v>
      </c>
      <c r="C564">
        <v>1232</v>
      </c>
      <c r="D564">
        <v>13</v>
      </c>
      <c r="E564" t="s">
        <v>4367</v>
      </c>
      <c r="F564" t="s">
        <v>4732</v>
      </c>
      <c r="H564" t="s">
        <v>1472</v>
      </c>
      <c r="J564" t="s">
        <v>9016</v>
      </c>
      <c r="L564">
        <f t="shared" si="16"/>
        <v>1</v>
      </c>
      <c r="M564" t="s">
        <v>4367</v>
      </c>
      <c r="N564" t="s">
        <v>6359</v>
      </c>
      <c r="O564" t="s">
        <v>104</v>
      </c>
      <c r="P564" t="s">
        <v>6491</v>
      </c>
      <c r="Q564">
        <v>473940</v>
      </c>
      <c r="R564" s="16" t="s">
        <v>8482</v>
      </c>
      <c r="S564" s="16" t="s">
        <v>8187</v>
      </c>
      <c r="T564" t="s">
        <v>1634</v>
      </c>
      <c r="U564">
        <v>1</v>
      </c>
      <c r="V564" t="s">
        <v>8656</v>
      </c>
      <c r="W564" t="s">
        <v>104</v>
      </c>
      <c r="X564" t="s">
        <v>8660</v>
      </c>
      <c r="Y564">
        <f t="shared" si="17"/>
        <v>1</v>
      </c>
    </row>
    <row r="565" spans="1:25" hidden="1">
      <c r="A565" t="s">
        <v>2076</v>
      </c>
      <c r="B565" t="s">
        <v>4707</v>
      </c>
      <c r="C565">
        <v>1237</v>
      </c>
      <c r="D565">
        <v>13</v>
      </c>
      <c r="E565" t="s">
        <v>1444</v>
      </c>
      <c r="F565" t="s">
        <v>4732</v>
      </c>
      <c r="H565" t="s">
        <v>1472</v>
      </c>
      <c r="J565" t="s">
        <v>8812</v>
      </c>
      <c r="L565">
        <f t="shared" si="16"/>
        <v>0</v>
      </c>
      <c r="R565" s="16" t="s">
        <v>8064</v>
      </c>
      <c r="S565" s="16" t="s">
        <v>8064</v>
      </c>
      <c r="T565" t="s">
        <v>7966</v>
      </c>
      <c r="U565">
        <v>1</v>
      </c>
      <c r="V565" t="s">
        <v>8655</v>
      </c>
      <c r="X565" t="s">
        <v>8660</v>
      </c>
      <c r="Y565">
        <f t="shared" si="17"/>
        <v>0</v>
      </c>
    </row>
    <row r="566" spans="1:25" hidden="1">
      <c r="A566" t="s">
        <v>1636</v>
      </c>
      <c r="B566" t="s">
        <v>1429</v>
      </c>
      <c r="C566">
        <v>1238</v>
      </c>
      <c r="D566">
        <v>13</v>
      </c>
      <c r="E566" t="s">
        <v>1444</v>
      </c>
      <c r="F566" t="s">
        <v>4732</v>
      </c>
      <c r="H566" t="s">
        <v>1473</v>
      </c>
      <c r="J566" t="s">
        <v>8668</v>
      </c>
      <c r="L566">
        <f t="shared" si="16"/>
        <v>0</v>
      </c>
      <c r="R566" s="16" t="s">
        <v>8064</v>
      </c>
      <c r="S566" s="16" t="s">
        <v>8064</v>
      </c>
      <c r="T566" t="s">
        <v>1636</v>
      </c>
      <c r="U566">
        <v>0</v>
      </c>
      <c r="V566" t="s">
        <v>8655</v>
      </c>
      <c r="X566" t="s">
        <v>8660</v>
      </c>
      <c r="Y566">
        <f t="shared" si="17"/>
        <v>0</v>
      </c>
    </row>
    <row r="567" spans="1:25" hidden="1">
      <c r="A567" t="s">
        <v>1637</v>
      </c>
      <c r="B567" t="s">
        <v>4749</v>
      </c>
      <c r="C567">
        <v>1239</v>
      </c>
      <c r="D567">
        <v>13</v>
      </c>
      <c r="E567" t="s">
        <v>1444</v>
      </c>
      <c r="F567" t="s">
        <v>4732</v>
      </c>
      <c r="H567" t="s">
        <v>1473</v>
      </c>
      <c r="J567" t="s">
        <v>8668</v>
      </c>
      <c r="L567">
        <f t="shared" si="16"/>
        <v>0</v>
      </c>
      <c r="R567" s="16" t="s">
        <v>8064</v>
      </c>
      <c r="S567" s="16" t="s">
        <v>8064</v>
      </c>
      <c r="T567" t="s">
        <v>1637</v>
      </c>
      <c r="U567">
        <v>0</v>
      </c>
      <c r="V567" t="s">
        <v>8655</v>
      </c>
      <c r="X567" t="s">
        <v>8660</v>
      </c>
      <c r="Y567">
        <f t="shared" si="17"/>
        <v>0</v>
      </c>
    </row>
    <row r="568" spans="1:25" hidden="1">
      <c r="A568" t="s">
        <v>1638</v>
      </c>
      <c r="B568" t="s">
        <v>1430</v>
      </c>
      <c r="C568">
        <v>1244</v>
      </c>
      <c r="D568">
        <v>13</v>
      </c>
      <c r="E568" t="s">
        <v>4502</v>
      </c>
      <c r="F568" t="s">
        <v>4732</v>
      </c>
      <c r="H568" t="s">
        <v>1474</v>
      </c>
      <c r="J568" t="s">
        <v>8668</v>
      </c>
      <c r="L568">
        <f t="shared" si="16"/>
        <v>1</v>
      </c>
      <c r="M568" t="s">
        <v>4502</v>
      </c>
      <c r="N568" t="s">
        <v>6456</v>
      </c>
      <c r="O568" t="s">
        <v>104</v>
      </c>
      <c r="P568">
        <v>23522</v>
      </c>
      <c r="Q568">
        <v>488566</v>
      </c>
      <c r="R568" s="16" t="s">
        <v>8364</v>
      </c>
      <c r="S568" s="16" t="s">
        <v>8069</v>
      </c>
      <c r="T568" t="s">
        <v>1638</v>
      </c>
      <c r="U568">
        <v>0</v>
      </c>
      <c r="V568" t="s">
        <v>8654</v>
      </c>
      <c r="W568" t="s">
        <v>104</v>
      </c>
      <c r="X568" t="s">
        <v>8660</v>
      </c>
      <c r="Y568">
        <f t="shared" si="17"/>
        <v>1</v>
      </c>
    </row>
    <row r="569" spans="1:25" hidden="1">
      <c r="A569" t="s">
        <v>1639</v>
      </c>
      <c r="B569" t="s">
        <v>1431</v>
      </c>
      <c r="C569">
        <v>1246</v>
      </c>
      <c r="D569">
        <v>13</v>
      </c>
      <c r="E569" t="s">
        <v>4502</v>
      </c>
      <c r="F569" t="s">
        <v>4732</v>
      </c>
      <c r="H569" t="s">
        <v>1474</v>
      </c>
      <c r="J569" t="s">
        <v>8668</v>
      </c>
      <c r="L569">
        <f t="shared" si="16"/>
        <v>1</v>
      </c>
      <c r="M569" t="s">
        <v>4502</v>
      </c>
      <c r="N569" t="s">
        <v>6456</v>
      </c>
      <c r="O569" t="s">
        <v>104</v>
      </c>
      <c r="P569">
        <v>23522</v>
      </c>
      <c r="Q569">
        <v>488566</v>
      </c>
      <c r="R569" s="16" t="s">
        <v>8364</v>
      </c>
      <c r="S569" s="16" t="s">
        <v>8069</v>
      </c>
      <c r="T569" t="s">
        <v>1639</v>
      </c>
      <c r="U569">
        <v>0</v>
      </c>
      <c r="V569" t="s">
        <v>8654</v>
      </c>
      <c r="W569" t="s">
        <v>104</v>
      </c>
      <c r="X569" t="s">
        <v>8660</v>
      </c>
      <c r="Y569">
        <f t="shared" si="17"/>
        <v>1</v>
      </c>
    </row>
    <row r="570" spans="1:25" hidden="1">
      <c r="A570" t="s">
        <v>1640</v>
      </c>
      <c r="B570" t="s">
        <v>1433</v>
      </c>
      <c r="C570">
        <v>1242</v>
      </c>
      <c r="D570">
        <v>13</v>
      </c>
      <c r="E570" t="s">
        <v>4502</v>
      </c>
      <c r="F570" t="s">
        <v>4732</v>
      </c>
      <c r="H570" t="s">
        <v>1475</v>
      </c>
      <c r="J570" t="s">
        <v>8668</v>
      </c>
      <c r="L570">
        <f t="shared" si="16"/>
        <v>1</v>
      </c>
      <c r="M570" t="s">
        <v>4502</v>
      </c>
      <c r="N570" t="s">
        <v>6456</v>
      </c>
      <c r="O570" t="s">
        <v>104</v>
      </c>
      <c r="P570">
        <v>23522</v>
      </c>
      <c r="Q570">
        <v>488566</v>
      </c>
      <c r="R570" s="16" t="s">
        <v>8364</v>
      </c>
      <c r="S570" s="16" t="s">
        <v>8069</v>
      </c>
      <c r="T570" t="s">
        <v>1640</v>
      </c>
      <c r="U570">
        <v>0</v>
      </c>
      <c r="V570" t="s">
        <v>8654</v>
      </c>
      <c r="W570" t="s">
        <v>104</v>
      </c>
      <c r="X570" t="s">
        <v>8660</v>
      </c>
      <c r="Y570">
        <f t="shared" si="17"/>
        <v>1</v>
      </c>
    </row>
    <row r="571" spans="1:25" hidden="1">
      <c r="A571" t="s">
        <v>1642</v>
      </c>
      <c r="B571" t="s">
        <v>4750</v>
      </c>
      <c r="C571">
        <v>1243</v>
      </c>
      <c r="D571">
        <v>13</v>
      </c>
      <c r="E571" t="s">
        <v>4545</v>
      </c>
      <c r="F571" t="s">
        <v>4732</v>
      </c>
      <c r="H571" t="s">
        <v>1475</v>
      </c>
      <c r="J571" t="s">
        <v>8668</v>
      </c>
      <c r="L571">
        <f t="shared" si="16"/>
        <v>1</v>
      </c>
      <c r="M571" t="s">
        <v>4545</v>
      </c>
      <c r="N571" t="s">
        <v>6416</v>
      </c>
      <c r="O571" t="s">
        <v>11</v>
      </c>
      <c r="P571">
        <v>91900</v>
      </c>
      <c r="Q571">
        <v>454640</v>
      </c>
      <c r="R571" s="16" t="s">
        <v>8432</v>
      </c>
      <c r="S571" s="16" t="s">
        <v>8136</v>
      </c>
      <c r="T571" t="s">
        <v>1642</v>
      </c>
      <c r="U571">
        <v>0</v>
      </c>
      <c r="V571" t="s">
        <v>8654</v>
      </c>
      <c r="W571" t="s">
        <v>11</v>
      </c>
      <c r="X571" t="s">
        <v>8660</v>
      </c>
      <c r="Y571">
        <f t="shared" si="17"/>
        <v>1</v>
      </c>
    </row>
    <row r="572" spans="1:25" hidden="1">
      <c r="A572" t="s">
        <v>1655</v>
      </c>
      <c r="B572" t="s">
        <v>4751</v>
      </c>
      <c r="C572">
        <v>1259</v>
      </c>
      <c r="D572">
        <v>13</v>
      </c>
      <c r="E572" t="s">
        <v>1444</v>
      </c>
      <c r="F572" t="s">
        <v>4732</v>
      </c>
      <c r="H572" t="s">
        <v>1480</v>
      </c>
      <c r="J572" t="s">
        <v>8814</v>
      </c>
      <c r="L572">
        <f t="shared" si="16"/>
        <v>0</v>
      </c>
      <c r="R572" s="16" t="s">
        <v>8064</v>
      </c>
      <c r="S572" s="16" t="s">
        <v>8064</v>
      </c>
      <c r="T572" t="s">
        <v>1655</v>
      </c>
      <c r="U572">
        <v>1</v>
      </c>
      <c r="V572" t="s">
        <v>8655</v>
      </c>
      <c r="X572" t="s">
        <v>8660</v>
      </c>
      <c r="Y572">
        <f t="shared" si="17"/>
        <v>0</v>
      </c>
    </row>
    <row r="573" spans="1:25" hidden="1">
      <c r="A573" t="s">
        <v>1656</v>
      </c>
      <c r="B573" t="s">
        <v>738</v>
      </c>
      <c r="C573">
        <v>1260</v>
      </c>
      <c r="D573">
        <v>13</v>
      </c>
      <c r="E573" t="s">
        <v>4563</v>
      </c>
      <c r="F573" t="s">
        <v>4732</v>
      </c>
      <c r="H573" t="s">
        <v>1480</v>
      </c>
      <c r="J573" t="s">
        <v>8668</v>
      </c>
      <c r="L573">
        <f t="shared" si="16"/>
        <v>1</v>
      </c>
      <c r="M573" t="s">
        <v>6360</v>
      </c>
      <c r="N573" t="s">
        <v>6359</v>
      </c>
      <c r="O573" t="s">
        <v>104</v>
      </c>
      <c r="P573">
        <v>14890</v>
      </c>
      <c r="Q573">
        <v>484460</v>
      </c>
      <c r="R573" s="16" t="s">
        <v>8579</v>
      </c>
      <c r="S573" s="16" t="s">
        <v>8284</v>
      </c>
      <c r="T573" t="s">
        <v>1656</v>
      </c>
      <c r="U573">
        <v>0</v>
      </c>
      <c r="V573" t="s">
        <v>8654</v>
      </c>
      <c r="W573" t="s">
        <v>104</v>
      </c>
      <c r="X573" t="s">
        <v>8660</v>
      </c>
      <c r="Y573">
        <f t="shared" si="17"/>
        <v>1</v>
      </c>
    </row>
    <row r="574" spans="1:25" hidden="1">
      <c r="A574" t="s">
        <v>1645</v>
      </c>
      <c r="B574" t="s">
        <v>1435</v>
      </c>
      <c r="C574">
        <v>1247</v>
      </c>
      <c r="D574">
        <v>13</v>
      </c>
      <c r="E574" t="s">
        <v>4550</v>
      </c>
      <c r="F574" t="s">
        <v>4732</v>
      </c>
      <c r="H574" t="s">
        <v>1476</v>
      </c>
      <c r="J574" t="s">
        <v>8668</v>
      </c>
      <c r="L574">
        <f t="shared" si="16"/>
        <v>1</v>
      </c>
      <c r="M574" t="s">
        <v>4550</v>
      </c>
      <c r="N574" t="s">
        <v>6345</v>
      </c>
      <c r="O574" t="s">
        <v>104</v>
      </c>
      <c r="P574">
        <v>14440</v>
      </c>
      <c r="Q574">
        <v>436040</v>
      </c>
      <c r="R574" s="16" t="s">
        <v>8474</v>
      </c>
      <c r="S574" s="16" t="s">
        <v>8178</v>
      </c>
      <c r="T574" t="s">
        <v>1645</v>
      </c>
      <c r="U574">
        <v>0</v>
      </c>
      <c r="V574" t="s">
        <v>8654</v>
      </c>
      <c r="W574" t="s">
        <v>104</v>
      </c>
      <c r="X574" t="s">
        <v>8660</v>
      </c>
      <c r="Y574">
        <f t="shared" si="17"/>
        <v>1</v>
      </c>
    </row>
    <row r="575" spans="1:25" hidden="1">
      <c r="A575" t="s">
        <v>1643</v>
      </c>
      <c r="B575" t="s">
        <v>1434</v>
      </c>
      <c r="C575">
        <v>1258</v>
      </c>
      <c r="D575">
        <v>13</v>
      </c>
      <c r="E575" t="s">
        <v>1444</v>
      </c>
      <c r="F575" t="s">
        <v>4732</v>
      </c>
      <c r="H575" t="s">
        <v>1476</v>
      </c>
      <c r="J575" t="s">
        <v>8668</v>
      </c>
      <c r="L575">
        <f t="shared" si="16"/>
        <v>0</v>
      </c>
      <c r="R575" s="16" t="s">
        <v>8064</v>
      </c>
      <c r="S575" s="16" t="s">
        <v>8064</v>
      </c>
      <c r="T575" t="s">
        <v>1643</v>
      </c>
      <c r="U575">
        <v>0</v>
      </c>
      <c r="V575" t="s">
        <v>8655</v>
      </c>
      <c r="X575" t="s">
        <v>8660</v>
      </c>
      <c r="Y575">
        <f t="shared" si="17"/>
        <v>0</v>
      </c>
    </row>
    <row r="576" spans="1:25" hidden="1">
      <c r="A576" t="s">
        <v>2078</v>
      </c>
      <c r="B576" t="s">
        <v>1437</v>
      </c>
      <c r="C576">
        <v>1258</v>
      </c>
      <c r="D576">
        <v>13</v>
      </c>
      <c r="E576" t="s">
        <v>4556</v>
      </c>
      <c r="F576" t="s">
        <v>4732</v>
      </c>
      <c r="H576" t="s">
        <v>1477</v>
      </c>
      <c r="J576" t="s">
        <v>8668</v>
      </c>
      <c r="L576">
        <f t="shared" si="16"/>
        <v>1</v>
      </c>
      <c r="M576" t="s">
        <v>6471</v>
      </c>
      <c r="N576" t="s">
        <v>6359</v>
      </c>
      <c r="O576" t="s">
        <v>104</v>
      </c>
      <c r="P576">
        <v>19090</v>
      </c>
      <c r="Q576">
        <v>479020</v>
      </c>
      <c r="R576" s="16" t="s">
        <v>8369</v>
      </c>
      <c r="S576" s="16" t="s">
        <v>8074</v>
      </c>
      <c r="T576" t="s">
        <v>7956</v>
      </c>
      <c r="U576">
        <v>0</v>
      </c>
      <c r="V576" t="s">
        <v>8654</v>
      </c>
      <c r="W576" t="s">
        <v>104</v>
      </c>
      <c r="X576" t="s">
        <v>8660</v>
      </c>
      <c r="Y576">
        <f t="shared" si="17"/>
        <v>1</v>
      </c>
    </row>
    <row r="577" spans="1:25" hidden="1">
      <c r="A577" t="s">
        <v>1647</v>
      </c>
      <c r="B577" t="s">
        <v>1438</v>
      </c>
      <c r="C577">
        <v>1259</v>
      </c>
      <c r="D577">
        <v>13</v>
      </c>
      <c r="E577" t="s">
        <v>4557</v>
      </c>
      <c r="F577" t="s">
        <v>4732</v>
      </c>
      <c r="H577" t="s">
        <v>1477</v>
      </c>
      <c r="J577" t="s">
        <v>8668</v>
      </c>
      <c r="L577">
        <f t="shared" si="16"/>
        <v>1</v>
      </c>
      <c r="M577" t="s">
        <v>4557</v>
      </c>
      <c r="N577" t="s">
        <v>6826</v>
      </c>
      <c r="O577" t="s">
        <v>104</v>
      </c>
      <c r="P577" t="s">
        <v>6827</v>
      </c>
      <c r="Q577" t="s">
        <v>6828</v>
      </c>
      <c r="R577" s="16" t="s">
        <v>8581</v>
      </c>
      <c r="S577" s="16" t="s">
        <v>8286</v>
      </c>
      <c r="T577" t="s">
        <v>1647</v>
      </c>
      <c r="U577">
        <v>0</v>
      </c>
      <c r="V577" t="s">
        <v>8654</v>
      </c>
      <c r="W577" t="s">
        <v>104</v>
      </c>
      <c r="X577" t="s">
        <v>8660</v>
      </c>
      <c r="Y577">
        <f t="shared" si="17"/>
        <v>1</v>
      </c>
    </row>
    <row r="578" spans="1:25" hidden="1">
      <c r="A578" t="s">
        <v>2080</v>
      </c>
      <c r="B578" t="s">
        <v>1443</v>
      </c>
      <c r="C578">
        <v>1264</v>
      </c>
      <c r="D578">
        <v>13</v>
      </c>
      <c r="E578" t="s">
        <v>4556</v>
      </c>
      <c r="F578" t="s">
        <v>4732</v>
      </c>
      <c r="H578" t="s">
        <v>1477</v>
      </c>
      <c r="J578" t="s">
        <v>8668</v>
      </c>
      <c r="L578">
        <f t="shared" ref="L578:L641" si="18">IF(M578&lt;&gt;"",1,0)</f>
        <v>1</v>
      </c>
      <c r="M578" t="s">
        <v>6471</v>
      </c>
      <c r="N578" t="s">
        <v>6359</v>
      </c>
      <c r="O578" t="s">
        <v>104</v>
      </c>
      <c r="P578">
        <v>19090</v>
      </c>
      <c r="Q578">
        <v>479020</v>
      </c>
      <c r="R578" s="16" t="s">
        <v>8369</v>
      </c>
      <c r="S578" s="16" t="s">
        <v>8074</v>
      </c>
      <c r="T578" t="s">
        <v>7956</v>
      </c>
      <c r="U578">
        <v>0</v>
      </c>
      <c r="V578" t="s">
        <v>8654</v>
      </c>
      <c r="W578" t="s">
        <v>104</v>
      </c>
      <c r="X578" t="s">
        <v>8660</v>
      </c>
      <c r="Y578">
        <f t="shared" ref="Y578:Y641" si="19">IF(OR(V578="Loc",V578="IIIF"),1,0)</f>
        <v>1</v>
      </c>
    </row>
    <row r="579" spans="1:25" hidden="1">
      <c r="A579" t="s">
        <v>1648</v>
      </c>
      <c r="B579" t="s">
        <v>4723</v>
      </c>
      <c r="C579">
        <v>1256</v>
      </c>
      <c r="D579">
        <v>13</v>
      </c>
      <c r="E579" t="s">
        <v>1444</v>
      </c>
      <c r="F579" t="s">
        <v>4732</v>
      </c>
      <c r="H579" t="s">
        <v>1478</v>
      </c>
      <c r="J579" t="s">
        <v>8813</v>
      </c>
      <c r="L579">
        <f t="shared" si="18"/>
        <v>0</v>
      </c>
      <c r="R579" s="16" t="s">
        <v>8064</v>
      </c>
      <c r="S579" s="16" t="s">
        <v>8064</v>
      </c>
      <c r="T579" t="s">
        <v>1648</v>
      </c>
      <c r="U579">
        <v>1</v>
      </c>
      <c r="V579" t="s">
        <v>8655</v>
      </c>
      <c r="X579" t="s">
        <v>8660</v>
      </c>
      <c r="Y579">
        <f t="shared" si="19"/>
        <v>0</v>
      </c>
    </row>
    <row r="580" spans="1:25" hidden="1">
      <c r="A580" t="s">
        <v>2081</v>
      </c>
      <c r="B580" t="s">
        <v>4572</v>
      </c>
      <c r="C580">
        <v>1272</v>
      </c>
      <c r="D580">
        <v>13</v>
      </c>
      <c r="E580" t="s">
        <v>4392</v>
      </c>
      <c r="F580" t="s">
        <v>4732</v>
      </c>
      <c r="H580" t="s">
        <v>1478</v>
      </c>
      <c r="J580" t="s">
        <v>9017</v>
      </c>
      <c r="L580">
        <f t="shared" si="18"/>
        <v>1</v>
      </c>
      <c r="M580" t="s">
        <v>4502</v>
      </c>
      <c r="N580" t="s">
        <v>6456</v>
      </c>
      <c r="O580" t="s">
        <v>104</v>
      </c>
      <c r="P580">
        <v>23522</v>
      </c>
      <c r="Q580">
        <v>488566</v>
      </c>
      <c r="R580" s="16" t="s">
        <v>8364</v>
      </c>
      <c r="S580" s="16" t="s">
        <v>8069</v>
      </c>
      <c r="T580" t="s">
        <v>7953</v>
      </c>
      <c r="U580">
        <v>1</v>
      </c>
      <c r="V580" t="s">
        <v>8656</v>
      </c>
      <c r="W580" t="s">
        <v>104</v>
      </c>
      <c r="X580" t="s">
        <v>8660</v>
      </c>
      <c r="Y580">
        <f t="shared" si="19"/>
        <v>1</v>
      </c>
    </row>
    <row r="581" spans="1:25" hidden="1">
      <c r="A581" t="s">
        <v>2079</v>
      </c>
      <c r="B581" t="s">
        <v>1441</v>
      </c>
      <c r="C581">
        <v>1266</v>
      </c>
      <c r="D581">
        <v>13</v>
      </c>
      <c r="E581" t="s">
        <v>4362</v>
      </c>
      <c r="F581" t="s">
        <v>4732</v>
      </c>
      <c r="H581" t="s">
        <v>1479</v>
      </c>
      <c r="J581" t="s">
        <v>9018</v>
      </c>
      <c r="L581">
        <f t="shared" si="18"/>
        <v>1</v>
      </c>
      <c r="M581" t="s">
        <v>4362</v>
      </c>
      <c r="N581" t="s">
        <v>6373</v>
      </c>
      <c r="O581" t="s">
        <v>104</v>
      </c>
      <c r="P581">
        <v>46540</v>
      </c>
      <c r="Q581">
        <v>464340</v>
      </c>
      <c r="R581" s="16" t="s">
        <v>8392</v>
      </c>
      <c r="S581" s="16" t="s">
        <v>8096</v>
      </c>
      <c r="T581" t="s">
        <v>8029</v>
      </c>
      <c r="U581">
        <v>1</v>
      </c>
      <c r="V581" t="s">
        <v>8656</v>
      </c>
      <c r="W581" t="s">
        <v>104</v>
      </c>
      <c r="X581" t="s">
        <v>8660</v>
      </c>
      <c r="Y581">
        <f t="shared" si="19"/>
        <v>1</v>
      </c>
    </row>
    <row r="582" spans="1:25" hidden="1">
      <c r="A582" t="s">
        <v>1652</v>
      </c>
      <c r="B582" t="s">
        <v>1273</v>
      </c>
      <c r="C582">
        <v>1270</v>
      </c>
      <c r="D582">
        <v>13</v>
      </c>
      <c r="E582" t="s">
        <v>4418</v>
      </c>
      <c r="F582" t="s">
        <v>4732</v>
      </c>
      <c r="H582" t="s">
        <v>1479</v>
      </c>
      <c r="J582" t="s">
        <v>8668</v>
      </c>
      <c r="L582">
        <f t="shared" si="18"/>
        <v>1</v>
      </c>
      <c r="M582" t="s">
        <v>4418</v>
      </c>
      <c r="N582" t="s">
        <v>6773</v>
      </c>
      <c r="O582" t="s">
        <v>104</v>
      </c>
      <c r="P582" t="s">
        <v>6774</v>
      </c>
      <c r="Q582" t="s">
        <v>6775</v>
      </c>
      <c r="R582" s="16" t="s">
        <v>8558</v>
      </c>
      <c r="S582" s="16" t="s">
        <v>8263</v>
      </c>
      <c r="T582" t="s">
        <v>1652</v>
      </c>
      <c r="U582">
        <v>0</v>
      </c>
      <c r="V582" t="s">
        <v>8654</v>
      </c>
      <c r="W582" t="s">
        <v>104</v>
      </c>
      <c r="X582" t="s">
        <v>8660</v>
      </c>
      <c r="Y582">
        <f t="shared" si="19"/>
        <v>1</v>
      </c>
    </row>
    <row r="583" spans="1:25" hidden="1">
      <c r="A583" t="s">
        <v>1588</v>
      </c>
      <c r="B583" t="s">
        <v>4752</v>
      </c>
      <c r="C583">
        <v>1009</v>
      </c>
      <c r="D583">
        <v>11</v>
      </c>
      <c r="E583" t="s">
        <v>4385</v>
      </c>
      <c r="F583" t="s">
        <v>4690</v>
      </c>
      <c r="H583" t="s">
        <v>1446</v>
      </c>
      <c r="J583" t="s">
        <v>8994</v>
      </c>
      <c r="L583">
        <f t="shared" si="18"/>
        <v>1</v>
      </c>
      <c r="M583" t="s">
        <v>4385</v>
      </c>
      <c r="N583" t="s">
        <v>6357</v>
      </c>
      <c r="O583" t="s">
        <v>104</v>
      </c>
      <c r="P583" t="s">
        <v>6915</v>
      </c>
      <c r="Q583" t="s">
        <v>6916</v>
      </c>
      <c r="R583" s="16" t="s">
        <v>6915</v>
      </c>
      <c r="S583" s="16" t="s">
        <v>8274</v>
      </c>
      <c r="T583" t="s">
        <v>1588</v>
      </c>
      <c r="U583">
        <v>1</v>
      </c>
      <c r="V583" t="s">
        <v>8656</v>
      </c>
      <c r="W583" t="s">
        <v>104</v>
      </c>
      <c r="X583" t="s">
        <v>8660</v>
      </c>
      <c r="Y583">
        <f t="shared" si="19"/>
        <v>1</v>
      </c>
    </row>
    <row r="584" spans="1:25" hidden="1">
      <c r="A584" t="s">
        <v>1591</v>
      </c>
      <c r="B584" t="s">
        <v>4393</v>
      </c>
      <c r="C584">
        <v>1045</v>
      </c>
      <c r="D584">
        <v>11</v>
      </c>
      <c r="E584" t="s">
        <v>4392</v>
      </c>
      <c r="F584" t="s">
        <v>4732</v>
      </c>
      <c r="H584" t="s">
        <v>1448</v>
      </c>
      <c r="J584" t="s">
        <v>9019</v>
      </c>
      <c r="L584">
        <f t="shared" si="18"/>
        <v>1</v>
      </c>
      <c r="M584" t="s">
        <v>4502</v>
      </c>
      <c r="N584" t="s">
        <v>6456</v>
      </c>
      <c r="O584" t="s">
        <v>104</v>
      </c>
      <c r="P584">
        <v>23522</v>
      </c>
      <c r="Q584">
        <v>488566</v>
      </c>
      <c r="R584" s="16" t="s">
        <v>8364</v>
      </c>
      <c r="S584" s="16" t="s">
        <v>8069</v>
      </c>
      <c r="T584" t="s">
        <v>1591</v>
      </c>
      <c r="U584">
        <v>1</v>
      </c>
      <c r="V584" t="s">
        <v>8656</v>
      </c>
      <c r="W584" t="s">
        <v>104</v>
      </c>
      <c r="X584" t="s">
        <v>8660</v>
      </c>
      <c r="Y584">
        <f t="shared" si="19"/>
        <v>1</v>
      </c>
    </row>
    <row r="585" spans="1:25" hidden="1">
      <c r="A585" t="s">
        <v>2062</v>
      </c>
      <c r="B585" t="s">
        <v>4753</v>
      </c>
      <c r="C585">
        <v>1031</v>
      </c>
      <c r="D585">
        <v>11</v>
      </c>
      <c r="E585" t="s">
        <v>4357</v>
      </c>
      <c r="F585" t="s">
        <v>4732</v>
      </c>
      <c r="H585" t="s">
        <v>1447</v>
      </c>
      <c r="J585" t="s">
        <v>8668</v>
      </c>
      <c r="L585">
        <f t="shared" si="18"/>
        <v>1</v>
      </c>
      <c r="M585" t="s">
        <v>6437</v>
      </c>
      <c r="N585" t="s">
        <v>6438</v>
      </c>
      <c r="O585" t="s">
        <v>104</v>
      </c>
      <c r="P585">
        <v>12610</v>
      </c>
      <c r="Q585">
        <v>458330</v>
      </c>
      <c r="R585" s="16" t="s">
        <v>8559</v>
      </c>
      <c r="S585" s="16" t="s">
        <v>8264</v>
      </c>
      <c r="T585" t="s">
        <v>7957</v>
      </c>
      <c r="U585">
        <v>0</v>
      </c>
      <c r="V585" t="s">
        <v>8654</v>
      </c>
      <c r="W585" t="s">
        <v>104</v>
      </c>
      <c r="X585" t="s">
        <v>8660</v>
      </c>
      <c r="Y585">
        <f t="shared" si="19"/>
        <v>1</v>
      </c>
    </row>
    <row r="586" spans="1:25" hidden="1">
      <c r="A586" t="s">
        <v>1592</v>
      </c>
      <c r="B586" t="s">
        <v>4394</v>
      </c>
      <c r="C586">
        <v>1041</v>
      </c>
      <c r="D586">
        <v>11</v>
      </c>
      <c r="E586" t="s">
        <v>4395</v>
      </c>
      <c r="F586" t="s">
        <v>4732</v>
      </c>
      <c r="H586" t="s">
        <v>1449</v>
      </c>
      <c r="J586" t="s">
        <v>9020</v>
      </c>
      <c r="L586">
        <f t="shared" si="18"/>
        <v>1</v>
      </c>
      <c r="M586" t="s">
        <v>6383</v>
      </c>
      <c r="N586" t="s">
        <v>6308</v>
      </c>
      <c r="O586" t="s">
        <v>104</v>
      </c>
      <c r="P586">
        <v>50450</v>
      </c>
      <c r="Q586">
        <v>473220</v>
      </c>
      <c r="R586" s="16" t="s">
        <v>8588</v>
      </c>
      <c r="S586" s="16" t="s">
        <v>8293</v>
      </c>
      <c r="T586" t="s">
        <v>1592</v>
      </c>
      <c r="U586">
        <v>1</v>
      </c>
      <c r="V586" t="s">
        <v>8656</v>
      </c>
      <c r="W586" t="s">
        <v>104</v>
      </c>
      <c r="X586" t="s">
        <v>8660</v>
      </c>
      <c r="Y586">
        <f t="shared" si="19"/>
        <v>1</v>
      </c>
    </row>
    <row r="587" spans="1:25" hidden="1">
      <c r="A587" t="s">
        <v>1595</v>
      </c>
      <c r="B587" t="s">
        <v>4413</v>
      </c>
      <c r="C587">
        <v>1066</v>
      </c>
      <c r="D587">
        <v>11</v>
      </c>
      <c r="E587" t="s">
        <v>4408</v>
      </c>
      <c r="F587" t="s">
        <v>4732</v>
      </c>
      <c r="H587" t="s">
        <v>1451</v>
      </c>
      <c r="J587" t="s">
        <v>8668</v>
      </c>
      <c r="L587">
        <f t="shared" si="18"/>
        <v>1</v>
      </c>
      <c r="M587" t="s">
        <v>6389</v>
      </c>
      <c r="N587" t="s">
        <v>6389</v>
      </c>
      <c r="O587" t="s">
        <v>6390</v>
      </c>
      <c r="P587">
        <v>64790</v>
      </c>
      <c r="Q587">
        <v>498110</v>
      </c>
      <c r="R587" s="16" t="s">
        <v>8576</v>
      </c>
      <c r="S587" s="16" t="s">
        <v>8281</v>
      </c>
      <c r="T587" t="s">
        <v>1595</v>
      </c>
      <c r="U587">
        <v>0</v>
      </c>
      <c r="V587" t="s">
        <v>8654</v>
      </c>
      <c r="W587" t="s">
        <v>6390</v>
      </c>
      <c r="X587" t="s">
        <v>8660</v>
      </c>
      <c r="Y587">
        <f t="shared" si="19"/>
        <v>1</v>
      </c>
    </row>
    <row r="588" spans="1:25" hidden="1">
      <c r="A588" t="s">
        <v>1599</v>
      </c>
      <c r="B588" t="s">
        <v>4413</v>
      </c>
      <c r="C588">
        <v>1066</v>
      </c>
      <c r="D588">
        <v>11</v>
      </c>
      <c r="E588" t="s">
        <v>4408</v>
      </c>
      <c r="F588" t="s">
        <v>4690</v>
      </c>
      <c r="H588" t="s">
        <v>1453</v>
      </c>
      <c r="J588" t="s">
        <v>8668</v>
      </c>
      <c r="L588">
        <f t="shared" si="18"/>
        <v>1</v>
      </c>
      <c r="M588" t="s">
        <v>6389</v>
      </c>
      <c r="N588" t="s">
        <v>6389</v>
      </c>
      <c r="O588" t="s">
        <v>6390</v>
      </c>
      <c r="P588">
        <v>64790</v>
      </c>
      <c r="Q588">
        <v>498110</v>
      </c>
      <c r="R588" s="16" t="s">
        <v>8576</v>
      </c>
      <c r="S588" s="16" t="s">
        <v>8281</v>
      </c>
      <c r="T588" t="s">
        <v>1599</v>
      </c>
      <c r="U588">
        <v>0</v>
      </c>
      <c r="V588" t="s">
        <v>8654</v>
      </c>
      <c r="W588" t="s">
        <v>6390</v>
      </c>
      <c r="X588" t="s">
        <v>8660</v>
      </c>
      <c r="Y588">
        <f t="shared" si="19"/>
        <v>1</v>
      </c>
    </row>
    <row r="589" spans="1:25" hidden="1">
      <c r="A589" t="s">
        <v>1600</v>
      </c>
      <c r="B589" t="s">
        <v>4413</v>
      </c>
      <c r="C589">
        <v>1066</v>
      </c>
      <c r="D589">
        <v>11</v>
      </c>
      <c r="E589" t="s">
        <v>4408</v>
      </c>
      <c r="F589" t="s">
        <v>4732</v>
      </c>
      <c r="H589" t="s">
        <v>1453</v>
      </c>
      <c r="J589" t="s">
        <v>8668</v>
      </c>
      <c r="L589">
        <f t="shared" si="18"/>
        <v>1</v>
      </c>
      <c r="M589" t="s">
        <v>6389</v>
      </c>
      <c r="N589" t="s">
        <v>6389</v>
      </c>
      <c r="O589" t="s">
        <v>6390</v>
      </c>
      <c r="P589">
        <v>64790</v>
      </c>
      <c r="Q589">
        <v>498110</v>
      </c>
      <c r="R589" s="16" t="s">
        <v>8576</v>
      </c>
      <c r="S589" s="16" t="s">
        <v>8281</v>
      </c>
      <c r="T589" t="s">
        <v>1600</v>
      </c>
      <c r="U589">
        <v>0</v>
      </c>
      <c r="V589" t="s">
        <v>8654</v>
      </c>
      <c r="W589" t="s">
        <v>6390</v>
      </c>
      <c r="X589" t="s">
        <v>8660</v>
      </c>
      <c r="Y589">
        <f t="shared" si="19"/>
        <v>1</v>
      </c>
    </row>
    <row r="590" spans="1:25" hidden="1">
      <c r="A590" t="s">
        <v>1597</v>
      </c>
      <c r="B590" t="s">
        <v>4413</v>
      </c>
      <c r="C590">
        <v>1066</v>
      </c>
      <c r="D590">
        <v>11</v>
      </c>
      <c r="E590" t="s">
        <v>4408</v>
      </c>
      <c r="F590" t="s">
        <v>4732</v>
      </c>
      <c r="H590" t="s">
        <v>1452</v>
      </c>
      <c r="J590" t="s">
        <v>8668</v>
      </c>
      <c r="L590">
        <f t="shared" si="18"/>
        <v>1</v>
      </c>
      <c r="M590" t="s">
        <v>6389</v>
      </c>
      <c r="N590" t="s">
        <v>6389</v>
      </c>
      <c r="O590" t="s">
        <v>6390</v>
      </c>
      <c r="P590">
        <v>64790</v>
      </c>
      <c r="Q590">
        <v>498110</v>
      </c>
      <c r="R590" s="16" t="s">
        <v>8576</v>
      </c>
      <c r="S590" s="16" t="s">
        <v>8281</v>
      </c>
      <c r="T590" t="s">
        <v>1597</v>
      </c>
      <c r="U590">
        <v>0</v>
      </c>
      <c r="V590" t="s">
        <v>8654</v>
      </c>
      <c r="W590" t="s">
        <v>6390</v>
      </c>
      <c r="X590" t="s">
        <v>8660</v>
      </c>
      <c r="Y590">
        <f t="shared" si="19"/>
        <v>1</v>
      </c>
    </row>
    <row r="591" spans="1:25" hidden="1">
      <c r="A591" t="s">
        <v>1589</v>
      </c>
      <c r="B591" t="s">
        <v>4386</v>
      </c>
      <c r="C591">
        <v>1039</v>
      </c>
      <c r="D591">
        <v>11</v>
      </c>
      <c r="E591" t="s">
        <v>4387</v>
      </c>
      <c r="F591" t="s">
        <v>4690</v>
      </c>
      <c r="H591" t="s">
        <v>1454</v>
      </c>
      <c r="J591" t="s">
        <v>8995</v>
      </c>
      <c r="L591">
        <f t="shared" si="18"/>
        <v>1</v>
      </c>
      <c r="M591" t="s">
        <v>4387</v>
      </c>
      <c r="N591" t="s">
        <v>6308</v>
      </c>
      <c r="O591" t="s">
        <v>104</v>
      </c>
      <c r="P591">
        <v>31610</v>
      </c>
      <c r="Q591">
        <v>469890</v>
      </c>
      <c r="R591" s="16" t="s">
        <v>8574</v>
      </c>
      <c r="S591" s="16" t="s">
        <v>8279</v>
      </c>
      <c r="T591" t="s">
        <v>1589</v>
      </c>
      <c r="U591">
        <v>1</v>
      </c>
      <c r="V591" t="s">
        <v>8656</v>
      </c>
      <c r="W591" t="s">
        <v>104</v>
      </c>
      <c r="X591" t="s">
        <v>8660</v>
      </c>
      <c r="Y591">
        <f t="shared" si="19"/>
        <v>1</v>
      </c>
    </row>
    <row r="592" spans="1:25" hidden="1">
      <c r="A592" t="s">
        <v>1602</v>
      </c>
      <c r="B592" t="s">
        <v>4419</v>
      </c>
      <c r="C592">
        <v>1059</v>
      </c>
      <c r="D592">
        <v>11</v>
      </c>
      <c r="E592" t="s">
        <v>4387</v>
      </c>
      <c r="F592" t="s">
        <v>4732</v>
      </c>
      <c r="H592" t="s">
        <v>1454</v>
      </c>
      <c r="J592" t="s">
        <v>9021</v>
      </c>
      <c r="L592">
        <f t="shared" si="18"/>
        <v>1</v>
      </c>
      <c r="M592" t="s">
        <v>4387</v>
      </c>
      <c r="N592" t="s">
        <v>6308</v>
      </c>
      <c r="O592" t="s">
        <v>104</v>
      </c>
      <c r="P592">
        <v>31610</v>
      </c>
      <c r="Q592">
        <v>469890</v>
      </c>
      <c r="R592" s="16" t="s">
        <v>8574</v>
      </c>
      <c r="S592" s="16" t="s">
        <v>8279</v>
      </c>
      <c r="T592" t="s">
        <v>1602</v>
      </c>
      <c r="U592">
        <v>1</v>
      </c>
      <c r="V592" t="s">
        <v>8656</v>
      </c>
      <c r="W592" t="s">
        <v>104</v>
      </c>
      <c r="X592" t="s">
        <v>8660</v>
      </c>
      <c r="Y592">
        <f t="shared" si="19"/>
        <v>1</v>
      </c>
    </row>
    <row r="593" spans="1:25" hidden="1">
      <c r="A593" t="s">
        <v>1603</v>
      </c>
      <c r="B593" t="s">
        <v>4754</v>
      </c>
      <c r="C593">
        <v>1061</v>
      </c>
      <c r="D593">
        <v>11</v>
      </c>
      <c r="E593" t="s">
        <v>4392</v>
      </c>
      <c r="F593" t="s">
        <v>4732</v>
      </c>
      <c r="H593" t="s">
        <v>1455</v>
      </c>
      <c r="J593" t="s">
        <v>9022</v>
      </c>
      <c r="L593">
        <f t="shared" si="18"/>
        <v>1</v>
      </c>
      <c r="M593" t="s">
        <v>4502</v>
      </c>
      <c r="N593" t="s">
        <v>6456</v>
      </c>
      <c r="O593" t="s">
        <v>104</v>
      </c>
      <c r="P593">
        <v>23522</v>
      </c>
      <c r="Q593">
        <v>488566</v>
      </c>
      <c r="R593" s="16" t="s">
        <v>8364</v>
      </c>
      <c r="S593" s="16" t="s">
        <v>8069</v>
      </c>
      <c r="T593" t="s">
        <v>1603</v>
      </c>
      <c r="U593">
        <v>1</v>
      </c>
      <c r="V593" t="s">
        <v>8656</v>
      </c>
      <c r="W593" t="s">
        <v>104</v>
      </c>
      <c r="X593" t="s">
        <v>8660</v>
      </c>
      <c r="Y593">
        <f t="shared" si="19"/>
        <v>1</v>
      </c>
    </row>
    <row r="594" spans="1:25" hidden="1">
      <c r="A594" t="s">
        <v>1615</v>
      </c>
      <c r="B594" t="s">
        <v>1371</v>
      </c>
      <c r="C594">
        <v>1139</v>
      </c>
      <c r="D594">
        <v>12</v>
      </c>
      <c r="E594" t="s">
        <v>1444</v>
      </c>
      <c r="F594" t="s">
        <v>4732</v>
      </c>
      <c r="H594" t="s">
        <v>1460</v>
      </c>
      <c r="J594" t="s">
        <v>8668</v>
      </c>
      <c r="L594">
        <f t="shared" si="18"/>
        <v>0</v>
      </c>
      <c r="R594" s="16" t="s">
        <v>8064</v>
      </c>
      <c r="S594" s="16" t="s">
        <v>8064</v>
      </c>
      <c r="T594" t="s">
        <v>1615</v>
      </c>
      <c r="U594">
        <v>0</v>
      </c>
      <c r="V594" t="s">
        <v>8655</v>
      </c>
      <c r="X594" t="s">
        <v>8660</v>
      </c>
      <c r="Y594">
        <f t="shared" si="19"/>
        <v>0</v>
      </c>
    </row>
    <row r="595" spans="1:25" hidden="1">
      <c r="A595" t="s">
        <v>1616</v>
      </c>
      <c r="B595" t="s">
        <v>1372</v>
      </c>
      <c r="C595">
        <v>1141</v>
      </c>
      <c r="D595">
        <v>12</v>
      </c>
      <c r="E595" t="s">
        <v>4447</v>
      </c>
      <c r="F595" t="s">
        <v>4732</v>
      </c>
      <c r="H595" t="s">
        <v>1460</v>
      </c>
      <c r="J595" t="s">
        <v>8668</v>
      </c>
      <c r="L595">
        <f t="shared" si="18"/>
        <v>1</v>
      </c>
      <c r="M595" t="s">
        <v>4447</v>
      </c>
      <c r="N595" t="s">
        <v>6509</v>
      </c>
      <c r="O595" t="s">
        <v>104</v>
      </c>
      <c r="P595" t="s">
        <v>6766</v>
      </c>
      <c r="Q595" t="s">
        <v>6767</v>
      </c>
      <c r="R595" s="16" t="s">
        <v>8363</v>
      </c>
      <c r="S595" s="16" t="s">
        <v>8067</v>
      </c>
      <c r="T595" t="s">
        <v>1616</v>
      </c>
      <c r="U595">
        <v>0</v>
      </c>
      <c r="V595" t="s">
        <v>8654</v>
      </c>
      <c r="W595" t="s">
        <v>104</v>
      </c>
      <c r="X595" t="s">
        <v>8660</v>
      </c>
      <c r="Y595">
        <f t="shared" si="19"/>
        <v>1</v>
      </c>
    </row>
    <row r="596" spans="1:25" hidden="1">
      <c r="A596" t="s">
        <v>2066</v>
      </c>
      <c r="B596" t="s">
        <v>1365</v>
      </c>
      <c r="C596">
        <v>1112</v>
      </c>
      <c r="D596">
        <v>12</v>
      </c>
      <c r="E596" t="s">
        <v>4374</v>
      </c>
      <c r="F596" t="s">
        <v>4732</v>
      </c>
      <c r="H596" t="s">
        <v>1456</v>
      </c>
      <c r="J596" t="s">
        <v>9023</v>
      </c>
      <c r="L596">
        <f t="shared" si="18"/>
        <v>1</v>
      </c>
      <c r="M596" t="s">
        <v>6377</v>
      </c>
      <c r="N596" t="s">
        <v>6378</v>
      </c>
      <c r="O596" t="s">
        <v>104</v>
      </c>
      <c r="P596">
        <v>25400</v>
      </c>
      <c r="Q596">
        <v>499370</v>
      </c>
      <c r="R596" s="16" t="s">
        <v>8577</v>
      </c>
      <c r="S596" s="16" t="s">
        <v>8282</v>
      </c>
      <c r="T596" t="s">
        <v>8028</v>
      </c>
      <c r="U596">
        <v>1</v>
      </c>
      <c r="V596" t="s">
        <v>8656</v>
      </c>
      <c r="W596" t="s">
        <v>104</v>
      </c>
      <c r="X596" t="s">
        <v>8660</v>
      </c>
      <c r="Y596">
        <f t="shared" si="19"/>
        <v>1</v>
      </c>
    </row>
    <row r="597" spans="1:25" hidden="1">
      <c r="A597" t="s">
        <v>2067</v>
      </c>
      <c r="B597" t="s">
        <v>1366</v>
      </c>
      <c r="C597">
        <v>1113</v>
      </c>
      <c r="D597">
        <v>12</v>
      </c>
      <c r="E597" t="s">
        <v>4447</v>
      </c>
      <c r="F597" t="s">
        <v>4732</v>
      </c>
      <c r="H597" t="s">
        <v>1457</v>
      </c>
      <c r="J597" t="s">
        <v>9024</v>
      </c>
      <c r="L597">
        <f t="shared" si="18"/>
        <v>1</v>
      </c>
      <c r="M597" t="s">
        <v>4447</v>
      </c>
      <c r="N597" t="s">
        <v>6509</v>
      </c>
      <c r="O597" t="s">
        <v>104</v>
      </c>
      <c r="P597" t="s">
        <v>6766</v>
      </c>
      <c r="Q597" t="s">
        <v>6767</v>
      </c>
      <c r="R597" s="16" t="s">
        <v>8363</v>
      </c>
      <c r="S597" s="16" t="s">
        <v>8067</v>
      </c>
      <c r="T597" t="s">
        <v>8026</v>
      </c>
      <c r="U597">
        <v>1</v>
      </c>
      <c r="V597" t="s">
        <v>8656</v>
      </c>
      <c r="W597" t="s">
        <v>104</v>
      </c>
      <c r="X597" t="s">
        <v>8660</v>
      </c>
      <c r="Y597">
        <f t="shared" si="19"/>
        <v>1</v>
      </c>
    </row>
    <row r="598" spans="1:25" hidden="1">
      <c r="A598" t="s">
        <v>1609</v>
      </c>
      <c r="B598" t="s">
        <v>1367</v>
      </c>
      <c r="C598">
        <v>1138</v>
      </c>
      <c r="D598">
        <v>12</v>
      </c>
      <c r="E598" t="s">
        <v>4408</v>
      </c>
      <c r="F598" t="s">
        <v>4732</v>
      </c>
      <c r="H598" t="s">
        <v>1457</v>
      </c>
      <c r="J598" t="s">
        <v>8668</v>
      </c>
      <c r="L598">
        <f t="shared" si="18"/>
        <v>1</v>
      </c>
      <c r="M598" t="s">
        <v>6389</v>
      </c>
      <c r="N598" t="s">
        <v>6389</v>
      </c>
      <c r="O598" t="s">
        <v>6390</v>
      </c>
      <c r="P598">
        <v>64790</v>
      </c>
      <c r="Q598">
        <v>498110</v>
      </c>
      <c r="R598" s="16" t="s">
        <v>8576</v>
      </c>
      <c r="S598" s="16" t="s">
        <v>8281</v>
      </c>
      <c r="T598" t="s">
        <v>1609</v>
      </c>
      <c r="U598">
        <v>0</v>
      </c>
      <c r="V598" t="s">
        <v>8654</v>
      </c>
      <c r="W598" t="s">
        <v>6390</v>
      </c>
      <c r="X598" t="s">
        <v>8660</v>
      </c>
      <c r="Y598">
        <f t="shared" si="19"/>
        <v>1</v>
      </c>
    </row>
    <row r="599" spans="1:25" hidden="1">
      <c r="A599" t="s">
        <v>1610</v>
      </c>
      <c r="B599" t="s">
        <v>4755</v>
      </c>
      <c r="C599">
        <v>1133</v>
      </c>
      <c r="D599">
        <v>12</v>
      </c>
      <c r="E599" t="s">
        <v>1444</v>
      </c>
      <c r="F599" t="s">
        <v>4732</v>
      </c>
      <c r="H599" t="s">
        <v>1458</v>
      </c>
      <c r="J599" t="s">
        <v>8668</v>
      </c>
      <c r="L599">
        <f t="shared" si="18"/>
        <v>0</v>
      </c>
      <c r="R599" s="16" t="s">
        <v>8064</v>
      </c>
      <c r="S599" s="16" t="s">
        <v>8064</v>
      </c>
      <c r="T599" t="s">
        <v>1610</v>
      </c>
      <c r="U599">
        <v>0</v>
      </c>
      <c r="V599" t="s">
        <v>8655</v>
      </c>
      <c r="X599" t="s">
        <v>8660</v>
      </c>
      <c r="Y599">
        <f t="shared" si="19"/>
        <v>0</v>
      </c>
    </row>
    <row r="600" spans="1:25" hidden="1">
      <c r="A600" t="s">
        <v>1611</v>
      </c>
      <c r="B600" t="s">
        <v>1368</v>
      </c>
      <c r="C600">
        <v>1142</v>
      </c>
      <c r="D600">
        <v>12</v>
      </c>
      <c r="E600" t="s">
        <v>4418</v>
      </c>
      <c r="F600" t="s">
        <v>4732</v>
      </c>
      <c r="H600" t="s">
        <v>1458</v>
      </c>
      <c r="J600" t="s">
        <v>8668</v>
      </c>
      <c r="L600">
        <f t="shared" si="18"/>
        <v>1</v>
      </c>
      <c r="M600" t="s">
        <v>4418</v>
      </c>
      <c r="N600" t="s">
        <v>6773</v>
      </c>
      <c r="O600" t="s">
        <v>104</v>
      </c>
      <c r="P600" t="s">
        <v>6774</v>
      </c>
      <c r="Q600" t="s">
        <v>6775</v>
      </c>
      <c r="R600" s="16" t="s">
        <v>8558</v>
      </c>
      <c r="S600" s="16" t="s">
        <v>8263</v>
      </c>
      <c r="T600" t="s">
        <v>1611</v>
      </c>
      <c r="U600">
        <v>0</v>
      </c>
      <c r="V600" t="s">
        <v>8654</v>
      </c>
      <c r="W600" t="s">
        <v>104</v>
      </c>
      <c r="X600" t="s">
        <v>8660</v>
      </c>
      <c r="Y600">
        <f t="shared" si="19"/>
        <v>1</v>
      </c>
    </row>
    <row r="601" spans="1:25" hidden="1">
      <c r="A601" t="s">
        <v>1612</v>
      </c>
      <c r="B601" t="s">
        <v>1368</v>
      </c>
      <c r="C601">
        <v>1142</v>
      </c>
      <c r="D601">
        <v>12</v>
      </c>
      <c r="E601" t="s">
        <v>4418</v>
      </c>
      <c r="F601" t="s">
        <v>4732</v>
      </c>
      <c r="H601" t="s">
        <v>1459</v>
      </c>
      <c r="J601" t="s">
        <v>9025</v>
      </c>
      <c r="L601">
        <f t="shared" si="18"/>
        <v>1</v>
      </c>
      <c r="M601" t="s">
        <v>4418</v>
      </c>
      <c r="N601" t="s">
        <v>6773</v>
      </c>
      <c r="O601" t="s">
        <v>104</v>
      </c>
      <c r="P601" t="s">
        <v>6774</v>
      </c>
      <c r="Q601" t="s">
        <v>6775</v>
      </c>
      <c r="R601" s="16" t="s">
        <v>8558</v>
      </c>
      <c r="S601" s="16" t="s">
        <v>8263</v>
      </c>
      <c r="T601" t="s">
        <v>1612</v>
      </c>
      <c r="U601">
        <v>1</v>
      </c>
      <c r="V601" t="s">
        <v>8656</v>
      </c>
      <c r="W601" t="s">
        <v>104</v>
      </c>
      <c r="X601" t="s">
        <v>8660</v>
      </c>
      <c r="Y601">
        <f t="shared" si="19"/>
        <v>1</v>
      </c>
    </row>
    <row r="602" spans="1:25" hidden="1">
      <c r="A602" t="s">
        <v>1614</v>
      </c>
      <c r="B602" t="s">
        <v>1370</v>
      </c>
      <c r="C602">
        <v>1142</v>
      </c>
      <c r="D602">
        <v>12</v>
      </c>
      <c r="E602" t="s">
        <v>4455</v>
      </c>
      <c r="F602" t="s">
        <v>4732</v>
      </c>
      <c r="H602" t="s">
        <v>1459</v>
      </c>
      <c r="J602" t="s">
        <v>9026</v>
      </c>
      <c r="L602">
        <f t="shared" si="18"/>
        <v>1</v>
      </c>
      <c r="M602" t="s">
        <v>4455</v>
      </c>
      <c r="N602" t="s">
        <v>6305</v>
      </c>
      <c r="O602" t="s">
        <v>104</v>
      </c>
      <c r="P602">
        <v>20860</v>
      </c>
      <c r="Q602">
        <v>494300</v>
      </c>
      <c r="R602" s="16" t="s">
        <v>8427</v>
      </c>
      <c r="S602" s="16" t="s">
        <v>8131</v>
      </c>
      <c r="T602" t="s">
        <v>1614</v>
      </c>
      <c r="U602">
        <v>1</v>
      </c>
      <c r="V602" t="s">
        <v>8656</v>
      </c>
      <c r="W602" t="s">
        <v>104</v>
      </c>
      <c r="X602" t="s">
        <v>8660</v>
      </c>
      <c r="Y602">
        <f t="shared" si="19"/>
        <v>1</v>
      </c>
    </row>
    <row r="603" spans="1:25" hidden="1">
      <c r="A603" t="s">
        <v>1617</v>
      </c>
      <c r="B603" t="s">
        <v>1374</v>
      </c>
      <c r="C603">
        <v>1152</v>
      </c>
      <c r="D603">
        <v>12</v>
      </c>
      <c r="E603" t="s">
        <v>1444</v>
      </c>
      <c r="F603" t="s">
        <v>4732</v>
      </c>
      <c r="H603" t="s">
        <v>1461</v>
      </c>
      <c r="J603" t="s">
        <v>8668</v>
      </c>
      <c r="L603">
        <f t="shared" si="18"/>
        <v>0</v>
      </c>
      <c r="R603" s="16" t="s">
        <v>8064</v>
      </c>
      <c r="S603" s="16" t="s">
        <v>8064</v>
      </c>
      <c r="T603" t="s">
        <v>1617</v>
      </c>
      <c r="U603">
        <v>0</v>
      </c>
      <c r="V603" t="s">
        <v>8655</v>
      </c>
      <c r="X603" t="s">
        <v>8660</v>
      </c>
      <c r="Y603">
        <f t="shared" si="19"/>
        <v>0</v>
      </c>
    </row>
    <row r="604" spans="1:25" hidden="1">
      <c r="A604" t="s">
        <v>1618</v>
      </c>
      <c r="B604" t="s">
        <v>4756</v>
      </c>
      <c r="C604">
        <v>1153</v>
      </c>
      <c r="D604">
        <v>12</v>
      </c>
      <c r="E604" t="s">
        <v>1444</v>
      </c>
      <c r="F604" t="s">
        <v>4732</v>
      </c>
      <c r="H604" t="s">
        <v>1461</v>
      </c>
      <c r="J604" t="s">
        <v>8668</v>
      </c>
      <c r="L604">
        <f t="shared" si="18"/>
        <v>0</v>
      </c>
      <c r="R604" s="16" t="s">
        <v>8064</v>
      </c>
      <c r="S604" s="16" t="s">
        <v>8064</v>
      </c>
      <c r="T604" t="s">
        <v>1618</v>
      </c>
      <c r="U604">
        <v>0</v>
      </c>
      <c r="V604" t="s">
        <v>8655</v>
      </c>
      <c r="X604" t="s">
        <v>8660</v>
      </c>
      <c r="Y604">
        <f t="shared" si="19"/>
        <v>0</v>
      </c>
    </row>
    <row r="605" spans="1:25" hidden="1">
      <c r="A605" t="s">
        <v>1620</v>
      </c>
      <c r="B605" t="s">
        <v>4757</v>
      </c>
      <c r="C605">
        <v>1164</v>
      </c>
      <c r="D605">
        <v>12</v>
      </c>
      <c r="E605" t="s">
        <v>4374</v>
      </c>
      <c r="F605" t="s">
        <v>4732</v>
      </c>
      <c r="H605" t="s">
        <v>1462</v>
      </c>
      <c r="J605" t="s">
        <v>9027</v>
      </c>
      <c r="L605">
        <f t="shared" si="18"/>
        <v>1</v>
      </c>
      <c r="M605" t="s">
        <v>6377</v>
      </c>
      <c r="N605" t="s">
        <v>6378</v>
      </c>
      <c r="O605" t="s">
        <v>104</v>
      </c>
      <c r="P605">
        <v>25400</v>
      </c>
      <c r="Q605">
        <v>499370</v>
      </c>
      <c r="R605" s="16" t="s">
        <v>8577</v>
      </c>
      <c r="S605" s="16" t="s">
        <v>8282</v>
      </c>
      <c r="T605" t="s">
        <v>1620</v>
      </c>
      <c r="U605">
        <v>1</v>
      </c>
      <c r="V605" t="s">
        <v>8656</v>
      </c>
      <c r="W605" t="s">
        <v>104</v>
      </c>
      <c r="X605" t="s">
        <v>8660</v>
      </c>
      <c r="Y605">
        <f t="shared" si="19"/>
        <v>1</v>
      </c>
    </row>
    <row r="606" spans="1:25" hidden="1">
      <c r="A606" t="s">
        <v>1621</v>
      </c>
      <c r="B606" t="s">
        <v>4758</v>
      </c>
      <c r="C606">
        <v>1167</v>
      </c>
      <c r="D606">
        <v>12</v>
      </c>
      <c r="E606" t="s">
        <v>4499</v>
      </c>
      <c r="F606" t="s">
        <v>4732</v>
      </c>
      <c r="H606" t="s">
        <v>1463</v>
      </c>
      <c r="J606" t="s">
        <v>9028</v>
      </c>
      <c r="L606">
        <f t="shared" si="18"/>
        <v>1</v>
      </c>
      <c r="M606" t="s">
        <v>4499</v>
      </c>
      <c r="N606" t="s">
        <v>6456</v>
      </c>
      <c r="O606" t="s">
        <v>104</v>
      </c>
      <c r="P606">
        <v>33030</v>
      </c>
      <c r="Q606">
        <v>485590</v>
      </c>
      <c r="R606" s="16" t="s">
        <v>8582</v>
      </c>
      <c r="S606" s="16" t="s">
        <v>8288</v>
      </c>
      <c r="T606" t="s">
        <v>1621</v>
      </c>
      <c r="U606">
        <v>1</v>
      </c>
      <c r="V606" t="s">
        <v>8656</v>
      </c>
      <c r="W606" t="s">
        <v>104</v>
      </c>
      <c r="X606" t="s">
        <v>8660</v>
      </c>
      <c r="Y606">
        <f t="shared" si="19"/>
        <v>1</v>
      </c>
    </row>
    <row r="607" spans="1:25" hidden="1">
      <c r="A607" t="s">
        <v>1622</v>
      </c>
      <c r="B607" t="s">
        <v>1375</v>
      </c>
      <c r="C607">
        <v>1173</v>
      </c>
      <c r="D607">
        <v>12</v>
      </c>
      <c r="E607" t="s">
        <v>4503</v>
      </c>
      <c r="F607" t="s">
        <v>4732</v>
      </c>
      <c r="H607" t="s">
        <v>1463</v>
      </c>
      <c r="J607" t="s">
        <v>8668</v>
      </c>
      <c r="L607">
        <f t="shared" si="18"/>
        <v>1</v>
      </c>
      <c r="M607" t="s">
        <v>4503</v>
      </c>
      <c r="N607" t="s">
        <v>6571</v>
      </c>
      <c r="O607" t="s">
        <v>104</v>
      </c>
      <c r="P607" t="s">
        <v>6572</v>
      </c>
      <c r="Q607" t="s">
        <v>6573</v>
      </c>
      <c r="R607" s="16" t="s">
        <v>8585</v>
      </c>
      <c r="S607" s="16" t="s">
        <v>8291</v>
      </c>
      <c r="T607" t="s">
        <v>1622</v>
      </c>
      <c r="U607">
        <v>0</v>
      </c>
      <c r="V607" t="s">
        <v>8654</v>
      </c>
      <c r="W607" t="s">
        <v>104</v>
      </c>
      <c r="X607" t="s">
        <v>8660</v>
      </c>
      <c r="Y607">
        <f t="shared" si="19"/>
        <v>1</v>
      </c>
    </row>
    <row r="608" spans="1:25" hidden="1">
      <c r="A608" t="s">
        <v>1623</v>
      </c>
      <c r="B608" t="s">
        <v>1376</v>
      </c>
      <c r="C608">
        <v>1180</v>
      </c>
      <c r="D608">
        <v>12</v>
      </c>
      <c r="E608" t="s">
        <v>4374</v>
      </c>
      <c r="F608" t="s">
        <v>4732</v>
      </c>
      <c r="H608" t="s">
        <v>1465</v>
      </c>
      <c r="J608" t="s">
        <v>8668</v>
      </c>
      <c r="L608">
        <f t="shared" si="18"/>
        <v>1</v>
      </c>
      <c r="M608" t="s">
        <v>6377</v>
      </c>
      <c r="N608" t="s">
        <v>6378</v>
      </c>
      <c r="O608" t="s">
        <v>104</v>
      </c>
      <c r="P608">
        <v>25400</v>
      </c>
      <c r="Q608">
        <v>499370</v>
      </c>
      <c r="R608" s="16" t="s">
        <v>8577</v>
      </c>
      <c r="S608" s="16" t="s">
        <v>8282</v>
      </c>
      <c r="T608" t="s">
        <v>1623</v>
      </c>
      <c r="U608">
        <v>0</v>
      </c>
      <c r="V608" t="s">
        <v>8654</v>
      </c>
      <c r="W608" t="s">
        <v>104</v>
      </c>
      <c r="X608" t="s">
        <v>8660</v>
      </c>
      <c r="Y608">
        <f t="shared" si="19"/>
        <v>1</v>
      </c>
    </row>
    <row r="609" spans="1:25" hidden="1">
      <c r="A609" t="s">
        <v>2070</v>
      </c>
      <c r="B609" t="s">
        <v>628</v>
      </c>
      <c r="C609">
        <v>1171</v>
      </c>
      <c r="D609">
        <v>12</v>
      </c>
      <c r="E609" t="s">
        <v>4502</v>
      </c>
      <c r="F609" t="s">
        <v>4732</v>
      </c>
      <c r="H609" t="s">
        <v>1464</v>
      </c>
      <c r="J609" t="s">
        <v>8668</v>
      </c>
      <c r="L609">
        <f t="shared" si="18"/>
        <v>1</v>
      </c>
      <c r="M609" t="s">
        <v>4502</v>
      </c>
      <c r="N609" t="s">
        <v>6456</v>
      </c>
      <c r="O609" t="s">
        <v>104</v>
      </c>
      <c r="P609">
        <v>23522</v>
      </c>
      <c r="Q609">
        <v>488566</v>
      </c>
      <c r="R609" s="16" t="s">
        <v>8364</v>
      </c>
      <c r="S609" s="16" t="s">
        <v>8069</v>
      </c>
      <c r="T609" t="s">
        <v>7955</v>
      </c>
      <c r="U609">
        <v>0</v>
      </c>
      <c r="V609" t="s">
        <v>8654</v>
      </c>
      <c r="W609" t="s">
        <v>104</v>
      </c>
      <c r="X609" t="s">
        <v>8660</v>
      </c>
      <c r="Y609">
        <f t="shared" si="19"/>
        <v>1</v>
      </c>
    </row>
    <row r="610" spans="1:25" hidden="1">
      <c r="A610" t="s">
        <v>1624</v>
      </c>
      <c r="B610" t="s">
        <v>1378</v>
      </c>
      <c r="C610">
        <v>1176</v>
      </c>
      <c r="D610">
        <v>12</v>
      </c>
      <c r="E610" t="s">
        <v>4374</v>
      </c>
      <c r="F610" t="s">
        <v>4732</v>
      </c>
      <c r="H610" t="s">
        <v>1464</v>
      </c>
      <c r="J610" t="s">
        <v>9029</v>
      </c>
      <c r="L610">
        <f t="shared" si="18"/>
        <v>1</v>
      </c>
      <c r="M610" t="s">
        <v>6377</v>
      </c>
      <c r="N610" t="s">
        <v>6378</v>
      </c>
      <c r="O610" t="s">
        <v>104</v>
      </c>
      <c r="P610">
        <v>25400</v>
      </c>
      <c r="Q610">
        <v>499370</v>
      </c>
      <c r="R610" s="16" t="s">
        <v>8577</v>
      </c>
      <c r="S610" s="16" t="s">
        <v>8282</v>
      </c>
      <c r="T610" t="s">
        <v>1624</v>
      </c>
      <c r="U610">
        <v>1</v>
      </c>
      <c r="V610" t="s">
        <v>8656</v>
      </c>
      <c r="W610" t="s">
        <v>104</v>
      </c>
      <c r="X610" t="s">
        <v>8660</v>
      </c>
      <c r="Y610">
        <f t="shared" si="19"/>
        <v>1</v>
      </c>
    </row>
    <row r="611" spans="1:25" hidden="1">
      <c r="A611" t="s">
        <v>2073</v>
      </c>
      <c r="B611" t="s">
        <v>1381</v>
      </c>
      <c r="C611">
        <v>1196</v>
      </c>
      <c r="D611">
        <v>12</v>
      </c>
      <c r="E611" t="s">
        <v>4374</v>
      </c>
      <c r="F611" t="s">
        <v>4732</v>
      </c>
      <c r="H611" t="s">
        <v>1470</v>
      </c>
      <c r="J611" t="s">
        <v>8668</v>
      </c>
      <c r="L611">
        <f t="shared" si="18"/>
        <v>1</v>
      </c>
      <c r="M611" t="s">
        <v>6377</v>
      </c>
      <c r="N611" t="s">
        <v>6378</v>
      </c>
      <c r="O611" t="s">
        <v>104</v>
      </c>
      <c r="P611">
        <v>25400</v>
      </c>
      <c r="Q611">
        <v>499370</v>
      </c>
      <c r="R611" s="16" t="s">
        <v>8577</v>
      </c>
      <c r="S611" s="16" t="s">
        <v>8282</v>
      </c>
      <c r="T611" t="s">
        <v>7959</v>
      </c>
      <c r="U611">
        <v>0</v>
      </c>
      <c r="V611" t="s">
        <v>8654</v>
      </c>
      <c r="W611" t="s">
        <v>104</v>
      </c>
      <c r="X611" t="s">
        <v>8660</v>
      </c>
      <c r="Y611">
        <f t="shared" si="19"/>
        <v>1</v>
      </c>
    </row>
    <row r="612" spans="1:25" hidden="1">
      <c r="A612" t="s">
        <v>2074</v>
      </c>
      <c r="B612" t="s">
        <v>1266</v>
      </c>
      <c r="C612">
        <v>1202</v>
      </c>
      <c r="D612">
        <v>13</v>
      </c>
      <c r="E612" t="s">
        <v>4446</v>
      </c>
      <c r="F612" t="s">
        <v>4732</v>
      </c>
      <c r="H612" t="s">
        <v>1470</v>
      </c>
      <c r="J612" t="s">
        <v>8668</v>
      </c>
      <c r="L612">
        <f t="shared" si="18"/>
        <v>1</v>
      </c>
      <c r="M612" t="s">
        <v>6368</v>
      </c>
      <c r="N612" t="s">
        <v>6369</v>
      </c>
      <c r="O612" t="s">
        <v>104</v>
      </c>
      <c r="P612">
        <v>50860</v>
      </c>
      <c r="Q612">
        <v>472440</v>
      </c>
      <c r="R612" s="16" t="s">
        <v>8386</v>
      </c>
      <c r="S612" s="16" t="s">
        <v>8090</v>
      </c>
      <c r="T612" t="s">
        <v>7961</v>
      </c>
      <c r="U612">
        <v>0</v>
      </c>
      <c r="V612" t="s">
        <v>8654</v>
      </c>
      <c r="W612" t="s">
        <v>104</v>
      </c>
      <c r="X612" t="s">
        <v>8660</v>
      </c>
      <c r="Y612">
        <f t="shared" si="19"/>
        <v>1</v>
      </c>
    </row>
    <row r="613" spans="1:25" hidden="1">
      <c r="A613" t="s">
        <v>1625</v>
      </c>
      <c r="B613" t="s">
        <v>4759</v>
      </c>
      <c r="C613">
        <v>1179</v>
      </c>
      <c r="D613">
        <v>12</v>
      </c>
      <c r="E613" t="s">
        <v>4374</v>
      </c>
      <c r="F613" t="s">
        <v>4732</v>
      </c>
      <c r="H613" t="s">
        <v>1466</v>
      </c>
      <c r="J613" t="s">
        <v>8668</v>
      </c>
      <c r="L613">
        <f t="shared" si="18"/>
        <v>1</v>
      </c>
      <c r="M613" t="s">
        <v>6377</v>
      </c>
      <c r="N613" t="s">
        <v>6378</v>
      </c>
      <c r="O613" t="s">
        <v>104</v>
      </c>
      <c r="P613">
        <v>25400</v>
      </c>
      <c r="Q613">
        <v>499370</v>
      </c>
      <c r="R613" s="16" t="s">
        <v>8577</v>
      </c>
      <c r="S613" s="16" t="s">
        <v>8282</v>
      </c>
      <c r="T613" t="s">
        <v>1625</v>
      </c>
      <c r="U613">
        <v>0</v>
      </c>
      <c r="V613" t="s">
        <v>8654</v>
      </c>
      <c r="W613" t="s">
        <v>104</v>
      </c>
      <c r="X613" t="s">
        <v>8660</v>
      </c>
      <c r="Y613">
        <f t="shared" si="19"/>
        <v>1</v>
      </c>
    </row>
    <row r="614" spans="1:25" hidden="1">
      <c r="A614" t="s">
        <v>1626</v>
      </c>
      <c r="B614" t="s">
        <v>1379</v>
      </c>
      <c r="C614">
        <v>1185</v>
      </c>
      <c r="D614">
        <v>12</v>
      </c>
      <c r="E614" t="s">
        <v>4507</v>
      </c>
      <c r="F614" t="s">
        <v>4732</v>
      </c>
      <c r="H614" t="s">
        <v>1466</v>
      </c>
      <c r="J614" t="s">
        <v>9030</v>
      </c>
      <c r="L614">
        <f t="shared" si="18"/>
        <v>1</v>
      </c>
      <c r="M614" t="s">
        <v>4507</v>
      </c>
      <c r="N614" t="s">
        <v>6485</v>
      </c>
      <c r="O614" t="s">
        <v>104</v>
      </c>
      <c r="P614">
        <v>32960</v>
      </c>
      <c r="Q614">
        <v>493810</v>
      </c>
      <c r="R614" s="16" t="s">
        <v>8580</v>
      </c>
      <c r="S614" s="16" t="s">
        <v>8285</v>
      </c>
      <c r="T614" t="s">
        <v>1626</v>
      </c>
      <c r="U614">
        <v>1</v>
      </c>
      <c r="V614" t="s">
        <v>8656</v>
      </c>
      <c r="W614" t="s">
        <v>104</v>
      </c>
      <c r="X614" t="s">
        <v>8660</v>
      </c>
      <c r="Y614">
        <f t="shared" si="19"/>
        <v>1</v>
      </c>
    </row>
    <row r="615" spans="1:25" hidden="1">
      <c r="A615" t="s">
        <v>2072</v>
      </c>
      <c r="B615" t="s">
        <v>4760</v>
      </c>
      <c r="C615">
        <v>1182</v>
      </c>
      <c r="D615">
        <v>12</v>
      </c>
      <c r="E615" t="s">
        <v>4508</v>
      </c>
      <c r="F615" t="s">
        <v>4732</v>
      </c>
      <c r="H615" t="s">
        <v>1467</v>
      </c>
      <c r="J615" t="s">
        <v>8668</v>
      </c>
      <c r="L615">
        <f t="shared" si="18"/>
        <v>1</v>
      </c>
      <c r="M615" t="s">
        <v>4508</v>
      </c>
      <c r="N615" t="s">
        <v>6414</v>
      </c>
      <c r="O615" t="s">
        <v>104</v>
      </c>
      <c r="P615">
        <v>58500</v>
      </c>
      <c r="Q615">
        <v>453500</v>
      </c>
      <c r="R615" s="16" t="s">
        <v>8475</v>
      </c>
      <c r="S615" s="16" t="s">
        <v>8179</v>
      </c>
      <c r="T615" t="s">
        <v>7958</v>
      </c>
      <c r="U615">
        <v>0</v>
      </c>
      <c r="V615" t="s">
        <v>8654</v>
      </c>
      <c r="W615" t="s">
        <v>104</v>
      </c>
      <c r="X615" t="s">
        <v>8660</v>
      </c>
      <c r="Y615">
        <f t="shared" si="19"/>
        <v>1</v>
      </c>
    </row>
    <row r="616" spans="1:25" hidden="1">
      <c r="A616" t="s">
        <v>1627</v>
      </c>
      <c r="B616" t="s">
        <v>4760</v>
      </c>
      <c r="C616">
        <v>1182</v>
      </c>
      <c r="D616">
        <v>12</v>
      </c>
      <c r="E616" t="s">
        <v>4509</v>
      </c>
      <c r="F616" t="s">
        <v>4732</v>
      </c>
      <c r="H616" t="s">
        <v>1467</v>
      </c>
      <c r="J616" t="s">
        <v>8668</v>
      </c>
      <c r="L616">
        <f t="shared" si="18"/>
        <v>1</v>
      </c>
      <c r="M616" t="s">
        <v>4509</v>
      </c>
      <c r="N616" t="s">
        <v>6565</v>
      </c>
      <c r="O616" t="s">
        <v>104</v>
      </c>
      <c r="P616" t="s">
        <v>6566</v>
      </c>
      <c r="Q616" t="s">
        <v>6567</v>
      </c>
      <c r="R616" s="16" t="s">
        <v>8586</v>
      </c>
      <c r="S616" s="16" t="s">
        <v>8292</v>
      </c>
      <c r="T616" t="s">
        <v>1627</v>
      </c>
      <c r="U616">
        <v>0</v>
      </c>
      <c r="V616" t="s">
        <v>8654</v>
      </c>
      <c r="W616" t="s">
        <v>104</v>
      </c>
      <c r="X616" t="s">
        <v>8660</v>
      </c>
      <c r="Y616">
        <f t="shared" si="19"/>
        <v>1</v>
      </c>
    </row>
    <row r="617" spans="1:25" hidden="1">
      <c r="A617" t="s">
        <v>1628</v>
      </c>
      <c r="B617" t="s">
        <v>4761</v>
      </c>
      <c r="C617">
        <v>1183</v>
      </c>
      <c r="D617">
        <v>12</v>
      </c>
      <c r="E617" t="s">
        <v>4374</v>
      </c>
      <c r="F617" t="s">
        <v>4732</v>
      </c>
      <c r="H617" t="s">
        <v>1468</v>
      </c>
      <c r="J617" t="s">
        <v>9031</v>
      </c>
      <c r="L617">
        <f t="shared" si="18"/>
        <v>1</v>
      </c>
      <c r="M617" t="s">
        <v>6377</v>
      </c>
      <c r="N617" t="s">
        <v>6378</v>
      </c>
      <c r="O617" t="s">
        <v>104</v>
      </c>
      <c r="P617">
        <v>25400</v>
      </c>
      <c r="Q617">
        <v>499370</v>
      </c>
      <c r="R617" s="16" t="s">
        <v>8577</v>
      </c>
      <c r="S617" s="16" t="s">
        <v>8282</v>
      </c>
      <c r="T617" t="s">
        <v>1628</v>
      </c>
      <c r="U617">
        <v>1</v>
      </c>
      <c r="V617" t="s">
        <v>8656</v>
      </c>
      <c r="W617" t="s">
        <v>104</v>
      </c>
      <c r="X617" t="s">
        <v>8660</v>
      </c>
      <c r="Y617">
        <f t="shared" si="19"/>
        <v>1</v>
      </c>
    </row>
    <row r="618" spans="1:25" hidden="1">
      <c r="A618" t="s">
        <v>1629</v>
      </c>
      <c r="B618" t="s">
        <v>1380</v>
      </c>
      <c r="C618">
        <v>1195</v>
      </c>
      <c r="D618">
        <v>12</v>
      </c>
      <c r="E618" t="s">
        <v>1444</v>
      </c>
      <c r="F618" t="s">
        <v>4732</v>
      </c>
      <c r="H618" t="s">
        <v>1468</v>
      </c>
      <c r="J618" t="s">
        <v>8668</v>
      </c>
      <c r="L618">
        <f t="shared" si="18"/>
        <v>0</v>
      </c>
      <c r="R618" s="16" t="s">
        <v>8064</v>
      </c>
      <c r="S618" s="16" t="s">
        <v>8064</v>
      </c>
      <c r="T618" t="s">
        <v>1629</v>
      </c>
      <c r="U618">
        <v>0</v>
      </c>
      <c r="V618" t="s">
        <v>8655</v>
      </c>
      <c r="X618" t="s">
        <v>8660</v>
      </c>
      <c r="Y618">
        <f t="shared" si="19"/>
        <v>0</v>
      </c>
    </row>
    <row r="619" spans="1:25" hidden="1">
      <c r="A619" t="s">
        <v>1630</v>
      </c>
      <c r="B619" t="s">
        <v>4762</v>
      </c>
      <c r="C619">
        <v>1188</v>
      </c>
      <c r="D619">
        <v>12</v>
      </c>
      <c r="E619" t="s">
        <v>4515</v>
      </c>
      <c r="F619" t="s">
        <v>4732</v>
      </c>
      <c r="H619" t="s">
        <v>1469</v>
      </c>
      <c r="J619" t="s">
        <v>8668</v>
      </c>
      <c r="L619">
        <f t="shared" si="18"/>
        <v>1</v>
      </c>
      <c r="M619" t="s">
        <v>4515</v>
      </c>
      <c r="N619" t="s">
        <v>6404</v>
      </c>
      <c r="O619" t="s">
        <v>11</v>
      </c>
      <c r="P619" t="s">
        <v>6641</v>
      </c>
      <c r="Q619" t="s">
        <v>6642</v>
      </c>
      <c r="R619" s="16" t="s">
        <v>8584</v>
      </c>
      <c r="S619" s="16" t="s">
        <v>8290</v>
      </c>
      <c r="T619" t="s">
        <v>1630</v>
      </c>
      <c r="U619">
        <v>0</v>
      </c>
      <c r="V619" t="s">
        <v>8654</v>
      </c>
      <c r="W619" t="s">
        <v>11</v>
      </c>
      <c r="X619" t="s">
        <v>8660</v>
      </c>
      <c r="Y619">
        <f t="shared" si="19"/>
        <v>1</v>
      </c>
    </row>
    <row r="620" spans="1:25" hidden="1">
      <c r="A620" t="s">
        <v>2101</v>
      </c>
      <c r="B620" t="s">
        <v>4763</v>
      </c>
      <c r="C620">
        <v>928</v>
      </c>
      <c r="D620">
        <v>10</v>
      </c>
      <c r="E620" t="s">
        <v>1444</v>
      </c>
      <c r="F620" t="s">
        <v>4764</v>
      </c>
      <c r="H620" t="s">
        <v>1508</v>
      </c>
      <c r="J620" t="s">
        <v>8816</v>
      </c>
      <c r="L620">
        <f t="shared" si="18"/>
        <v>0</v>
      </c>
      <c r="R620" s="16" t="s">
        <v>8064</v>
      </c>
      <c r="S620" s="16" t="s">
        <v>8064</v>
      </c>
      <c r="T620" t="s">
        <v>7982</v>
      </c>
      <c r="U620">
        <v>1</v>
      </c>
      <c r="V620" t="s">
        <v>8655</v>
      </c>
      <c r="X620" t="s">
        <v>8660</v>
      </c>
      <c r="Y620">
        <f t="shared" si="19"/>
        <v>0</v>
      </c>
    </row>
    <row r="621" spans="1:25" hidden="1">
      <c r="A621" t="s">
        <v>1726</v>
      </c>
      <c r="B621" t="s">
        <v>4765</v>
      </c>
      <c r="C621">
        <v>950</v>
      </c>
      <c r="D621">
        <v>10</v>
      </c>
      <c r="E621" t="s">
        <v>4362</v>
      </c>
      <c r="F621" t="s">
        <v>4764</v>
      </c>
      <c r="H621" t="s">
        <v>1509</v>
      </c>
      <c r="J621" t="s">
        <v>9032</v>
      </c>
      <c r="L621">
        <f t="shared" si="18"/>
        <v>1</v>
      </c>
      <c r="M621" t="s">
        <v>4362</v>
      </c>
      <c r="N621" t="s">
        <v>6373</v>
      </c>
      <c r="O621" t="s">
        <v>104</v>
      </c>
      <c r="P621">
        <v>46540</v>
      </c>
      <c r="Q621">
        <v>464340</v>
      </c>
      <c r="R621" s="16" t="s">
        <v>8392</v>
      </c>
      <c r="S621" s="16" t="s">
        <v>8096</v>
      </c>
      <c r="T621" t="s">
        <v>1726</v>
      </c>
      <c r="U621">
        <v>1</v>
      </c>
      <c r="V621" t="s">
        <v>8656</v>
      </c>
      <c r="W621" t="s">
        <v>104</v>
      </c>
      <c r="X621" t="s">
        <v>8660</v>
      </c>
      <c r="Y621">
        <f t="shared" si="19"/>
        <v>1</v>
      </c>
    </row>
    <row r="622" spans="1:25" hidden="1">
      <c r="A622" t="s">
        <v>1727</v>
      </c>
      <c r="B622" t="s">
        <v>4766</v>
      </c>
      <c r="C622">
        <v>955</v>
      </c>
      <c r="D622">
        <v>10</v>
      </c>
      <c r="E622" t="s">
        <v>4362</v>
      </c>
      <c r="F622" t="s">
        <v>4764</v>
      </c>
      <c r="H622" t="s">
        <v>1509</v>
      </c>
      <c r="J622" t="s">
        <v>9033</v>
      </c>
      <c r="L622">
        <f t="shared" si="18"/>
        <v>1</v>
      </c>
      <c r="M622" t="s">
        <v>4362</v>
      </c>
      <c r="N622" t="s">
        <v>6373</v>
      </c>
      <c r="O622" t="s">
        <v>104</v>
      </c>
      <c r="P622">
        <v>46540</v>
      </c>
      <c r="Q622">
        <v>464340</v>
      </c>
      <c r="R622" s="16" t="s">
        <v>8392</v>
      </c>
      <c r="S622" s="16" t="s">
        <v>8096</v>
      </c>
      <c r="T622" t="s">
        <v>1727</v>
      </c>
      <c r="U622">
        <v>1</v>
      </c>
      <c r="V622" t="s">
        <v>8656</v>
      </c>
      <c r="W622" t="s">
        <v>104</v>
      </c>
      <c r="X622" t="s">
        <v>8660</v>
      </c>
      <c r="Y622">
        <f t="shared" si="19"/>
        <v>1</v>
      </c>
    </row>
    <row r="623" spans="1:25" hidden="1">
      <c r="A623" t="s">
        <v>1728</v>
      </c>
      <c r="B623" t="s">
        <v>4767</v>
      </c>
      <c r="C623">
        <v>974</v>
      </c>
      <c r="D623">
        <v>10</v>
      </c>
      <c r="E623" t="s">
        <v>4365</v>
      </c>
      <c r="F623" t="s">
        <v>4764</v>
      </c>
      <c r="H623" t="s">
        <v>1510</v>
      </c>
      <c r="J623" t="s">
        <v>8668</v>
      </c>
      <c r="L623">
        <f t="shared" si="18"/>
        <v>1</v>
      </c>
      <c r="M623" t="s">
        <v>6758</v>
      </c>
      <c r="N623" t="s">
        <v>6759</v>
      </c>
      <c r="O623" t="s">
        <v>104</v>
      </c>
      <c r="P623" t="s">
        <v>6760</v>
      </c>
      <c r="Q623" t="s">
        <v>6761</v>
      </c>
      <c r="R623" s="16" t="s">
        <v>8483</v>
      </c>
      <c r="S623" s="16" t="s">
        <v>8188</v>
      </c>
      <c r="T623" t="s">
        <v>1728</v>
      </c>
      <c r="U623">
        <v>0</v>
      </c>
      <c r="V623" t="s">
        <v>8654</v>
      </c>
      <c r="W623" t="s">
        <v>104</v>
      </c>
      <c r="X623" t="s">
        <v>8660</v>
      </c>
      <c r="Y623">
        <f t="shared" si="19"/>
        <v>1</v>
      </c>
    </row>
    <row r="624" spans="1:25" hidden="1">
      <c r="A624" t="s">
        <v>1735</v>
      </c>
      <c r="B624" t="s">
        <v>4768</v>
      </c>
      <c r="C624">
        <v>992</v>
      </c>
      <c r="D624">
        <v>10</v>
      </c>
      <c r="E624" t="s">
        <v>4378</v>
      </c>
      <c r="F624" t="s">
        <v>4764</v>
      </c>
      <c r="H624" t="s">
        <v>1515</v>
      </c>
      <c r="J624" t="s">
        <v>8668</v>
      </c>
      <c r="L624">
        <f t="shared" si="18"/>
        <v>1</v>
      </c>
      <c r="M624" t="s">
        <v>6997</v>
      </c>
      <c r="N624" t="s">
        <v>6998</v>
      </c>
      <c r="O624" t="s">
        <v>6994</v>
      </c>
      <c r="P624">
        <v>-44647</v>
      </c>
      <c r="Q624">
        <v>424528</v>
      </c>
      <c r="R624" s="16" t="s">
        <v>8603</v>
      </c>
      <c r="S624" s="16" t="s">
        <v>8309</v>
      </c>
      <c r="T624" t="s">
        <v>1735</v>
      </c>
      <c r="U624">
        <v>0</v>
      </c>
      <c r="V624" t="s">
        <v>8654</v>
      </c>
      <c r="W624" t="s">
        <v>6994</v>
      </c>
      <c r="X624" t="s">
        <v>8660</v>
      </c>
      <c r="Y624">
        <f t="shared" si="19"/>
        <v>1</v>
      </c>
    </row>
    <row r="625" spans="1:25" hidden="1">
      <c r="A625" t="s">
        <v>1729</v>
      </c>
      <c r="B625" t="s">
        <v>4769</v>
      </c>
      <c r="C625">
        <v>975</v>
      </c>
      <c r="D625">
        <v>10</v>
      </c>
      <c r="E625" t="s">
        <v>4362</v>
      </c>
      <c r="F625" t="s">
        <v>4764</v>
      </c>
      <c r="H625" t="s">
        <v>1511</v>
      </c>
      <c r="J625" t="s">
        <v>9034</v>
      </c>
      <c r="L625">
        <f t="shared" si="18"/>
        <v>1</v>
      </c>
      <c r="M625" t="s">
        <v>4362</v>
      </c>
      <c r="N625" t="s">
        <v>6373</v>
      </c>
      <c r="O625" t="s">
        <v>104</v>
      </c>
      <c r="P625">
        <v>46540</v>
      </c>
      <c r="Q625">
        <v>464340</v>
      </c>
      <c r="R625" s="16" t="s">
        <v>8392</v>
      </c>
      <c r="S625" s="16" t="s">
        <v>8096</v>
      </c>
      <c r="T625" t="s">
        <v>1729</v>
      </c>
      <c r="U625">
        <v>1</v>
      </c>
      <c r="V625" t="s">
        <v>8656</v>
      </c>
      <c r="W625" t="s">
        <v>104</v>
      </c>
      <c r="X625" t="s">
        <v>8660</v>
      </c>
      <c r="Y625">
        <f t="shared" si="19"/>
        <v>1</v>
      </c>
    </row>
    <row r="626" spans="1:25" hidden="1">
      <c r="A626" t="s">
        <v>1730</v>
      </c>
      <c r="B626" t="s">
        <v>4771</v>
      </c>
      <c r="C626">
        <v>982</v>
      </c>
      <c r="D626">
        <v>10</v>
      </c>
      <c r="E626" t="s">
        <v>4362</v>
      </c>
      <c r="F626" t="s">
        <v>4764</v>
      </c>
      <c r="H626" t="s">
        <v>1512</v>
      </c>
      <c r="J626" t="s">
        <v>9036</v>
      </c>
      <c r="L626">
        <f t="shared" si="18"/>
        <v>1</v>
      </c>
      <c r="M626" t="s">
        <v>4362</v>
      </c>
      <c r="N626" t="s">
        <v>6373</v>
      </c>
      <c r="O626" t="s">
        <v>104</v>
      </c>
      <c r="P626">
        <v>46540</v>
      </c>
      <c r="Q626">
        <v>464340</v>
      </c>
      <c r="R626" s="16" t="s">
        <v>8392</v>
      </c>
      <c r="S626" s="16" t="s">
        <v>8096</v>
      </c>
      <c r="T626" t="s">
        <v>1730</v>
      </c>
      <c r="U626">
        <v>1</v>
      </c>
      <c r="V626" t="s">
        <v>8656</v>
      </c>
      <c r="W626" t="s">
        <v>104</v>
      </c>
      <c r="X626" t="s">
        <v>8660</v>
      </c>
      <c r="Y626">
        <f t="shared" si="19"/>
        <v>1</v>
      </c>
    </row>
    <row r="627" spans="1:25" hidden="1">
      <c r="A627" t="s">
        <v>1731</v>
      </c>
      <c r="B627" t="s">
        <v>4770</v>
      </c>
      <c r="C627">
        <v>986</v>
      </c>
      <c r="D627">
        <v>10</v>
      </c>
      <c r="E627" t="s">
        <v>4362</v>
      </c>
      <c r="F627" t="s">
        <v>4764</v>
      </c>
      <c r="H627" t="s">
        <v>1512</v>
      </c>
      <c r="J627" t="s">
        <v>9035</v>
      </c>
      <c r="L627">
        <f t="shared" si="18"/>
        <v>1</v>
      </c>
      <c r="M627" t="s">
        <v>4362</v>
      </c>
      <c r="N627" t="s">
        <v>6373</v>
      </c>
      <c r="O627" t="s">
        <v>104</v>
      </c>
      <c r="P627">
        <v>46540</v>
      </c>
      <c r="Q627">
        <v>464340</v>
      </c>
      <c r="R627" s="16" t="s">
        <v>8392</v>
      </c>
      <c r="S627" s="16" t="s">
        <v>8096</v>
      </c>
      <c r="T627" t="s">
        <v>1731</v>
      </c>
      <c r="U627">
        <v>1</v>
      </c>
      <c r="V627" t="s">
        <v>8656</v>
      </c>
      <c r="W627" t="s">
        <v>104</v>
      </c>
      <c r="X627" t="s">
        <v>8660</v>
      </c>
      <c r="Y627">
        <f t="shared" si="19"/>
        <v>1</v>
      </c>
    </row>
    <row r="628" spans="1:25" hidden="1">
      <c r="A628" t="s">
        <v>1732</v>
      </c>
      <c r="B628" t="s">
        <v>4770</v>
      </c>
      <c r="C628">
        <v>986</v>
      </c>
      <c r="D628">
        <v>10</v>
      </c>
      <c r="E628" t="s">
        <v>4362</v>
      </c>
      <c r="F628" t="s">
        <v>4764</v>
      </c>
      <c r="H628" t="s">
        <v>1513</v>
      </c>
      <c r="J628" t="s">
        <v>9037</v>
      </c>
      <c r="L628">
        <f t="shared" si="18"/>
        <v>1</v>
      </c>
      <c r="M628" t="s">
        <v>4362</v>
      </c>
      <c r="N628" t="s">
        <v>6373</v>
      </c>
      <c r="O628" t="s">
        <v>104</v>
      </c>
      <c r="P628">
        <v>46540</v>
      </c>
      <c r="Q628">
        <v>464340</v>
      </c>
      <c r="R628" s="16" t="s">
        <v>8392</v>
      </c>
      <c r="S628" s="16" t="s">
        <v>8096</v>
      </c>
      <c r="T628" t="s">
        <v>1732</v>
      </c>
      <c r="U628">
        <v>1</v>
      </c>
      <c r="V628" t="s">
        <v>8656</v>
      </c>
      <c r="W628" t="s">
        <v>104</v>
      </c>
      <c r="X628" t="s">
        <v>8660</v>
      </c>
      <c r="Y628">
        <f t="shared" si="19"/>
        <v>1</v>
      </c>
    </row>
    <row r="629" spans="1:25" hidden="1">
      <c r="A629" t="s">
        <v>1734</v>
      </c>
      <c r="B629" t="s">
        <v>4772</v>
      </c>
      <c r="C629">
        <v>986</v>
      </c>
      <c r="D629">
        <v>10</v>
      </c>
      <c r="E629" t="s">
        <v>4362</v>
      </c>
      <c r="F629" t="s">
        <v>4764</v>
      </c>
      <c r="H629" t="s">
        <v>1514</v>
      </c>
      <c r="J629" t="s">
        <v>9038</v>
      </c>
      <c r="L629">
        <f t="shared" si="18"/>
        <v>1</v>
      </c>
      <c r="M629" t="s">
        <v>4362</v>
      </c>
      <c r="N629" t="s">
        <v>6373</v>
      </c>
      <c r="O629" t="s">
        <v>104</v>
      </c>
      <c r="P629">
        <v>46540</v>
      </c>
      <c r="Q629">
        <v>464340</v>
      </c>
      <c r="R629" s="16" t="s">
        <v>8392</v>
      </c>
      <c r="S629" s="16" t="s">
        <v>8096</v>
      </c>
      <c r="T629" t="s">
        <v>1734</v>
      </c>
      <c r="U629">
        <v>1</v>
      </c>
      <c r="V629" t="s">
        <v>8656</v>
      </c>
      <c r="W629" t="s">
        <v>104</v>
      </c>
      <c r="X629" t="s">
        <v>8660</v>
      </c>
      <c r="Y629">
        <f t="shared" si="19"/>
        <v>1</v>
      </c>
    </row>
    <row r="630" spans="1:25" hidden="1">
      <c r="A630" t="s">
        <v>1737</v>
      </c>
      <c r="B630" t="s">
        <v>4773</v>
      </c>
      <c r="C630">
        <v>1003</v>
      </c>
      <c r="D630">
        <v>11</v>
      </c>
      <c r="E630" t="s">
        <v>4362</v>
      </c>
      <c r="F630" t="s">
        <v>4764</v>
      </c>
      <c r="H630" t="s">
        <v>1516</v>
      </c>
      <c r="J630" t="s">
        <v>9039</v>
      </c>
      <c r="L630">
        <f t="shared" si="18"/>
        <v>1</v>
      </c>
      <c r="M630" t="s">
        <v>4362</v>
      </c>
      <c r="N630" t="s">
        <v>6373</v>
      </c>
      <c r="O630" t="s">
        <v>104</v>
      </c>
      <c r="P630">
        <v>46540</v>
      </c>
      <c r="Q630">
        <v>464340</v>
      </c>
      <c r="R630" s="16" t="s">
        <v>8392</v>
      </c>
      <c r="S630" s="16" t="s">
        <v>8096</v>
      </c>
      <c r="T630" t="s">
        <v>1737</v>
      </c>
      <c r="U630">
        <v>1</v>
      </c>
      <c r="V630" t="s">
        <v>8656</v>
      </c>
      <c r="W630" t="s">
        <v>104</v>
      </c>
      <c r="X630" t="s">
        <v>8660</v>
      </c>
      <c r="Y630">
        <f t="shared" si="19"/>
        <v>1</v>
      </c>
    </row>
    <row r="631" spans="1:25" hidden="1">
      <c r="A631" t="s">
        <v>2103</v>
      </c>
      <c r="B631" t="s">
        <v>4775</v>
      </c>
      <c r="C631">
        <v>1005</v>
      </c>
      <c r="D631">
        <v>11</v>
      </c>
      <c r="E631" t="s">
        <v>4362</v>
      </c>
      <c r="F631" t="s">
        <v>4764</v>
      </c>
      <c r="H631" t="s">
        <v>1517</v>
      </c>
      <c r="J631" t="s">
        <v>9041</v>
      </c>
      <c r="L631">
        <f t="shared" si="18"/>
        <v>1</v>
      </c>
      <c r="M631" t="s">
        <v>4362</v>
      </c>
      <c r="N631" t="s">
        <v>6373</v>
      </c>
      <c r="O631" t="s">
        <v>104</v>
      </c>
      <c r="P631">
        <v>46540</v>
      </c>
      <c r="Q631">
        <v>464340</v>
      </c>
      <c r="R631" s="16" t="s">
        <v>8392</v>
      </c>
      <c r="S631" s="16" t="s">
        <v>8096</v>
      </c>
      <c r="T631" t="s">
        <v>8032</v>
      </c>
      <c r="U631">
        <v>1</v>
      </c>
      <c r="V631" t="s">
        <v>8656</v>
      </c>
      <c r="W631" t="s">
        <v>104</v>
      </c>
      <c r="X631" t="s">
        <v>8660</v>
      </c>
      <c r="Y631">
        <f t="shared" si="19"/>
        <v>1</v>
      </c>
    </row>
    <row r="632" spans="1:25" hidden="1">
      <c r="A632" t="s">
        <v>2104</v>
      </c>
      <c r="B632" t="s">
        <v>4774</v>
      </c>
      <c r="C632">
        <v>1006</v>
      </c>
      <c r="D632">
        <v>11</v>
      </c>
      <c r="E632" t="s">
        <v>4362</v>
      </c>
      <c r="F632" t="s">
        <v>4764</v>
      </c>
      <c r="H632" t="s">
        <v>1517</v>
      </c>
      <c r="J632" t="s">
        <v>9040</v>
      </c>
      <c r="L632">
        <f t="shared" si="18"/>
        <v>1</v>
      </c>
      <c r="M632" t="s">
        <v>4362</v>
      </c>
      <c r="N632" t="s">
        <v>6373</v>
      </c>
      <c r="O632" t="s">
        <v>104</v>
      </c>
      <c r="P632">
        <v>46540</v>
      </c>
      <c r="Q632">
        <v>464340</v>
      </c>
      <c r="R632" s="16" t="s">
        <v>8392</v>
      </c>
      <c r="S632" s="16" t="s">
        <v>8096</v>
      </c>
      <c r="T632" t="s">
        <v>7977</v>
      </c>
      <c r="U632">
        <v>1</v>
      </c>
      <c r="V632" t="s">
        <v>8656</v>
      </c>
      <c r="W632" t="s">
        <v>104</v>
      </c>
      <c r="X632" t="s">
        <v>8660</v>
      </c>
      <c r="Y632">
        <f t="shared" si="19"/>
        <v>1</v>
      </c>
    </row>
    <row r="633" spans="1:25" hidden="1">
      <c r="A633" t="s">
        <v>1738</v>
      </c>
      <c r="B633" t="s">
        <v>4776</v>
      </c>
      <c r="C633">
        <v>1024</v>
      </c>
      <c r="D633">
        <v>11</v>
      </c>
      <c r="E633" t="s">
        <v>4362</v>
      </c>
      <c r="F633" t="s">
        <v>4764</v>
      </c>
      <c r="H633" t="s">
        <v>1518</v>
      </c>
      <c r="J633" t="s">
        <v>9042</v>
      </c>
      <c r="L633">
        <f t="shared" si="18"/>
        <v>1</v>
      </c>
      <c r="M633" t="s">
        <v>4362</v>
      </c>
      <c r="N633" t="s">
        <v>6373</v>
      </c>
      <c r="O633" t="s">
        <v>104</v>
      </c>
      <c r="P633">
        <v>46540</v>
      </c>
      <c r="Q633">
        <v>464340</v>
      </c>
      <c r="R633" s="16" t="s">
        <v>8392</v>
      </c>
      <c r="S633" s="16" t="s">
        <v>8096</v>
      </c>
      <c r="T633" t="s">
        <v>1738</v>
      </c>
      <c r="U633">
        <v>1</v>
      </c>
      <c r="V633" t="s">
        <v>8656</v>
      </c>
      <c r="W633" t="s">
        <v>104</v>
      </c>
      <c r="X633" t="s">
        <v>8660</v>
      </c>
      <c r="Y633">
        <f t="shared" si="19"/>
        <v>1</v>
      </c>
    </row>
    <row r="634" spans="1:25" hidden="1">
      <c r="A634" t="s">
        <v>2106</v>
      </c>
      <c r="B634" t="s">
        <v>4450</v>
      </c>
      <c r="C634">
        <v>1117</v>
      </c>
      <c r="D634">
        <v>12</v>
      </c>
      <c r="E634" t="s">
        <v>4362</v>
      </c>
      <c r="F634" t="s">
        <v>4764</v>
      </c>
      <c r="H634" t="s">
        <v>1523</v>
      </c>
      <c r="J634" t="s">
        <v>9043</v>
      </c>
      <c r="L634">
        <f t="shared" si="18"/>
        <v>1</v>
      </c>
      <c r="M634" t="s">
        <v>4362</v>
      </c>
      <c r="N634" t="s">
        <v>6373</v>
      </c>
      <c r="O634" t="s">
        <v>104</v>
      </c>
      <c r="P634">
        <v>46540</v>
      </c>
      <c r="Q634">
        <v>464340</v>
      </c>
      <c r="R634" s="16" t="s">
        <v>8392</v>
      </c>
      <c r="S634" s="16" t="s">
        <v>8096</v>
      </c>
      <c r="T634" t="s">
        <v>7978</v>
      </c>
      <c r="U634">
        <v>1</v>
      </c>
      <c r="V634" t="s">
        <v>8656</v>
      </c>
      <c r="W634" t="s">
        <v>104</v>
      </c>
      <c r="X634" t="s">
        <v>8660</v>
      </c>
      <c r="Y634">
        <f t="shared" si="19"/>
        <v>1</v>
      </c>
    </row>
    <row r="635" spans="1:25" hidden="1">
      <c r="A635" t="s">
        <v>1740</v>
      </c>
      <c r="B635" t="s">
        <v>4777</v>
      </c>
      <c r="C635">
        <v>1066</v>
      </c>
      <c r="D635">
        <v>11</v>
      </c>
      <c r="E635" t="s">
        <v>4362</v>
      </c>
      <c r="F635" t="s">
        <v>4764</v>
      </c>
      <c r="H635" t="s">
        <v>1519</v>
      </c>
      <c r="J635" t="s">
        <v>8668</v>
      </c>
      <c r="L635">
        <f t="shared" si="18"/>
        <v>1</v>
      </c>
      <c r="M635" t="s">
        <v>4362</v>
      </c>
      <c r="N635" t="s">
        <v>6373</v>
      </c>
      <c r="O635" t="s">
        <v>104</v>
      </c>
      <c r="P635">
        <v>46540</v>
      </c>
      <c r="Q635">
        <v>464340</v>
      </c>
      <c r="R635" s="16" t="s">
        <v>8392</v>
      </c>
      <c r="S635" s="16" t="s">
        <v>8096</v>
      </c>
      <c r="T635" t="s">
        <v>1740</v>
      </c>
      <c r="U635">
        <v>0</v>
      </c>
      <c r="V635" t="s">
        <v>8654</v>
      </c>
      <c r="W635" t="s">
        <v>104</v>
      </c>
      <c r="X635" t="s">
        <v>8660</v>
      </c>
      <c r="Y635">
        <f t="shared" si="19"/>
        <v>1</v>
      </c>
    </row>
    <row r="636" spans="1:25" hidden="1">
      <c r="A636" t="s">
        <v>2107</v>
      </c>
      <c r="B636" t="s">
        <v>4779</v>
      </c>
      <c r="C636">
        <v>1129</v>
      </c>
      <c r="D636">
        <v>12</v>
      </c>
      <c r="E636" t="s">
        <v>4458</v>
      </c>
      <c r="F636" t="s">
        <v>4764</v>
      </c>
      <c r="H636" t="s">
        <v>1525</v>
      </c>
      <c r="J636" t="s">
        <v>9044</v>
      </c>
      <c r="L636">
        <f t="shared" si="18"/>
        <v>1</v>
      </c>
      <c r="M636" t="s">
        <v>4458</v>
      </c>
      <c r="N636" t="s">
        <v>6770</v>
      </c>
      <c r="O636" t="s">
        <v>104</v>
      </c>
      <c r="P636" t="s">
        <v>6771</v>
      </c>
      <c r="Q636" t="s">
        <v>6772</v>
      </c>
      <c r="R636" s="16" t="s">
        <v>8597</v>
      </c>
      <c r="S636" s="16" t="s">
        <v>8303</v>
      </c>
      <c r="T636" t="s">
        <v>7975</v>
      </c>
      <c r="U636">
        <v>1</v>
      </c>
      <c r="V636" t="s">
        <v>8656</v>
      </c>
      <c r="W636" t="s">
        <v>104</v>
      </c>
      <c r="X636" t="s">
        <v>8660</v>
      </c>
      <c r="Y636">
        <f t="shared" si="19"/>
        <v>1</v>
      </c>
    </row>
    <row r="637" spans="1:25" hidden="1">
      <c r="A637" t="s">
        <v>2108</v>
      </c>
      <c r="B637" t="s">
        <v>4780</v>
      </c>
      <c r="C637">
        <v>1145</v>
      </c>
      <c r="D637">
        <v>12</v>
      </c>
      <c r="E637" t="s">
        <v>4458</v>
      </c>
      <c r="F637" t="s">
        <v>4764</v>
      </c>
      <c r="H637" t="s">
        <v>1525</v>
      </c>
      <c r="J637" t="s">
        <v>9044</v>
      </c>
      <c r="L637">
        <f t="shared" si="18"/>
        <v>1</v>
      </c>
      <c r="M637" t="s">
        <v>4458</v>
      </c>
      <c r="N637" t="s">
        <v>6770</v>
      </c>
      <c r="O637" t="s">
        <v>104</v>
      </c>
      <c r="P637" t="s">
        <v>6771</v>
      </c>
      <c r="Q637" t="s">
        <v>6772</v>
      </c>
      <c r="R637" s="16" t="s">
        <v>8597</v>
      </c>
      <c r="S637" s="16" t="s">
        <v>8303</v>
      </c>
      <c r="T637" t="s">
        <v>7975</v>
      </c>
      <c r="U637">
        <v>1</v>
      </c>
      <c r="V637" t="s">
        <v>8656</v>
      </c>
      <c r="W637" t="s">
        <v>104</v>
      </c>
      <c r="X637" t="s">
        <v>8660</v>
      </c>
      <c r="Y637">
        <f t="shared" si="19"/>
        <v>1</v>
      </c>
    </row>
    <row r="638" spans="1:25" hidden="1">
      <c r="A638" t="s">
        <v>2111</v>
      </c>
      <c r="B638" t="s">
        <v>4778</v>
      </c>
      <c r="C638">
        <v>1160</v>
      </c>
      <c r="D638">
        <v>12</v>
      </c>
      <c r="E638" t="s">
        <v>4458</v>
      </c>
      <c r="F638" t="s">
        <v>4764</v>
      </c>
      <c r="H638" t="s">
        <v>1525</v>
      </c>
      <c r="J638" t="s">
        <v>9044</v>
      </c>
      <c r="L638">
        <f t="shared" si="18"/>
        <v>1</v>
      </c>
      <c r="M638" t="s">
        <v>4458</v>
      </c>
      <c r="N638" t="s">
        <v>6770</v>
      </c>
      <c r="O638" t="s">
        <v>104</v>
      </c>
      <c r="P638" t="s">
        <v>6771</v>
      </c>
      <c r="Q638" t="s">
        <v>6772</v>
      </c>
      <c r="R638" s="16" t="s">
        <v>8597</v>
      </c>
      <c r="S638" s="16" t="s">
        <v>8303</v>
      </c>
      <c r="T638" t="s">
        <v>7975</v>
      </c>
      <c r="U638">
        <v>1</v>
      </c>
      <c r="V638" t="s">
        <v>8656</v>
      </c>
      <c r="W638" t="s">
        <v>104</v>
      </c>
      <c r="X638" t="s">
        <v>8660</v>
      </c>
      <c r="Y638">
        <f t="shared" si="19"/>
        <v>1</v>
      </c>
    </row>
    <row r="639" spans="1:25" hidden="1">
      <c r="A639" t="s">
        <v>1741</v>
      </c>
      <c r="B639" t="s">
        <v>4781</v>
      </c>
      <c r="C639">
        <v>1072</v>
      </c>
      <c r="D639">
        <v>11</v>
      </c>
      <c r="E639" t="s">
        <v>4423</v>
      </c>
      <c r="F639" t="s">
        <v>4764</v>
      </c>
      <c r="H639" t="s">
        <v>1520</v>
      </c>
      <c r="J639" t="s">
        <v>8668</v>
      </c>
      <c r="L639">
        <f t="shared" si="18"/>
        <v>1</v>
      </c>
      <c r="M639" t="s">
        <v>6483</v>
      </c>
      <c r="N639" t="s">
        <v>6484</v>
      </c>
      <c r="O639" t="s">
        <v>6290</v>
      </c>
      <c r="P639">
        <v>-38090</v>
      </c>
      <c r="Q639">
        <v>423540</v>
      </c>
      <c r="R639" s="16" t="s">
        <v>8425</v>
      </c>
      <c r="S639" s="16" t="s">
        <v>8129</v>
      </c>
      <c r="T639" t="s">
        <v>1741</v>
      </c>
      <c r="U639">
        <v>0</v>
      </c>
      <c r="V639" t="s">
        <v>8654</v>
      </c>
      <c r="W639" t="s">
        <v>6290</v>
      </c>
      <c r="X639" t="s">
        <v>8660</v>
      </c>
      <c r="Y639">
        <f t="shared" si="19"/>
        <v>1</v>
      </c>
    </row>
    <row r="640" spans="1:25" hidden="1">
      <c r="A640" t="s">
        <v>1742</v>
      </c>
      <c r="B640" t="s">
        <v>4782</v>
      </c>
      <c r="C640">
        <v>1095</v>
      </c>
      <c r="D640">
        <v>11</v>
      </c>
      <c r="E640" t="s">
        <v>4362</v>
      </c>
      <c r="F640" t="s">
        <v>4764</v>
      </c>
      <c r="H640" t="s">
        <v>1521</v>
      </c>
      <c r="J640" t="s">
        <v>9045</v>
      </c>
      <c r="L640">
        <f t="shared" si="18"/>
        <v>1</v>
      </c>
      <c r="M640" t="s">
        <v>4362</v>
      </c>
      <c r="N640" t="s">
        <v>6373</v>
      </c>
      <c r="O640" t="s">
        <v>104</v>
      </c>
      <c r="P640">
        <v>46540</v>
      </c>
      <c r="Q640">
        <v>464340</v>
      </c>
      <c r="R640" s="16" t="s">
        <v>8392</v>
      </c>
      <c r="S640" s="16" t="s">
        <v>8096</v>
      </c>
      <c r="T640" t="s">
        <v>1742</v>
      </c>
      <c r="U640">
        <v>1</v>
      </c>
      <c r="V640" t="s">
        <v>8656</v>
      </c>
      <c r="W640" t="s">
        <v>104</v>
      </c>
      <c r="X640" t="s">
        <v>8660</v>
      </c>
      <c r="Y640">
        <f t="shared" si="19"/>
        <v>1</v>
      </c>
    </row>
    <row r="641" spans="1:25" hidden="1">
      <c r="A641" t="s">
        <v>2105</v>
      </c>
      <c r="B641" t="s">
        <v>4784</v>
      </c>
      <c r="C641">
        <v>1093</v>
      </c>
      <c r="D641">
        <v>11</v>
      </c>
      <c r="E641" t="s">
        <v>4435</v>
      </c>
      <c r="F641" t="s">
        <v>4764</v>
      </c>
      <c r="H641" t="s">
        <v>1522</v>
      </c>
      <c r="J641" t="s">
        <v>8668</v>
      </c>
      <c r="L641">
        <f t="shared" si="18"/>
        <v>1</v>
      </c>
      <c r="M641" t="s">
        <v>4435</v>
      </c>
      <c r="N641" t="s">
        <v>6610</v>
      </c>
      <c r="O641" t="s">
        <v>104</v>
      </c>
      <c r="P641" t="s">
        <v>6611</v>
      </c>
      <c r="Q641" t="s">
        <v>6612</v>
      </c>
      <c r="R641" s="16" t="s">
        <v>8651</v>
      </c>
      <c r="S641" s="16" t="s">
        <v>8353</v>
      </c>
      <c r="T641" t="s">
        <v>8031</v>
      </c>
      <c r="U641">
        <v>0</v>
      </c>
      <c r="V641" t="s">
        <v>8654</v>
      </c>
      <c r="W641" t="s">
        <v>104</v>
      </c>
      <c r="X641" t="s">
        <v>8660</v>
      </c>
      <c r="Y641">
        <f t="shared" si="19"/>
        <v>1</v>
      </c>
    </row>
    <row r="642" spans="1:25" hidden="1">
      <c r="A642" t="s">
        <v>1743</v>
      </c>
      <c r="B642" t="s">
        <v>4783</v>
      </c>
      <c r="C642">
        <v>1105</v>
      </c>
      <c r="D642">
        <v>12</v>
      </c>
      <c r="E642" t="s">
        <v>4441</v>
      </c>
      <c r="F642" t="s">
        <v>4764</v>
      </c>
      <c r="H642" t="s">
        <v>1522</v>
      </c>
      <c r="J642" t="s">
        <v>8668</v>
      </c>
      <c r="L642">
        <f t="shared" ref="L642:L705" si="20">IF(M642&lt;&gt;"",1,0)</f>
        <v>1</v>
      </c>
      <c r="M642" t="s">
        <v>4441</v>
      </c>
      <c r="N642" t="s">
        <v>6594</v>
      </c>
      <c r="O642" t="s">
        <v>4016</v>
      </c>
      <c r="P642" t="s">
        <v>6891</v>
      </c>
      <c r="Q642" t="s">
        <v>6892</v>
      </c>
      <c r="R642" s="16" t="s">
        <v>8563</v>
      </c>
      <c r="S642" s="16" t="s">
        <v>8268</v>
      </c>
      <c r="T642" t="s">
        <v>1743</v>
      </c>
      <c r="U642">
        <v>0</v>
      </c>
      <c r="V642" t="s">
        <v>8654</v>
      </c>
      <c r="W642" t="s">
        <v>4016</v>
      </c>
      <c r="X642" t="s">
        <v>8660</v>
      </c>
      <c r="Y642">
        <f t="shared" ref="Y642:Y705" si="21">IF(OR(V642="Loc",V642="IIIF"),1,0)</f>
        <v>1</v>
      </c>
    </row>
    <row r="643" spans="1:25" hidden="1">
      <c r="A643" t="s">
        <v>1744</v>
      </c>
      <c r="B643" t="s">
        <v>4454</v>
      </c>
      <c r="C643">
        <v>1123</v>
      </c>
      <c r="D643">
        <v>12</v>
      </c>
      <c r="E643" t="s">
        <v>4455</v>
      </c>
      <c r="F643" t="s">
        <v>4764</v>
      </c>
      <c r="H643" t="s">
        <v>1524</v>
      </c>
      <c r="J643" t="s">
        <v>9046</v>
      </c>
      <c r="L643">
        <f t="shared" si="20"/>
        <v>1</v>
      </c>
      <c r="M643" t="s">
        <v>4455</v>
      </c>
      <c r="N643" t="s">
        <v>6305</v>
      </c>
      <c r="O643" t="s">
        <v>104</v>
      </c>
      <c r="P643">
        <v>20860</v>
      </c>
      <c r="Q643">
        <v>494300</v>
      </c>
      <c r="R643" s="16" t="s">
        <v>8427</v>
      </c>
      <c r="S643" s="16" t="s">
        <v>8131</v>
      </c>
      <c r="T643" t="s">
        <v>1744</v>
      </c>
      <c r="U643">
        <v>1</v>
      </c>
      <c r="V643" t="s">
        <v>8656</v>
      </c>
      <c r="W643" t="s">
        <v>104</v>
      </c>
      <c r="X643" t="s">
        <v>8660</v>
      </c>
      <c r="Y643">
        <f t="shared" si="21"/>
        <v>1</v>
      </c>
    </row>
    <row r="644" spans="1:25" hidden="1">
      <c r="A644" t="s">
        <v>1745</v>
      </c>
      <c r="B644" t="s">
        <v>4785</v>
      </c>
      <c r="C644">
        <v>1143</v>
      </c>
      <c r="D644">
        <v>12</v>
      </c>
      <c r="E644" t="s">
        <v>4468</v>
      </c>
      <c r="F644" t="s">
        <v>4764</v>
      </c>
      <c r="H644" t="s">
        <v>1526</v>
      </c>
      <c r="J644" t="s">
        <v>8668</v>
      </c>
      <c r="L644">
        <f t="shared" si="20"/>
        <v>1</v>
      </c>
      <c r="M644" t="s">
        <v>4468</v>
      </c>
      <c r="N644" t="s">
        <v>6378</v>
      </c>
      <c r="O644" t="s">
        <v>104</v>
      </c>
      <c r="P644" t="s">
        <v>6825</v>
      </c>
      <c r="Q644" t="s">
        <v>6519</v>
      </c>
      <c r="R644" s="16" t="s">
        <v>8595</v>
      </c>
      <c r="S644" s="16" t="s">
        <v>8300</v>
      </c>
      <c r="T644" t="s">
        <v>1745</v>
      </c>
      <c r="U644">
        <v>0</v>
      </c>
      <c r="V644" t="s">
        <v>8654</v>
      </c>
      <c r="W644" t="s">
        <v>104</v>
      </c>
      <c r="X644" t="s">
        <v>8660</v>
      </c>
      <c r="Y644">
        <f t="shared" si="21"/>
        <v>1</v>
      </c>
    </row>
    <row r="645" spans="1:25" hidden="1">
      <c r="A645" t="s">
        <v>2110</v>
      </c>
      <c r="B645" t="s">
        <v>4786</v>
      </c>
      <c r="C645">
        <v>1151</v>
      </c>
      <c r="D645">
        <v>12</v>
      </c>
      <c r="E645" t="s">
        <v>4478</v>
      </c>
      <c r="F645" t="s">
        <v>4764</v>
      </c>
      <c r="H645" t="s">
        <v>1527</v>
      </c>
      <c r="J645" t="s">
        <v>8668</v>
      </c>
      <c r="L645">
        <f t="shared" si="20"/>
        <v>1</v>
      </c>
      <c r="M645" t="s">
        <v>4478</v>
      </c>
      <c r="N645" t="s">
        <v>6849</v>
      </c>
      <c r="O645" t="s">
        <v>104</v>
      </c>
      <c r="P645" t="s">
        <v>6850</v>
      </c>
      <c r="Q645" t="s">
        <v>6851</v>
      </c>
      <c r="R645" s="16" t="s">
        <v>8593</v>
      </c>
      <c r="S645" s="16" t="s">
        <v>8298</v>
      </c>
      <c r="T645" t="s">
        <v>7972</v>
      </c>
      <c r="U645">
        <v>0</v>
      </c>
      <c r="V645" t="s">
        <v>8654</v>
      </c>
      <c r="W645" t="s">
        <v>104</v>
      </c>
      <c r="X645" t="s">
        <v>8660</v>
      </c>
      <c r="Y645">
        <f t="shared" si="21"/>
        <v>1</v>
      </c>
    </row>
    <row r="646" spans="1:25" hidden="1">
      <c r="A646" t="s">
        <v>4787</v>
      </c>
      <c r="B646" t="s">
        <v>4479</v>
      </c>
      <c r="C646">
        <v>1153</v>
      </c>
      <c r="D646">
        <v>12</v>
      </c>
      <c r="E646" t="s">
        <v>4480</v>
      </c>
      <c r="F646" t="s">
        <v>4764</v>
      </c>
      <c r="H646" t="s">
        <v>1528</v>
      </c>
      <c r="J646" t="s">
        <v>8668</v>
      </c>
      <c r="L646">
        <f t="shared" si="20"/>
        <v>1</v>
      </c>
      <c r="M646" t="s">
        <v>7029</v>
      </c>
      <c r="N646" t="s">
        <v>7030</v>
      </c>
      <c r="O646" t="s">
        <v>6973</v>
      </c>
      <c r="P646">
        <v>-19437</v>
      </c>
      <c r="Q646">
        <v>481303</v>
      </c>
      <c r="R646" s="16" t="s">
        <v>8599</v>
      </c>
      <c r="S646" s="16" t="s">
        <v>8305</v>
      </c>
      <c r="T646" t="s">
        <v>7976</v>
      </c>
      <c r="U646">
        <v>0</v>
      </c>
      <c r="V646" t="s">
        <v>8654</v>
      </c>
      <c r="W646" t="s">
        <v>6973</v>
      </c>
      <c r="X646" t="s">
        <v>8660</v>
      </c>
      <c r="Y646">
        <f t="shared" si="21"/>
        <v>1</v>
      </c>
    </row>
    <row r="647" spans="1:25" hidden="1">
      <c r="A647" t="s">
        <v>4788</v>
      </c>
      <c r="B647" t="s">
        <v>4483</v>
      </c>
      <c r="C647">
        <v>1154</v>
      </c>
      <c r="D647">
        <v>12</v>
      </c>
      <c r="E647" t="s">
        <v>4481</v>
      </c>
      <c r="F647" t="s">
        <v>4764</v>
      </c>
      <c r="H647" t="s">
        <v>1529</v>
      </c>
      <c r="J647" t="s">
        <v>8668</v>
      </c>
      <c r="L647">
        <f t="shared" si="20"/>
        <v>1</v>
      </c>
      <c r="M647" t="s">
        <v>6504</v>
      </c>
      <c r="N647" t="s">
        <v>6505</v>
      </c>
      <c r="O647" t="s">
        <v>104</v>
      </c>
      <c r="P647" t="s">
        <v>6506</v>
      </c>
      <c r="Q647" t="s">
        <v>6507</v>
      </c>
      <c r="R647" s="16" t="s">
        <v>8465</v>
      </c>
      <c r="S647" s="16" t="s">
        <v>8169</v>
      </c>
      <c r="T647" t="s">
        <v>7979</v>
      </c>
      <c r="U647">
        <v>0</v>
      </c>
      <c r="V647" t="s">
        <v>8654</v>
      </c>
      <c r="W647" t="s">
        <v>104</v>
      </c>
      <c r="X647" t="s">
        <v>8660</v>
      </c>
      <c r="Y647">
        <f t="shared" si="21"/>
        <v>1</v>
      </c>
    </row>
    <row r="648" spans="1:25" hidden="1">
      <c r="A648" t="s">
        <v>1746</v>
      </c>
      <c r="B648" t="s">
        <v>4490</v>
      </c>
      <c r="C648">
        <v>1157</v>
      </c>
      <c r="D648">
        <v>12</v>
      </c>
      <c r="E648" t="s">
        <v>4491</v>
      </c>
      <c r="F648" t="s">
        <v>4764</v>
      </c>
      <c r="H648" t="s">
        <v>1530</v>
      </c>
      <c r="J648" t="s">
        <v>8668</v>
      </c>
      <c r="L648">
        <f t="shared" si="20"/>
        <v>1</v>
      </c>
      <c r="M648" t="s">
        <v>6474</v>
      </c>
      <c r="N648" t="s">
        <v>6475</v>
      </c>
      <c r="O648" t="s">
        <v>11</v>
      </c>
      <c r="P648">
        <v>133615</v>
      </c>
      <c r="Q648">
        <v>381157</v>
      </c>
      <c r="R648" s="16" t="s">
        <v>8598</v>
      </c>
      <c r="S648" s="16" t="s">
        <v>8304</v>
      </c>
      <c r="T648" t="s">
        <v>1746</v>
      </c>
      <c r="U648">
        <v>0</v>
      </c>
      <c r="V648" t="s">
        <v>8654</v>
      </c>
      <c r="W648" t="s">
        <v>11</v>
      </c>
      <c r="X648" t="s">
        <v>8660</v>
      </c>
      <c r="Y648">
        <f t="shared" si="21"/>
        <v>1</v>
      </c>
    </row>
    <row r="649" spans="1:25" hidden="1">
      <c r="A649" t="s">
        <v>2115</v>
      </c>
      <c r="B649" t="s">
        <v>4789</v>
      </c>
      <c r="C649">
        <v>1218</v>
      </c>
      <c r="D649">
        <v>13</v>
      </c>
      <c r="E649" t="s">
        <v>4522</v>
      </c>
      <c r="F649" t="s">
        <v>4764</v>
      </c>
      <c r="H649" t="s">
        <v>1535</v>
      </c>
      <c r="J649" t="s">
        <v>9047</v>
      </c>
      <c r="L649">
        <f t="shared" si="20"/>
        <v>1</v>
      </c>
      <c r="M649" t="s">
        <v>7025</v>
      </c>
      <c r="N649" t="s">
        <v>7026</v>
      </c>
      <c r="O649" t="s">
        <v>6973</v>
      </c>
      <c r="P649">
        <v>63083</v>
      </c>
      <c r="Q649">
        <v>453997</v>
      </c>
      <c r="R649" s="16" t="s">
        <v>8592</v>
      </c>
      <c r="S649" s="16" t="s">
        <v>8297</v>
      </c>
      <c r="T649" t="s">
        <v>7971</v>
      </c>
      <c r="U649">
        <v>1</v>
      </c>
      <c r="V649" t="s">
        <v>8656</v>
      </c>
      <c r="W649" t="s">
        <v>6973</v>
      </c>
      <c r="X649" t="s">
        <v>8660</v>
      </c>
      <c r="Y649">
        <f t="shared" si="21"/>
        <v>1</v>
      </c>
    </row>
    <row r="650" spans="1:25" hidden="1">
      <c r="A650" t="s">
        <v>1750</v>
      </c>
      <c r="B650" t="s">
        <v>4524</v>
      </c>
      <c r="C650">
        <v>1221</v>
      </c>
      <c r="D650">
        <v>13</v>
      </c>
      <c r="E650" t="s">
        <v>1444</v>
      </c>
      <c r="F650" t="s">
        <v>4764</v>
      </c>
      <c r="H650" t="s">
        <v>1535</v>
      </c>
      <c r="J650" t="s">
        <v>8668</v>
      </c>
      <c r="L650">
        <f t="shared" si="20"/>
        <v>0</v>
      </c>
      <c r="R650" s="16" t="s">
        <v>8064</v>
      </c>
      <c r="S650" s="16" t="s">
        <v>8064</v>
      </c>
      <c r="T650" t="s">
        <v>1750</v>
      </c>
      <c r="U650">
        <v>0</v>
      </c>
      <c r="V650" t="s">
        <v>8655</v>
      </c>
      <c r="X650" t="s">
        <v>8660</v>
      </c>
      <c r="Y650">
        <f t="shared" si="21"/>
        <v>0</v>
      </c>
    </row>
    <row r="651" spans="1:25" hidden="1">
      <c r="A651" t="s">
        <v>2112</v>
      </c>
      <c r="B651" t="s">
        <v>4758</v>
      </c>
      <c r="C651">
        <v>1167</v>
      </c>
      <c r="D651">
        <v>12</v>
      </c>
      <c r="E651" t="s">
        <v>1444</v>
      </c>
      <c r="F651" t="s">
        <v>4764</v>
      </c>
      <c r="H651" t="s">
        <v>1531</v>
      </c>
      <c r="J651" t="s">
        <v>8668</v>
      </c>
      <c r="L651">
        <f t="shared" si="20"/>
        <v>0</v>
      </c>
      <c r="R651" s="16" t="s">
        <v>8064</v>
      </c>
      <c r="S651" s="16" t="s">
        <v>8064</v>
      </c>
      <c r="T651" t="s">
        <v>7981</v>
      </c>
      <c r="U651">
        <v>0</v>
      </c>
      <c r="V651" t="s">
        <v>8655</v>
      </c>
      <c r="X651" t="s">
        <v>8660</v>
      </c>
      <c r="Y651">
        <f t="shared" si="21"/>
        <v>0</v>
      </c>
    </row>
    <row r="652" spans="1:25" hidden="1">
      <c r="A652" t="s">
        <v>2113</v>
      </c>
      <c r="B652" t="s">
        <v>463</v>
      </c>
      <c r="C652">
        <v>1172</v>
      </c>
      <c r="D652">
        <v>12</v>
      </c>
      <c r="E652" t="s">
        <v>4473</v>
      </c>
      <c r="F652" t="s">
        <v>4764</v>
      </c>
      <c r="H652" t="s">
        <v>1532</v>
      </c>
      <c r="J652" t="s">
        <v>8668</v>
      </c>
      <c r="L652">
        <f t="shared" si="20"/>
        <v>1</v>
      </c>
      <c r="M652" t="s">
        <v>6839</v>
      </c>
      <c r="N652" t="s">
        <v>6840</v>
      </c>
      <c r="O652" t="s">
        <v>104</v>
      </c>
      <c r="P652" t="s">
        <v>6841</v>
      </c>
      <c r="Q652" t="s">
        <v>6842</v>
      </c>
      <c r="R652" s="16" t="s">
        <v>8594</v>
      </c>
      <c r="S652" s="16" t="s">
        <v>8299</v>
      </c>
      <c r="T652" t="s">
        <v>7973</v>
      </c>
      <c r="U652">
        <v>0</v>
      </c>
      <c r="V652" t="s">
        <v>8654</v>
      </c>
      <c r="W652" t="s">
        <v>104</v>
      </c>
      <c r="X652" t="s">
        <v>8660</v>
      </c>
      <c r="Y652">
        <f t="shared" si="21"/>
        <v>1</v>
      </c>
    </row>
    <row r="653" spans="1:25" hidden="1">
      <c r="A653" t="s">
        <v>1747</v>
      </c>
      <c r="B653" t="s">
        <v>4790</v>
      </c>
      <c r="C653">
        <v>1184</v>
      </c>
      <c r="D653">
        <v>12</v>
      </c>
      <c r="E653" t="s">
        <v>4509</v>
      </c>
      <c r="F653" t="s">
        <v>4764</v>
      </c>
      <c r="H653" t="s">
        <v>1532</v>
      </c>
      <c r="J653" t="s">
        <v>8668</v>
      </c>
      <c r="L653">
        <f t="shared" si="20"/>
        <v>1</v>
      </c>
      <c r="M653" t="s">
        <v>4509</v>
      </c>
      <c r="N653" t="s">
        <v>6565</v>
      </c>
      <c r="O653" t="s">
        <v>104</v>
      </c>
      <c r="P653" t="s">
        <v>6566</v>
      </c>
      <c r="Q653" t="s">
        <v>6567</v>
      </c>
      <c r="R653" s="16" t="s">
        <v>8586</v>
      </c>
      <c r="S653" s="16" t="s">
        <v>8292</v>
      </c>
      <c r="T653" t="s">
        <v>1747</v>
      </c>
      <c r="U653">
        <v>0</v>
      </c>
      <c r="V653" t="s">
        <v>8654</v>
      </c>
      <c r="W653" t="s">
        <v>104</v>
      </c>
      <c r="X653" t="s">
        <v>8660</v>
      </c>
      <c r="Y653">
        <f t="shared" si="21"/>
        <v>1</v>
      </c>
    </row>
    <row r="654" spans="1:25" hidden="1">
      <c r="A654" t="s">
        <v>2114</v>
      </c>
      <c r="B654" t="s">
        <v>4791</v>
      </c>
      <c r="C654">
        <v>1196</v>
      </c>
      <c r="D654">
        <v>12</v>
      </c>
      <c r="E654" t="s">
        <v>4516</v>
      </c>
      <c r="F654" t="s">
        <v>4764</v>
      </c>
      <c r="H654" t="s">
        <v>1533</v>
      </c>
      <c r="J654" t="s">
        <v>9048</v>
      </c>
      <c r="L654">
        <f t="shared" si="20"/>
        <v>1</v>
      </c>
      <c r="M654" t="s">
        <v>6342</v>
      </c>
      <c r="N654" t="s">
        <v>6343</v>
      </c>
      <c r="O654" t="s">
        <v>104</v>
      </c>
      <c r="P654" t="s">
        <v>6344</v>
      </c>
      <c r="Q654">
        <v>448470</v>
      </c>
      <c r="R654" s="16" t="s">
        <v>8604</v>
      </c>
      <c r="S654" s="16" t="s">
        <v>8310</v>
      </c>
      <c r="T654" t="s">
        <v>7980</v>
      </c>
      <c r="U654">
        <v>1</v>
      </c>
      <c r="V654" t="s">
        <v>8656</v>
      </c>
      <c r="W654" t="s">
        <v>104</v>
      </c>
      <c r="X654" t="s">
        <v>8660</v>
      </c>
      <c r="Y654">
        <f t="shared" si="21"/>
        <v>1</v>
      </c>
    </row>
    <row r="655" spans="1:25" hidden="1">
      <c r="A655" t="s">
        <v>4792</v>
      </c>
      <c r="B655" t="s">
        <v>4517</v>
      </c>
      <c r="C655">
        <v>1200</v>
      </c>
      <c r="D655">
        <v>13</v>
      </c>
      <c r="E655" t="s">
        <v>4518</v>
      </c>
      <c r="F655" t="s">
        <v>4764</v>
      </c>
      <c r="H655" t="s">
        <v>1533</v>
      </c>
      <c r="J655" t="s">
        <v>8668</v>
      </c>
      <c r="L655">
        <f t="shared" si="20"/>
        <v>1</v>
      </c>
      <c r="M655" t="s">
        <v>4518</v>
      </c>
      <c r="N655" t="s">
        <v>6738</v>
      </c>
      <c r="O655" t="s">
        <v>104</v>
      </c>
      <c r="P655" t="s">
        <v>6739</v>
      </c>
      <c r="Q655" t="s">
        <v>6740</v>
      </c>
      <c r="R655" s="16" t="s">
        <v>8650</v>
      </c>
      <c r="S655" s="16" t="s">
        <v>8352</v>
      </c>
      <c r="T655" t="s">
        <v>8030</v>
      </c>
      <c r="U655">
        <v>0</v>
      </c>
      <c r="V655" t="s">
        <v>8654</v>
      </c>
      <c r="W655" t="s">
        <v>104</v>
      </c>
      <c r="X655" t="s">
        <v>8660</v>
      </c>
      <c r="Y655">
        <f t="shared" si="21"/>
        <v>1</v>
      </c>
    </row>
    <row r="656" spans="1:25" hidden="1">
      <c r="A656" t="s">
        <v>1748</v>
      </c>
      <c r="B656" t="s">
        <v>4793</v>
      </c>
      <c r="C656">
        <v>1195</v>
      </c>
      <c r="D656">
        <v>12</v>
      </c>
      <c r="E656" t="s">
        <v>4509</v>
      </c>
      <c r="F656" t="s">
        <v>4764</v>
      </c>
      <c r="H656" t="s">
        <v>1534</v>
      </c>
      <c r="J656" t="s">
        <v>8668</v>
      </c>
      <c r="L656">
        <f t="shared" si="20"/>
        <v>1</v>
      </c>
      <c r="M656" t="s">
        <v>4509</v>
      </c>
      <c r="N656" t="s">
        <v>6565</v>
      </c>
      <c r="O656" t="s">
        <v>104</v>
      </c>
      <c r="P656" t="s">
        <v>6566</v>
      </c>
      <c r="Q656" t="s">
        <v>6567</v>
      </c>
      <c r="R656" s="16" t="s">
        <v>8586</v>
      </c>
      <c r="S656" s="16" t="s">
        <v>8292</v>
      </c>
      <c r="T656" t="s">
        <v>1748</v>
      </c>
      <c r="U656">
        <v>0</v>
      </c>
      <c r="V656" t="s">
        <v>8654</v>
      </c>
      <c r="W656" t="s">
        <v>104</v>
      </c>
      <c r="X656" t="s">
        <v>8660</v>
      </c>
      <c r="Y656">
        <f t="shared" si="21"/>
        <v>1</v>
      </c>
    </row>
    <row r="657" spans="1:25" hidden="1">
      <c r="A657" t="s">
        <v>1752</v>
      </c>
      <c r="B657" t="s">
        <v>4795</v>
      </c>
      <c r="C657">
        <v>1231</v>
      </c>
      <c r="D657">
        <v>13</v>
      </c>
      <c r="E657" t="s">
        <v>4502</v>
      </c>
      <c r="F657" t="s">
        <v>4764</v>
      </c>
      <c r="H657" t="s">
        <v>1536</v>
      </c>
      <c r="J657" t="s">
        <v>8668</v>
      </c>
      <c r="L657">
        <f t="shared" si="20"/>
        <v>1</v>
      </c>
      <c r="M657" t="s">
        <v>4502</v>
      </c>
      <c r="N657" t="s">
        <v>6456</v>
      </c>
      <c r="O657" t="s">
        <v>104</v>
      </c>
      <c r="P657">
        <v>23522</v>
      </c>
      <c r="Q657">
        <v>488566</v>
      </c>
      <c r="R657" s="16" t="s">
        <v>8364</v>
      </c>
      <c r="S657" s="16" t="s">
        <v>8069</v>
      </c>
      <c r="T657" t="s">
        <v>1752</v>
      </c>
      <c r="U657">
        <v>0</v>
      </c>
      <c r="V657" t="s">
        <v>8654</v>
      </c>
      <c r="W657" t="s">
        <v>104</v>
      </c>
      <c r="X657" t="s">
        <v>8660</v>
      </c>
      <c r="Y657">
        <f t="shared" si="21"/>
        <v>1</v>
      </c>
    </row>
    <row r="658" spans="1:25" hidden="1">
      <c r="A658" t="s">
        <v>1753</v>
      </c>
      <c r="B658" t="s">
        <v>4794</v>
      </c>
      <c r="C658">
        <v>1237</v>
      </c>
      <c r="D658">
        <v>13</v>
      </c>
      <c r="E658" t="s">
        <v>4538</v>
      </c>
      <c r="F658" t="s">
        <v>4764</v>
      </c>
      <c r="H658" t="s">
        <v>1536</v>
      </c>
      <c r="J658" t="s">
        <v>8668</v>
      </c>
      <c r="L658">
        <f t="shared" si="20"/>
        <v>1</v>
      </c>
      <c r="M658" t="s">
        <v>6205</v>
      </c>
      <c r="N658" t="s">
        <v>6324</v>
      </c>
      <c r="O658" t="s">
        <v>11</v>
      </c>
      <c r="P658">
        <v>113410</v>
      </c>
      <c r="Q658">
        <v>444940</v>
      </c>
      <c r="R658" s="16" t="s">
        <v>8378</v>
      </c>
      <c r="S658" s="16" t="s">
        <v>8082</v>
      </c>
      <c r="T658" t="s">
        <v>1753</v>
      </c>
      <c r="U658">
        <v>0</v>
      </c>
      <c r="V658" t="s">
        <v>8654</v>
      </c>
      <c r="W658" t="s">
        <v>11</v>
      </c>
      <c r="X658" t="s">
        <v>8660</v>
      </c>
      <c r="Y658">
        <f t="shared" si="21"/>
        <v>1</v>
      </c>
    </row>
    <row r="659" spans="1:25" hidden="1">
      <c r="A659" t="s">
        <v>1754</v>
      </c>
      <c r="B659" t="s">
        <v>707</v>
      </c>
      <c r="C659">
        <v>1240</v>
      </c>
      <c r="D659">
        <v>13</v>
      </c>
      <c r="E659" t="s">
        <v>1444</v>
      </c>
      <c r="F659" t="s">
        <v>4764</v>
      </c>
      <c r="H659" t="s">
        <v>1537</v>
      </c>
      <c r="J659" t="s">
        <v>8668</v>
      </c>
      <c r="L659">
        <f t="shared" si="20"/>
        <v>0</v>
      </c>
      <c r="R659" s="16" t="s">
        <v>8064</v>
      </c>
      <c r="S659" s="16" t="s">
        <v>8064</v>
      </c>
      <c r="T659" t="s">
        <v>1754</v>
      </c>
      <c r="U659">
        <v>0</v>
      </c>
      <c r="V659" t="s">
        <v>8655</v>
      </c>
      <c r="X659" t="s">
        <v>8660</v>
      </c>
      <c r="Y659">
        <f t="shared" si="21"/>
        <v>0</v>
      </c>
    </row>
    <row r="660" spans="1:25" hidden="1">
      <c r="A660" t="s">
        <v>4796</v>
      </c>
      <c r="B660" t="s">
        <v>4797</v>
      </c>
      <c r="C660">
        <v>1243</v>
      </c>
      <c r="D660">
        <v>13</v>
      </c>
      <c r="E660" t="s">
        <v>4546</v>
      </c>
      <c r="F660" t="s">
        <v>4764</v>
      </c>
      <c r="H660" t="s">
        <v>1538</v>
      </c>
      <c r="J660" t="s">
        <v>8668</v>
      </c>
      <c r="L660">
        <f t="shared" si="20"/>
        <v>1</v>
      </c>
      <c r="M660" t="s">
        <v>4546</v>
      </c>
      <c r="N660" t="s">
        <v>6610</v>
      </c>
      <c r="O660" t="s">
        <v>104</v>
      </c>
      <c r="P660" t="s">
        <v>6812</v>
      </c>
      <c r="Q660" t="s">
        <v>6813</v>
      </c>
      <c r="R660" s="16" t="s">
        <v>8596</v>
      </c>
      <c r="S660" s="16" t="s">
        <v>8301</v>
      </c>
      <c r="T660" t="s">
        <v>7974</v>
      </c>
      <c r="U660">
        <v>0</v>
      </c>
      <c r="V660" t="s">
        <v>8654</v>
      </c>
      <c r="W660" t="s">
        <v>104</v>
      </c>
      <c r="X660" t="s">
        <v>8660</v>
      </c>
      <c r="Y660">
        <f t="shared" si="21"/>
        <v>1</v>
      </c>
    </row>
    <row r="661" spans="1:25" hidden="1">
      <c r="A661" t="s">
        <v>1755</v>
      </c>
      <c r="B661" t="s">
        <v>4547</v>
      </c>
      <c r="C661">
        <v>1252</v>
      </c>
      <c r="D661">
        <v>13</v>
      </c>
      <c r="E661" t="s">
        <v>1444</v>
      </c>
      <c r="F661" t="s">
        <v>4764</v>
      </c>
      <c r="H661" t="s">
        <v>1538</v>
      </c>
      <c r="J661" t="s">
        <v>8668</v>
      </c>
      <c r="L661">
        <f t="shared" si="20"/>
        <v>0</v>
      </c>
      <c r="R661" s="16" t="s">
        <v>8064</v>
      </c>
      <c r="S661" s="16" t="s">
        <v>8064</v>
      </c>
      <c r="T661" t="s">
        <v>1755</v>
      </c>
      <c r="U661">
        <v>0</v>
      </c>
      <c r="V661" t="s">
        <v>8655</v>
      </c>
      <c r="X661" t="s">
        <v>8660</v>
      </c>
      <c r="Y661">
        <f t="shared" si="21"/>
        <v>0</v>
      </c>
    </row>
    <row r="662" spans="1:25" hidden="1">
      <c r="A662" t="s">
        <v>1756</v>
      </c>
      <c r="B662" t="s">
        <v>4798</v>
      </c>
      <c r="C662">
        <v>1252</v>
      </c>
      <c r="D662">
        <v>13</v>
      </c>
      <c r="E662" t="s">
        <v>4554</v>
      </c>
      <c r="F662" t="s">
        <v>4764</v>
      </c>
      <c r="H662" t="s">
        <v>1539</v>
      </c>
      <c r="J662" t="s">
        <v>8668</v>
      </c>
      <c r="L662">
        <f t="shared" si="20"/>
        <v>1</v>
      </c>
      <c r="M662" t="s">
        <v>4554</v>
      </c>
      <c r="N662" t="s">
        <v>6520</v>
      </c>
      <c r="O662" t="s">
        <v>104</v>
      </c>
      <c r="P662" t="s">
        <v>6521</v>
      </c>
      <c r="Q662" t="s">
        <v>6522</v>
      </c>
      <c r="R662" s="16" t="s">
        <v>8602</v>
      </c>
      <c r="S662" s="16" t="s">
        <v>8308</v>
      </c>
      <c r="T662" t="s">
        <v>1756</v>
      </c>
      <c r="U662">
        <v>0</v>
      </c>
      <c r="V662" t="s">
        <v>8654</v>
      </c>
      <c r="W662" t="s">
        <v>104</v>
      </c>
      <c r="X662" t="s">
        <v>8660</v>
      </c>
      <c r="Y662">
        <f t="shared" si="21"/>
        <v>1</v>
      </c>
    </row>
    <row r="663" spans="1:25" hidden="1">
      <c r="A663" t="s">
        <v>1757</v>
      </c>
      <c r="B663" t="s">
        <v>4564</v>
      </c>
      <c r="C663">
        <v>1265</v>
      </c>
      <c r="D663">
        <v>13</v>
      </c>
      <c r="E663" t="s">
        <v>1444</v>
      </c>
      <c r="F663" t="s">
        <v>4764</v>
      </c>
      <c r="H663" t="s">
        <v>1539</v>
      </c>
      <c r="J663" t="s">
        <v>8668</v>
      </c>
      <c r="L663">
        <f t="shared" si="20"/>
        <v>0</v>
      </c>
      <c r="R663" s="16" t="s">
        <v>8064</v>
      </c>
      <c r="S663" s="16" t="s">
        <v>8064</v>
      </c>
      <c r="T663" t="s">
        <v>1757</v>
      </c>
      <c r="U663">
        <v>0</v>
      </c>
      <c r="V663" t="s">
        <v>8655</v>
      </c>
      <c r="X663" t="s">
        <v>8660</v>
      </c>
      <c r="Y663">
        <f t="shared" si="21"/>
        <v>0</v>
      </c>
    </row>
    <row r="664" spans="1:25" hidden="1">
      <c r="A664" t="s">
        <v>1758</v>
      </c>
      <c r="B664" t="s">
        <v>4571</v>
      </c>
      <c r="C664">
        <v>1271</v>
      </c>
      <c r="D664">
        <v>13</v>
      </c>
      <c r="E664" t="s">
        <v>1444</v>
      </c>
      <c r="F664" t="s">
        <v>4764</v>
      </c>
      <c r="H664" t="s">
        <v>1540</v>
      </c>
      <c r="J664" t="s">
        <v>8668</v>
      </c>
      <c r="L664">
        <f t="shared" si="20"/>
        <v>0</v>
      </c>
      <c r="R664" s="16" t="s">
        <v>8064</v>
      </c>
      <c r="S664" s="16" t="s">
        <v>8064</v>
      </c>
      <c r="T664" t="s">
        <v>1758</v>
      </c>
      <c r="U664">
        <v>0</v>
      </c>
      <c r="V664" t="s">
        <v>8655</v>
      </c>
      <c r="X664" t="s">
        <v>8660</v>
      </c>
      <c r="Y664">
        <f t="shared" si="21"/>
        <v>0</v>
      </c>
    </row>
    <row r="665" spans="1:25" hidden="1">
      <c r="A665" t="s">
        <v>1759</v>
      </c>
      <c r="B665" t="s">
        <v>4584</v>
      </c>
      <c r="C665">
        <v>1279</v>
      </c>
      <c r="D665">
        <v>13</v>
      </c>
      <c r="E665" t="s">
        <v>1444</v>
      </c>
      <c r="F665" t="s">
        <v>4764</v>
      </c>
      <c r="H665" t="s">
        <v>1540</v>
      </c>
      <c r="J665" t="s">
        <v>8668</v>
      </c>
      <c r="L665">
        <f t="shared" si="20"/>
        <v>0</v>
      </c>
      <c r="R665" s="16" t="s">
        <v>8064</v>
      </c>
      <c r="S665" s="16" t="s">
        <v>8064</v>
      </c>
      <c r="T665" t="s">
        <v>1759</v>
      </c>
      <c r="U665">
        <v>0</v>
      </c>
      <c r="V665" t="s">
        <v>8655</v>
      </c>
      <c r="X665" t="s">
        <v>8660</v>
      </c>
      <c r="Y665">
        <f t="shared" si="21"/>
        <v>0</v>
      </c>
    </row>
    <row r="666" spans="1:25" hidden="1">
      <c r="A666" t="s">
        <v>1769</v>
      </c>
      <c r="B666" t="s">
        <v>4745</v>
      </c>
      <c r="C666">
        <v>1294</v>
      </c>
      <c r="D666">
        <v>13</v>
      </c>
      <c r="E666" t="s">
        <v>1444</v>
      </c>
      <c r="F666" t="s">
        <v>4764</v>
      </c>
      <c r="H666" t="s">
        <v>1545</v>
      </c>
      <c r="J666" t="s">
        <v>8668</v>
      </c>
      <c r="L666">
        <f t="shared" si="20"/>
        <v>0</v>
      </c>
      <c r="R666" s="16" t="s">
        <v>8064</v>
      </c>
      <c r="S666" s="16" t="s">
        <v>8064</v>
      </c>
      <c r="T666" t="s">
        <v>1769</v>
      </c>
      <c r="U666">
        <v>0</v>
      </c>
      <c r="V666" t="s">
        <v>8655</v>
      </c>
      <c r="X666" t="s">
        <v>8660</v>
      </c>
      <c r="Y666">
        <f t="shared" si="21"/>
        <v>0</v>
      </c>
    </row>
    <row r="667" spans="1:25" hidden="1">
      <c r="A667" t="s">
        <v>1761</v>
      </c>
      <c r="B667" t="s">
        <v>4728</v>
      </c>
      <c r="C667">
        <v>1274</v>
      </c>
      <c r="D667">
        <v>13</v>
      </c>
      <c r="E667" t="s">
        <v>1444</v>
      </c>
      <c r="F667" t="s">
        <v>4764</v>
      </c>
      <c r="H667" t="s">
        <v>1541</v>
      </c>
      <c r="J667" t="s">
        <v>8668</v>
      </c>
      <c r="L667">
        <f t="shared" si="20"/>
        <v>0</v>
      </c>
      <c r="R667" s="16" t="s">
        <v>8064</v>
      </c>
      <c r="S667" s="16" t="s">
        <v>8064</v>
      </c>
      <c r="T667" t="s">
        <v>1761</v>
      </c>
      <c r="U667">
        <v>0</v>
      </c>
      <c r="V667" t="s">
        <v>8655</v>
      </c>
      <c r="X667" t="s">
        <v>8660</v>
      </c>
      <c r="Y667">
        <f t="shared" si="21"/>
        <v>0</v>
      </c>
    </row>
    <row r="668" spans="1:25" hidden="1">
      <c r="A668" t="s">
        <v>1762</v>
      </c>
      <c r="B668" t="s">
        <v>4600</v>
      </c>
      <c r="C668">
        <v>1279</v>
      </c>
      <c r="D668">
        <v>13</v>
      </c>
      <c r="E668" t="s">
        <v>1444</v>
      </c>
      <c r="F668" t="s">
        <v>4764</v>
      </c>
      <c r="H668" t="s">
        <v>1541</v>
      </c>
      <c r="J668" t="s">
        <v>8668</v>
      </c>
      <c r="L668">
        <f t="shared" si="20"/>
        <v>0</v>
      </c>
      <c r="R668" s="16" t="s">
        <v>8064</v>
      </c>
      <c r="S668" s="16" t="s">
        <v>8064</v>
      </c>
      <c r="T668" t="s">
        <v>1762</v>
      </c>
      <c r="U668">
        <v>0</v>
      </c>
      <c r="V668" t="s">
        <v>8655</v>
      </c>
      <c r="X668" t="s">
        <v>8660</v>
      </c>
      <c r="Y668">
        <f t="shared" si="21"/>
        <v>0</v>
      </c>
    </row>
    <row r="669" spans="1:25" hidden="1">
      <c r="A669" t="s">
        <v>2116</v>
      </c>
      <c r="B669" t="s">
        <v>4737</v>
      </c>
      <c r="C669">
        <v>1275</v>
      </c>
      <c r="D669">
        <v>13</v>
      </c>
      <c r="E669" t="s">
        <v>1444</v>
      </c>
      <c r="F669" t="s">
        <v>4764</v>
      </c>
      <c r="H669" t="s">
        <v>1542</v>
      </c>
      <c r="J669" t="s">
        <v>8668</v>
      </c>
      <c r="L669">
        <f t="shared" si="20"/>
        <v>0</v>
      </c>
      <c r="R669" s="16" t="s">
        <v>8064</v>
      </c>
      <c r="S669" s="16" t="s">
        <v>8064</v>
      </c>
      <c r="T669" t="s">
        <v>7983</v>
      </c>
      <c r="U669">
        <v>0</v>
      </c>
      <c r="V669" t="s">
        <v>8655</v>
      </c>
      <c r="X669" t="s">
        <v>8660</v>
      </c>
      <c r="Y669">
        <f t="shared" si="21"/>
        <v>0</v>
      </c>
    </row>
    <row r="670" spans="1:25" hidden="1">
      <c r="A670" t="s">
        <v>1763</v>
      </c>
      <c r="B670" t="s">
        <v>4729</v>
      </c>
      <c r="C670">
        <v>1281</v>
      </c>
      <c r="D670">
        <v>13</v>
      </c>
      <c r="E670" t="s">
        <v>1444</v>
      </c>
      <c r="F670" t="s">
        <v>4764</v>
      </c>
      <c r="H670" t="s">
        <v>1542</v>
      </c>
      <c r="J670" t="s">
        <v>8668</v>
      </c>
      <c r="L670">
        <f t="shared" si="20"/>
        <v>0</v>
      </c>
      <c r="R670" s="16" t="s">
        <v>8064</v>
      </c>
      <c r="S670" s="16" t="s">
        <v>8064</v>
      </c>
      <c r="T670" t="s">
        <v>1763</v>
      </c>
      <c r="U670">
        <v>0</v>
      </c>
      <c r="V670" t="s">
        <v>8655</v>
      </c>
      <c r="X670" t="s">
        <v>8660</v>
      </c>
      <c r="Y670">
        <f t="shared" si="21"/>
        <v>0</v>
      </c>
    </row>
    <row r="671" spans="1:25" hidden="1">
      <c r="A671" t="s">
        <v>1765</v>
      </c>
      <c r="B671" t="s">
        <v>4742</v>
      </c>
      <c r="C671">
        <v>1285</v>
      </c>
      <c r="D671">
        <v>13</v>
      </c>
      <c r="E671" t="s">
        <v>4611</v>
      </c>
      <c r="F671" t="s">
        <v>4764</v>
      </c>
      <c r="H671" t="s">
        <v>1543</v>
      </c>
      <c r="J671" t="s">
        <v>8668</v>
      </c>
      <c r="L671">
        <f t="shared" si="20"/>
        <v>1</v>
      </c>
      <c r="M671" t="s">
        <v>4611</v>
      </c>
      <c r="N671" t="s">
        <v>6529</v>
      </c>
      <c r="O671" t="s">
        <v>104</v>
      </c>
      <c r="P671" t="s">
        <v>6530</v>
      </c>
      <c r="Q671" t="s">
        <v>6531</v>
      </c>
      <c r="R671" s="16" t="s">
        <v>8601</v>
      </c>
      <c r="S671" s="16" t="s">
        <v>8307</v>
      </c>
      <c r="T671" t="s">
        <v>1765</v>
      </c>
      <c r="U671">
        <v>0</v>
      </c>
      <c r="V671" t="s">
        <v>8654</v>
      </c>
      <c r="W671" t="s">
        <v>104</v>
      </c>
      <c r="X671" t="s">
        <v>8660</v>
      </c>
      <c r="Y671">
        <f t="shared" si="21"/>
        <v>1</v>
      </c>
    </row>
    <row r="672" spans="1:25" hidden="1">
      <c r="A672" t="s">
        <v>1766</v>
      </c>
      <c r="B672" t="s">
        <v>783</v>
      </c>
      <c r="C672">
        <v>1292</v>
      </c>
      <c r="D672">
        <v>13</v>
      </c>
      <c r="E672" t="s">
        <v>4626</v>
      </c>
      <c r="F672" t="s">
        <v>4764</v>
      </c>
      <c r="H672" t="s">
        <v>1543</v>
      </c>
      <c r="J672" t="s">
        <v>8668</v>
      </c>
      <c r="L672">
        <f t="shared" si="20"/>
        <v>1</v>
      </c>
      <c r="M672" t="s">
        <v>7022</v>
      </c>
      <c r="N672" t="s">
        <v>6986</v>
      </c>
      <c r="O672" t="s">
        <v>6973</v>
      </c>
      <c r="P672">
        <v>43000</v>
      </c>
      <c r="Q672">
        <v>498000</v>
      </c>
      <c r="R672" s="16" t="s">
        <v>8409</v>
      </c>
      <c r="S672" s="16" t="s">
        <v>8302</v>
      </c>
      <c r="T672" t="s">
        <v>1766</v>
      </c>
      <c r="U672">
        <v>0</v>
      </c>
      <c r="V672" t="s">
        <v>8654</v>
      </c>
      <c r="W672" t="s">
        <v>6973</v>
      </c>
      <c r="X672" t="s">
        <v>8660</v>
      </c>
      <c r="Y672">
        <f t="shared" si="21"/>
        <v>1</v>
      </c>
    </row>
    <row r="673" spans="1:25" hidden="1">
      <c r="A673" t="s">
        <v>1767</v>
      </c>
      <c r="B673" t="s">
        <v>4744</v>
      </c>
      <c r="C673">
        <v>1293</v>
      </c>
      <c r="D673">
        <v>13</v>
      </c>
      <c r="E673" t="s">
        <v>4449</v>
      </c>
      <c r="F673" t="s">
        <v>4764</v>
      </c>
      <c r="H673" t="s">
        <v>1544</v>
      </c>
      <c r="J673" t="s">
        <v>8668</v>
      </c>
      <c r="L673">
        <f t="shared" si="20"/>
        <v>1</v>
      </c>
      <c r="M673" t="s">
        <v>4532</v>
      </c>
      <c r="N673" t="s">
        <v>6308</v>
      </c>
      <c r="O673" t="s">
        <v>104</v>
      </c>
      <c r="P673">
        <v>32830</v>
      </c>
      <c r="Q673">
        <v>481980</v>
      </c>
      <c r="R673" s="16" t="s">
        <v>8366</v>
      </c>
      <c r="S673" s="16" t="s">
        <v>8071</v>
      </c>
      <c r="T673" t="s">
        <v>1767</v>
      </c>
      <c r="U673">
        <v>0</v>
      </c>
      <c r="V673" t="s">
        <v>8654</v>
      </c>
      <c r="W673" t="s">
        <v>104</v>
      </c>
      <c r="X673" t="s">
        <v>8660</v>
      </c>
      <c r="Y673">
        <f t="shared" si="21"/>
        <v>1</v>
      </c>
    </row>
    <row r="674" spans="1:25" hidden="1">
      <c r="A674" t="s">
        <v>1768</v>
      </c>
      <c r="B674" t="s">
        <v>4744</v>
      </c>
      <c r="C674">
        <v>1293</v>
      </c>
      <c r="D674">
        <v>13</v>
      </c>
      <c r="E674" t="s">
        <v>4628</v>
      </c>
      <c r="F674" t="s">
        <v>4764</v>
      </c>
      <c r="H674" t="s">
        <v>1544</v>
      </c>
      <c r="J674" t="s">
        <v>8668</v>
      </c>
      <c r="L674">
        <f t="shared" si="20"/>
        <v>1</v>
      </c>
      <c r="M674" t="s">
        <v>7016</v>
      </c>
      <c r="N674" t="s">
        <v>7017</v>
      </c>
      <c r="O674" t="s">
        <v>6973</v>
      </c>
      <c r="P674">
        <v>15667</v>
      </c>
      <c r="Q674">
        <v>496500</v>
      </c>
      <c r="R674" s="16" t="s">
        <v>8600</v>
      </c>
      <c r="S674" s="16" t="s">
        <v>8306</v>
      </c>
      <c r="T674" t="s">
        <v>1768</v>
      </c>
      <c r="U674">
        <v>0</v>
      </c>
      <c r="V674" t="s">
        <v>8654</v>
      </c>
      <c r="W674" t="s">
        <v>6973</v>
      </c>
      <c r="X674" t="s">
        <v>8660</v>
      </c>
      <c r="Y674">
        <f t="shared" si="21"/>
        <v>1</v>
      </c>
    </row>
    <row r="675" spans="1:25" hidden="1">
      <c r="A675" t="s">
        <v>4695</v>
      </c>
      <c r="B675" t="s">
        <v>4696</v>
      </c>
      <c r="C675">
        <v>1151</v>
      </c>
      <c r="D675">
        <v>12</v>
      </c>
      <c r="E675" t="s">
        <v>4471</v>
      </c>
      <c r="F675" t="s">
        <v>4697</v>
      </c>
      <c r="H675" t="s">
        <v>4698</v>
      </c>
      <c r="J675" t="s">
        <v>8668</v>
      </c>
      <c r="L675">
        <f t="shared" si="20"/>
        <v>1</v>
      </c>
      <c r="M675" t="s">
        <v>6320</v>
      </c>
      <c r="N675" t="s">
        <v>6986</v>
      </c>
      <c r="O675" t="s">
        <v>6973</v>
      </c>
      <c r="P675">
        <v>46350</v>
      </c>
      <c r="Q675">
        <v>497790</v>
      </c>
      <c r="R675" s="16" t="s">
        <v>8473</v>
      </c>
      <c r="S675" s="16" t="s">
        <v>8177</v>
      </c>
      <c r="T675" t="s">
        <v>4695</v>
      </c>
      <c r="U675">
        <v>0</v>
      </c>
      <c r="V675" t="s">
        <v>8654</v>
      </c>
      <c r="W675" t="s">
        <v>6973</v>
      </c>
      <c r="X675" t="s">
        <v>8660</v>
      </c>
      <c r="Y675">
        <f t="shared" si="21"/>
        <v>1</v>
      </c>
    </row>
    <row r="676" spans="1:25" hidden="1">
      <c r="A676" t="s">
        <v>7361</v>
      </c>
      <c r="B676" t="s">
        <v>4799</v>
      </c>
      <c r="C676">
        <v>909</v>
      </c>
      <c r="D676">
        <v>10</v>
      </c>
      <c r="E676" t="s">
        <v>1444</v>
      </c>
      <c r="F676" t="s">
        <v>4800</v>
      </c>
      <c r="H676" t="s">
        <v>1776</v>
      </c>
      <c r="J676" t="s">
        <v>8668</v>
      </c>
      <c r="L676">
        <f t="shared" si="20"/>
        <v>0</v>
      </c>
      <c r="R676" s="16" t="s">
        <v>8064</v>
      </c>
      <c r="S676" s="16" t="s">
        <v>8064</v>
      </c>
      <c r="T676" t="s">
        <v>7361</v>
      </c>
      <c r="U676">
        <v>0</v>
      </c>
      <c r="V676" t="s">
        <v>8655</v>
      </c>
      <c r="X676" t="s">
        <v>8660</v>
      </c>
      <c r="Y676">
        <f t="shared" si="21"/>
        <v>0</v>
      </c>
    </row>
    <row r="677" spans="1:25" hidden="1">
      <c r="A677" t="s">
        <v>7327</v>
      </c>
      <c r="B677" t="s">
        <v>4368</v>
      </c>
      <c r="C677">
        <v>976</v>
      </c>
      <c r="D677">
        <v>10</v>
      </c>
      <c r="E677" t="s">
        <v>4369</v>
      </c>
      <c r="F677" t="s">
        <v>4800</v>
      </c>
      <c r="H677" t="s">
        <v>1777</v>
      </c>
      <c r="J677" t="s">
        <v>8668</v>
      </c>
      <c r="L677">
        <f t="shared" si="20"/>
        <v>1</v>
      </c>
      <c r="M677" t="s">
        <v>4369</v>
      </c>
      <c r="N677" t="s">
        <v>6787</v>
      </c>
      <c r="O677" t="s">
        <v>104</v>
      </c>
      <c r="P677" t="s">
        <v>6788</v>
      </c>
      <c r="Q677" t="s">
        <v>6789</v>
      </c>
      <c r="R677" s="16" t="s">
        <v>8463</v>
      </c>
      <c r="S677" s="16" t="s">
        <v>8167</v>
      </c>
      <c r="T677" t="s">
        <v>7327</v>
      </c>
      <c r="U677">
        <v>0</v>
      </c>
      <c r="V677" t="s">
        <v>8654</v>
      </c>
      <c r="W677" t="s">
        <v>104</v>
      </c>
      <c r="X677" t="s">
        <v>8660</v>
      </c>
      <c r="Y677">
        <f t="shared" si="21"/>
        <v>1</v>
      </c>
    </row>
    <row r="678" spans="1:25" hidden="1">
      <c r="A678" t="s">
        <v>7323</v>
      </c>
      <c r="B678" t="s">
        <v>4383</v>
      </c>
      <c r="C678">
        <v>1025</v>
      </c>
      <c r="D678">
        <v>11</v>
      </c>
      <c r="E678" t="s">
        <v>4384</v>
      </c>
      <c r="F678" t="s">
        <v>4800</v>
      </c>
      <c r="H678" t="s">
        <v>1778</v>
      </c>
      <c r="J678" t="s">
        <v>8668</v>
      </c>
      <c r="L678">
        <f t="shared" si="20"/>
        <v>1</v>
      </c>
      <c r="M678" t="s">
        <v>4514</v>
      </c>
      <c r="N678" t="s">
        <v>6917</v>
      </c>
      <c r="O678" t="s">
        <v>104</v>
      </c>
      <c r="P678" t="s">
        <v>6918</v>
      </c>
      <c r="Q678" t="s">
        <v>6919</v>
      </c>
      <c r="R678" s="16" t="s">
        <v>8466</v>
      </c>
      <c r="S678" s="16" t="s">
        <v>8170</v>
      </c>
      <c r="T678" t="s">
        <v>7827</v>
      </c>
      <c r="U678">
        <v>0</v>
      </c>
      <c r="V678" t="s">
        <v>8654</v>
      </c>
      <c r="W678" t="s">
        <v>104</v>
      </c>
      <c r="X678" t="s">
        <v>8660</v>
      </c>
      <c r="Y678">
        <f t="shared" si="21"/>
        <v>1</v>
      </c>
    </row>
    <row r="679" spans="1:25" hidden="1">
      <c r="A679" t="s">
        <v>4801</v>
      </c>
      <c r="B679" t="s">
        <v>4802</v>
      </c>
      <c r="C679">
        <v>1071</v>
      </c>
      <c r="D679">
        <v>11</v>
      </c>
      <c r="E679" t="s">
        <v>1444</v>
      </c>
      <c r="F679" t="s">
        <v>4800</v>
      </c>
      <c r="H679" t="s">
        <v>1779</v>
      </c>
      <c r="J679" t="s">
        <v>8668</v>
      </c>
      <c r="L679">
        <f t="shared" si="20"/>
        <v>0</v>
      </c>
      <c r="R679" s="16" t="s">
        <v>8064</v>
      </c>
      <c r="S679" s="16" t="s">
        <v>8064</v>
      </c>
      <c r="T679" t="s">
        <v>8046</v>
      </c>
      <c r="U679">
        <v>0</v>
      </c>
      <c r="V679" t="s">
        <v>8655</v>
      </c>
      <c r="X679" t="s">
        <v>8660</v>
      </c>
      <c r="Y679">
        <f t="shared" si="21"/>
        <v>0</v>
      </c>
    </row>
    <row r="680" spans="1:25" hidden="1">
      <c r="A680" t="s">
        <v>7344</v>
      </c>
      <c r="B680" t="s">
        <v>4803</v>
      </c>
      <c r="C680">
        <v>1146</v>
      </c>
      <c r="D680">
        <v>12</v>
      </c>
      <c r="E680" t="s">
        <v>1444</v>
      </c>
      <c r="F680" t="s">
        <v>4800</v>
      </c>
      <c r="H680" t="s">
        <v>1781</v>
      </c>
      <c r="J680" t="s">
        <v>8668</v>
      </c>
      <c r="L680">
        <f t="shared" si="20"/>
        <v>0</v>
      </c>
      <c r="R680" s="16" t="s">
        <v>8064</v>
      </c>
      <c r="S680" s="16" t="s">
        <v>8064</v>
      </c>
      <c r="T680" t="s">
        <v>7344</v>
      </c>
      <c r="U680">
        <v>0</v>
      </c>
      <c r="V680" t="s">
        <v>8655</v>
      </c>
      <c r="X680" t="s">
        <v>8660</v>
      </c>
      <c r="Y680">
        <f t="shared" si="21"/>
        <v>0</v>
      </c>
    </row>
    <row r="681" spans="1:25" hidden="1">
      <c r="A681" t="s">
        <v>4890</v>
      </c>
      <c r="B681">
        <v>1148</v>
      </c>
      <c r="C681">
        <v>1148</v>
      </c>
      <c r="D681">
        <v>12</v>
      </c>
      <c r="E681" t="s">
        <v>4472</v>
      </c>
      <c r="F681" t="s">
        <v>4697</v>
      </c>
      <c r="H681" t="s">
        <v>1780</v>
      </c>
      <c r="J681" t="s">
        <v>8668</v>
      </c>
      <c r="L681">
        <f t="shared" si="20"/>
        <v>1</v>
      </c>
      <c r="M681" t="s">
        <v>6839</v>
      </c>
      <c r="N681" t="s">
        <v>6840</v>
      </c>
      <c r="O681" t="s">
        <v>104</v>
      </c>
      <c r="P681" t="s">
        <v>6841</v>
      </c>
      <c r="Q681" t="s">
        <v>6842</v>
      </c>
      <c r="R681" s="16" t="s">
        <v>8594</v>
      </c>
      <c r="S681" s="16" t="s">
        <v>8299</v>
      </c>
      <c r="T681" t="s">
        <v>4890</v>
      </c>
      <c r="U681">
        <v>0</v>
      </c>
      <c r="V681" t="s">
        <v>8654</v>
      </c>
      <c r="W681" t="s">
        <v>104</v>
      </c>
      <c r="X681" t="s">
        <v>8660</v>
      </c>
      <c r="Y681">
        <f t="shared" si="21"/>
        <v>1</v>
      </c>
    </row>
    <row r="682" spans="1:25" hidden="1">
      <c r="A682" t="s">
        <v>7328</v>
      </c>
      <c r="B682" t="s">
        <v>4470</v>
      </c>
      <c r="C682">
        <v>1159</v>
      </c>
      <c r="D682">
        <v>12</v>
      </c>
      <c r="E682" t="s">
        <v>4369</v>
      </c>
      <c r="F682" t="s">
        <v>4800</v>
      </c>
      <c r="H682" t="s">
        <v>1780</v>
      </c>
      <c r="J682" t="s">
        <v>8668</v>
      </c>
      <c r="L682">
        <f t="shared" si="20"/>
        <v>1</v>
      </c>
      <c r="M682" t="s">
        <v>4369</v>
      </c>
      <c r="N682" t="s">
        <v>6787</v>
      </c>
      <c r="O682" t="s">
        <v>104</v>
      </c>
      <c r="P682" t="s">
        <v>6788</v>
      </c>
      <c r="Q682" t="s">
        <v>6789</v>
      </c>
      <c r="R682" s="16" t="s">
        <v>8463</v>
      </c>
      <c r="S682" s="16" t="s">
        <v>8167</v>
      </c>
      <c r="T682" t="s">
        <v>7829</v>
      </c>
      <c r="U682">
        <v>0</v>
      </c>
      <c r="V682" t="s">
        <v>8654</v>
      </c>
      <c r="W682" t="s">
        <v>104</v>
      </c>
      <c r="X682" t="s">
        <v>8660</v>
      </c>
      <c r="Y682">
        <f t="shared" si="21"/>
        <v>1</v>
      </c>
    </row>
    <row r="683" spans="1:25" hidden="1">
      <c r="A683" t="s">
        <v>1772</v>
      </c>
      <c r="B683" t="s">
        <v>608</v>
      </c>
      <c r="C683">
        <v>1148</v>
      </c>
      <c r="D683">
        <v>12</v>
      </c>
      <c r="E683" t="s">
        <v>4471</v>
      </c>
      <c r="F683" t="s">
        <v>4800</v>
      </c>
      <c r="H683" t="s">
        <v>1782</v>
      </c>
      <c r="J683" t="s">
        <v>8668</v>
      </c>
      <c r="L683">
        <f t="shared" si="20"/>
        <v>1</v>
      </c>
      <c r="M683" t="s">
        <v>6320</v>
      </c>
      <c r="N683" t="s">
        <v>6986</v>
      </c>
      <c r="O683" t="s">
        <v>6973</v>
      </c>
      <c r="P683">
        <v>46350</v>
      </c>
      <c r="Q683">
        <v>497790</v>
      </c>
      <c r="R683" s="16" t="s">
        <v>8473</v>
      </c>
      <c r="S683" s="16" t="s">
        <v>8177</v>
      </c>
      <c r="T683" t="s">
        <v>1772</v>
      </c>
      <c r="U683">
        <v>0</v>
      </c>
      <c r="V683" t="s">
        <v>8654</v>
      </c>
      <c r="W683" t="s">
        <v>6973</v>
      </c>
      <c r="X683" t="s">
        <v>8660</v>
      </c>
      <c r="Y683">
        <f t="shared" si="21"/>
        <v>1</v>
      </c>
    </row>
    <row r="684" spans="1:25" hidden="1">
      <c r="A684" t="s">
        <v>1774</v>
      </c>
      <c r="B684" t="s">
        <v>4804</v>
      </c>
      <c r="C684">
        <v>1149</v>
      </c>
      <c r="D684">
        <v>12</v>
      </c>
      <c r="E684" t="s">
        <v>4471</v>
      </c>
      <c r="F684" t="s">
        <v>4800</v>
      </c>
      <c r="H684" t="s">
        <v>1782</v>
      </c>
      <c r="J684" t="s">
        <v>8668</v>
      </c>
      <c r="L684">
        <f t="shared" si="20"/>
        <v>1</v>
      </c>
      <c r="M684" t="s">
        <v>6320</v>
      </c>
      <c r="N684" t="s">
        <v>6986</v>
      </c>
      <c r="O684" t="s">
        <v>6973</v>
      </c>
      <c r="P684">
        <v>46350</v>
      </c>
      <c r="Q684">
        <v>497790</v>
      </c>
      <c r="R684" s="16" t="s">
        <v>8473</v>
      </c>
      <c r="S684" s="16" t="s">
        <v>8177</v>
      </c>
      <c r="T684" t="s">
        <v>1774</v>
      </c>
      <c r="U684">
        <v>0</v>
      </c>
      <c r="V684" t="s">
        <v>8654</v>
      </c>
      <c r="W684" t="s">
        <v>6973</v>
      </c>
      <c r="X684" t="s">
        <v>8660</v>
      </c>
      <c r="Y684">
        <f t="shared" si="21"/>
        <v>1</v>
      </c>
    </row>
    <row r="685" spans="1:25" hidden="1">
      <c r="A685" t="s">
        <v>7338</v>
      </c>
      <c r="B685" t="s">
        <v>4804</v>
      </c>
      <c r="C685">
        <v>1149</v>
      </c>
      <c r="D685">
        <v>12</v>
      </c>
      <c r="E685" t="s">
        <v>4471</v>
      </c>
      <c r="F685" t="s">
        <v>4800</v>
      </c>
      <c r="H685" t="s">
        <v>1782</v>
      </c>
      <c r="J685" t="s">
        <v>8668</v>
      </c>
      <c r="L685">
        <f t="shared" si="20"/>
        <v>1</v>
      </c>
      <c r="M685" t="s">
        <v>6320</v>
      </c>
      <c r="N685" t="s">
        <v>6986</v>
      </c>
      <c r="O685" t="s">
        <v>6973</v>
      </c>
      <c r="P685">
        <v>46350</v>
      </c>
      <c r="Q685">
        <v>497790</v>
      </c>
      <c r="R685" s="16" t="s">
        <v>8473</v>
      </c>
      <c r="S685" s="16" t="s">
        <v>8177</v>
      </c>
      <c r="T685" t="s">
        <v>7831</v>
      </c>
      <c r="U685">
        <v>0</v>
      </c>
      <c r="V685" t="s">
        <v>8654</v>
      </c>
      <c r="W685" t="s">
        <v>6973</v>
      </c>
      <c r="X685" t="s">
        <v>8660</v>
      </c>
      <c r="Y685">
        <f t="shared" si="21"/>
        <v>1</v>
      </c>
    </row>
    <row r="686" spans="1:25" hidden="1">
      <c r="A686" t="s">
        <v>7319</v>
      </c>
      <c r="B686" t="s">
        <v>4482</v>
      </c>
      <c r="C686">
        <v>1163</v>
      </c>
      <c r="D686">
        <v>12</v>
      </c>
      <c r="E686" t="s">
        <v>1444</v>
      </c>
      <c r="F686" t="s">
        <v>4697</v>
      </c>
      <c r="H686" t="s">
        <v>1783</v>
      </c>
      <c r="J686" t="s">
        <v>8668</v>
      </c>
      <c r="L686">
        <f t="shared" si="20"/>
        <v>0</v>
      </c>
      <c r="R686" s="16" t="s">
        <v>8064</v>
      </c>
      <c r="S686" s="16" t="s">
        <v>8064</v>
      </c>
      <c r="T686" t="s">
        <v>7319</v>
      </c>
      <c r="U686">
        <v>0</v>
      </c>
      <c r="V686" t="s">
        <v>8655</v>
      </c>
      <c r="X686" t="s">
        <v>8660</v>
      </c>
      <c r="Y686">
        <f t="shared" si="21"/>
        <v>0</v>
      </c>
    </row>
    <row r="687" spans="1:25" hidden="1">
      <c r="A687" t="s">
        <v>1773</v>
      </c>
      <c r="B687" t="s">
        <v>4474</v>
      </c>
      <c r="C687">
        <v>1161</v>
      </c>
      <c r="D687">
        <v>12</v>
      </c>
      <c r="E687" t="s">
        <v>4473</v>
      </c>
      <c r="F687" t="s">
        <v>4800</v>
      </c>
      <c r="H687" t="s">
        <v>1783</v>
      </c>
      <c r="J687" t="s">
        <v>8668</v>
      </c>
      <c r="L687">
        <f t="shared" si="20"/>
        <v>1</v>
      </c>
      <c r="M687" t="s">
        <v>6839</v>
      </c>
      <c r="N687" t="s">
        <v>6840</v>
      </c>
      <c r="O687" t="s">
        <v>104</v>
      </c>
      <c r="P687" t="s">
        <v>6841</v>
      </c>
      <c r="Q687" t="s">
        <v>6842</v>
      </c>
      <c r="R687" s="16" t="s">
        <v>8594</v>
      </c>
      <c r="S687" s="16" t="s">
        <v>8299</v>
      </c>
      <c r="T687" t="s">
        <v>1773</v>
      </c>
      <c r="U687">
        <v>0</v>
      </c>
      <c r="V687" t="s">
        <v>8654</v>
      </c>
      <c r="W687" t="s">
        <v>104</v>
      </c>
      <c r="X687" t="s">
        <v>8660</v>
      </c>
      <c r="Y687">
        <f t="shared" si="21"/>
        <v>1</v>
      </c>
    </row>
    <row r="688" spans="1:25" hidden="1">
      <c r="A688" t="s">
        <v>7352</v>
      </c>
      <c r="B688" t="s">
        <v>4482</v>
      </c>
      <c r="C688">
        <v>1163</v>
      </c>
      <c r="D688">
        <v>12</v>
      </c>
      <c r="E688" t="s">
        <v>1444</v>
      </c>
      <c r="F688" t="s">
        <v>4800</v>
      </c>
      <c r="H688" t="s">
        <v>1785</v>
      </c>
      <c r="J688" t="s">
        <v>8668</v>
      </c>
      <c r="L688">
        <f t="shared" si="20"/>
        <v>0</v>
      </c>
      <c r="R688" s="16" t="s">
        <v>8064</v>
      </c>
      <c r="S688" s="16" t="s">
        <v>8064</v>
      </c>
      <c r="T688" t="s">
        <v>7835</v>
      </c>
      <c r="U688">
        <v>0</v>
      </c>
      <c r="V688" t="s">
        <v>8655</v>
      </c>
      <c r="X688" t="s">
        <v>8660</v>
      </c>
      <c r="Y688">
        <f t="shared" si="21"/>
        <v>0</v>
      </c>
    </row>
    <row r="689" spans="1:25" hidden="1">
      <c r="A689" t="s">
        <v>7360</v>
      </c>
      <c r="B689" t="s">
        <v>4482</v>
      </c>
      <c r="C689">
        <v>1163</v>
      </c>
      <c r="D689">
        <v>12</v>
      </c>
      <c r="E689" t="s">
        <v>1444</v>
      </c>
      <c r="F689" t="s">
        <v>4800</v>
      </c>
      <c r="H689" t="s">
        <v>1785</v>
      </c>
      <c r="J689" t="s">
        <v>8668</v>
      </c>
      <c r="L689">
        <f t="shared" si="20"/>
        <v>0</v>
      </c>
      <c r="R689" s="16" t="s">
        <v>8064</v>
      </c>
      <c r="S689" s="16" t="s">
        <v>8064</v>
      </c>
      <c r="T689" t="s">
        <v>7360</v>
      </c>
      <c r="U689">
        <v>0</v>
      </c>
      <c r="V689" t="s">
        <v>8655</v>
      </c>
      <c r="X689" t="s">
        <v>8660</v>
      </c>
      <c r="Y689">
        <f t="shared" si="21"/>
        <v>0</v>
      </c>
    </row>
    <row r="690" spans="1:25" hidden="1">
      <c r="A690" t="s">
        <v>4893</v>
      </c>
      <c r="B690">
        <v>1170</v>
      </c>
      <c r="C690">
        <v>1170</v>
      </c>
      <c r="D690">
        <v>12</v>
      </c>
      <c r="E690" t="s">
        <v>4471</v>
      </c>
      <c r="F690" t="s">
        <v>4697</v>
      </c>
      <c r="H690" t="s">
        <v>4894</v>
      </c>
      <c r="J690" t="s">
        <v>8668</v>
      </c>
      <c r="L690">
        <f t="shared" si="20"/>
        <v>1</v>
      </c>
      <c r="M690" t="s">
        <v>6320</v>
      </c>
      <c r="N690" t="s">
        <v>6986</v>
      </c>
      <c r="O690" t="s">
        <v>6973</v>
      </c>
      <c r="P690">
        <v>46350</v>
      </c>
      <c r="Q690">
        <v>497790</v>
      </c>
      <c r="R690" s="16" t="s">
        <v>8473</v>
      </c>
      <c r="S690" s="16" t="s">
        <v>8177</v>
      </c>
      <c r="T690" t="s">
        <v>4893</v>
      </c>
      <c r="U690">
        <v>0</v>
      </c>
      <c r="V690" t="s">
        <v>8654</v>
      </c>
      <c r="W690" t="s">
        <v>6973</v>
      </c>
      <c r="X690" t="s">
        <v>8660</v>
      </c>
      <c r="Y690">
        <f t="shared" si="21"/>
        <v>1</v>
      </c>
    </row>
    <row r="691" spans="1:25" hidden="1">
      <c r="A691" t="s">
        <v>7704</v>
      </c>
      <c r="B691" t="s">
        <v>4706</v>
      </c>
      <c r="C691">
        <v>1154</v>
      </c>
      <c r="D691">
        <v>12</v>
      </c>
      <c r="E691" t="s">
        <v>4487</v>
      </c>
      <c r="F691" t="s">
        <v>4800</v>
      </c>
      <c r="H691" t="s">
        <v>1784</v>
      </c>
      <c r="J691" t="s">
        <v>9049</v>
      </c>
      <c r="L691">
        <f t="shared" si="20"/>
        <v>1</v>
      </c>
      <c r="M691" t="s">
        <v>4487</v>
      </c>
      <c r="N691" t="s">
        <v>6604</v>
      </c>
      <c r="O691" t="s">
        <v>3995</v>
      </c>
      <c r="P691" t="s">
        <v>6605</v>
      </c>
      <c r="Q691" t="s">
        <v>6606</v>
      </c>
      <c r="R691" s="16" t="s">
        <v>8376</v>
      </c>
      <c r="S691" s="16" t="s">
        <v>8080</v>
      </c>
      <c r="T691" t="s">
        <v>7704</v>
      </c>
      <c r="U691">
        <v>1</v>
      </c>
      <c r="V691" t="s">
        <v>8656</v>
      </c>
      <c r="W691" t="s">
        <v>3995</v>
      </c>
      <c r="X691" t="s">
        <v>8660</v>
      </c>
      <c r="Y691">
        <f t="shared" si="21"/>
        <v>1</v>
      </c>
    </row>
    <row r="692" spans="1:25" hidden="1">
      <c r="A692" t="s">
        <v>7335</v>
      </c>
      <c r="B692" t="s">
        <v>4482</v>
      </c>
      <c r="C692">
        <v>1163</v>
      </c>
      <c r="D692">
        <v>12</v>
      </c>
      <c r="E692" t="s">
        <v>4481</v>
      </c>
      <c r="F692" t="s">
        <v>4800</v>
      </c>
      <c r="H692" t="s">
        <v>1784</v>
      </c>
      <c r="J692" t="s">
        <v>8668</v>
      </c>
      <c r="L692">
        <f t="shared" si="20"/>
        <v>1</v>
      </c>
      <c r="M692" t="s">
        <v>6504</v>
      </c>
      <c r="N692" t="s">
        <v>6505</v>
      </c>
      <c r="O692" t="s">
        <v>104</v>
      </c>
      <c r="P692" t="s">
        <v>6506</v>
      </c>
      <c r="Q692" t="s">
        <v>6507</v>
      </c>
      <c r="R692" s="16" t="s">
        <v>8465</v>
      </c>
      <c r="S692" s="16" t="s">
        <v>8169</v>
      </c>
      <c r="T692" t="s">
        <v>7335</v>
      </c>
      <c r="U692">
        <v>0</v>
      </c>
      <c r="V692" t="s">
        <v>8654</v>
      </c>
      <c r="W692" t="s">
        <v>104</v>
      </c>
      <c r="X692" t="s">
        <v>8660</v>
      </c>
      <c r="Y692">
        <f t="shared" si="21"/>
        <v>1</v>
      </c>
    </row>
    <row r="693" spans="1:25" hidden="1">
      <c r="A693" t="s">
        <v>7340</v>
      </c>
      <c r="B693" t="s">
        <v>4343</v>
      </c>
      <c r="C693">
        <v>1156</v>
      </c>
      <c r="D693">
        <v>12</v>
      </c>
      <c r="E693" t="s">
        <v>4471</v>
      </c>
      <c r="F693" t="s">
        <v>4800</v>
      </c>
      <c r="H693" t="s">
        <v>1786</v>
      </c>
      <c r="J693" t="s">
        <v>8668</v>
      </c>
      <c r="L693">
        <f t="shared" si="20"/>
        <v>1</v>
      </c>
      <c r="M693" t="s">
        <v>6320</v>
      </c>
      <c r="N693" t="s">
        <v>6986</v>
      </c>
      <c r="O693" t="s">
        <v>6973</v>
      </c>
      <c r="P693">
        <v>46350</v>
      </c>
      <c r="Q693">
        <v>497790</v>
      </c>
      <c r="R693" s="16" t="s">
        <v>8473</v>
      </c>
      <c r="S693" s="16" t="s">
        <v>8177</v>
      </c>
      <c r="T693" t="s">
        <v>7340</v>
      </c>
      <c r="U693">
        <v>0</v>
      </c>
      <c r="V693" t="s">
        <v>8654</v>
      </c>
      <c r="W693" t="s">
        <v>6973</v>
      </c>
      <c r="X693" t="s">
        <v>8660</v>
      </c>
      <c r="Y693">
        <f t="shared" si="21"/>
        <v>1</v>
      </c>
    </row>
    <row r="694" spans="1:25" hidden="1">
      <c r="A694" t="s">
        <v>7339</v>
      </c>
      <c r="B694" t="s">
        <v>4805</v>
      </c>
      <c r="C694">
        <v>1157</v>
      </c>
      <c r="D694">
        <v>12</v>
      </c>
      <c r="E694" t="s">
        <v>4471</v>
      </c>
      <c r="F694" t="s">
        <v>4800</v>
      </c>
      <c r="H694" t="s">
        <v>1786</v>
      </c>
      <c r="J694" t="s">
        <v>8668</v>
      </c>
      <c r="L694">
        <f t="shared" si="20"/>
        <v>1</v>
      </c>
      <c r="M694" t="s">
        <v>6320</v>
      </c>
      <c r="N694" t="s">
        <v>6986</v>
      </c>
      <c r="O694" t="s">
        <v>6973</v>
      </c>
      <c r="P694">
        <v>46350</v>
      </c>
      <c r="Q694">
        <v>497790</v>
      </c>
      <c r="R694" s="16" t="s">
        <v>8473</v>
      </c>
      <c r="S694" s="16" t="s">
        <v>8177</v>
      </c>
      <c r="T694" t="s">
        <v>7339</v>
      </c>
      <c r="U694">
        <v>0</v>
      </c>
      <c r="V694" t="s">
        <v>8654</v>
      </c>
      <c r="W694" t="s">
        <v>6973</v>
      </c>
      <c r="X694" t="s">
        <v>8660</v>
      </c>
      <c r="Y694">
        <f t="shared" si="21"/>
        <v>1</v>
      </c>
    </row>
    <row r="695" spans="1:25" hidden="1">
      <c r="A695" t="s">
        <v>7324</v>
      </c>
      <c r="B695" t="s">
        <v>4805</v>
      </c>
      <c r="C695">
        <v>1157</v>
      </c>
      <c r="D695">
        <v>12</v>
      </c>
      <c r="E695" t="s">
        <v>4492</v>
      </c>
      <c r="F695" t="s">
        <v>4800</v>
      </c>
      <c r="H695" t="s">
        <v>1787</v>
      </c>
      <c r="J695" t="s">
        <v>9122</v>
      </c>
      <c r="L695">
        <f t="shared" si="20"/>
        <v>1</v>
      </c>
      <c r="M695" t="s">
        <v>6493</v>
      </c>
      <c r="N695" t="s">
        <v>6473</v>
      </c>
      <c r="O695" t="s">
        <v>11</v>
      </c>
      <c r="P695">
        <v>123155</v>
      </c>
      <c r="Q695">
        <v>454408</v>
      </c>
      <c r="R695" s="16" t="s">
        <v>8385</v>
      </c>
      <c r="S695" s="16" t="s">
        <v>8089</v>
      </c>
      <c r="T695" t="s">
        <v>7828</v>
      </c>
      <c r="U695">
        <v>1</v>
      </c>
      <c r="V695" t="s">
        <v>8656</v>
      </c>
      <c r="W695" t="s">
        <v>11</v>
      </c>
      <c r="X695" t="s">
        <v>8660</v>
      </c>
      <c r="Y695">
        <f t="shared" si="21"/>
        <v>1</v>
      </c>
    </row>
    <row r="696" spans="1:25" hidden="1">
      <c r="A696" t="s">
        <v>7341</v>
      </c>
      <c r="B696" t="s">
        <v>4344</v>
      </c>
      <c r="C696">
        <v>1166</v>
      </c>
      <c r="D696">
        <v>12</v>
      </c>
      <c r="E696" t="s">
        <v>4471</v>
      </c>
      <c r="F696" t="s">
        <v>4800</v>
      </c>
      <c r="H696" t="s">
        <v>1788</v>
      </c>
      <c r="J696" t="s">
        <v>8668</v>
      </c>
      <c r="L696">
        <f t="shared" si="20"/>
        <v>1</v>
      </c>
      <c r="M696" t="s">
        <v>6320</v>
      </c>
      <c r="N696" t="s">
        <v>6986</v>
      </c>
      <c r="O696" t="s">
        <v>6973</v>
      </c>
      <c r="P696">
        <v>46350</v>
      </c>
      <c r="Q696">
        <v>497790</v>
      </c>
      <c r="R696" s="16" t="s">
        <v>8473</v>
      </c>
      <c r="S696" s="16" t="s">
        <v>8177</v>
      </c>
      <c r="T696" t="s">
        <v>7341</v>
      </c>
      <c r="U696">
        <v>0</v>
      </c>
      <c r="V696" t="s">
        <v>8654</v>
      </c>
      <c r="W696" t="s">
        <v>6973</v>
      </c>
      <c r="X696" t="s">
        <v>8660</v>
      </c>
      <c r="Y696">
        <f t="shared" si="21"/>
        <v>1</v>
      </c>
    </row>
    <row r="697" spans="1:25" hidden="1">
      <c r="A697" t="s">
        <v>7351</v>
      </c>
      <c r="B697" t="s">
        <v>4806</v>
      </c>
      <c r="C697">
        <v>1200</v>
      </c>
      <c r="D697">
        <v>13</v>
      </c>
      <c r="E697" t="s">
        <v>1444</v>
      </c>
      <c r="F697" t="s">
        <v>4800</v>
      </c>
      <c r="H697" t="s">
        <v>1788</v>
      </c>
      <c r="J697" t="s">
        <v>8668</v>
      </c>
      <c r="L697">
        <f t="shared" si="20"/>
        <v>0</v>
      </c>
      <c r="R697" s="16" t="s">
        <v>8064</v>
      </c>
      <c r="S697" s="16" t="s">
        <v>8064</v>
      </c>
      <c r="T697" t="s">
        <v>7351</v>
      </c>
      <c r="U697">
        <v>0</v>
      </c>
      <c r="V697" t="s">
        <v>8655</v>
      </c>
      <c r="X697" t="s">
        <v>8660</v>
      </c>
      <c r="Y697">
        <f t="shared" si="21"/>
        <v>0</v>
      </c>
    </row>
    <row r="698" spans="1:25" hidden="1">
      <c r="A698" t="s">
        <v>4913</v>
      </c>
      <c r="B698" t="s">
        <v>4523</v>
      </c>
      <c r="C698">
        <v>1218</v>
      </c>
      <c r="D698">
        <v>13</v>
      </c>
      <c r="E698" t="s">
        <v>4481</v>
      </c>
      <c r="F698" t="s">
        <v>4697</v>
      </c>
      <c r="H698" t="s">
        <v>1789</v>
      </c>
      <c r="J698" t="s">
        <v>8668</v>
      </c>
      <c r="L698">
        <f t="shared" si="20"/>
        <v>1</v>
      </c>
      <c r="M698" t="s">
        <v>6504</v>
      </c>
      <c r="N698" t="s">
        <v>6505</v>
      </c>
      <c r="O698" t="s">
        <v>104</v>
      </c>
      <c r="P698" t="s">
        <v>6506</v>
      </c>
      <c r="Q698" t="s">
        <v>6507</v>
      </c>
      <c r="R698" s="16" t="s">
        <v>8465</v>
      </c>
      <c r="S698" s="16" t="s">
        <v>8169</v>
      </c>
      <c r="T698" t="s">
        <v>4913</v>
      </c>
      <c r="U698">
        <v>0</v>
      </c>
      <c r="V698" t="s">
        <v>8654</v>
      </c>
      <c r="W698" t="s">
        <v>104</v>
      </c>
      <c r="X698" t="s">
        <v>8660</v>
      </c>
      <c r="Y698">
        <f t="shared" si="21"/>
        <v>1</v>
      </c>
    </row>
    <row r="699" spans="1:25" hidden="1">
      <c r="A699" t="s">
        <v>7357</v>
      </c>
      <c r="B699" t="s">
        <v>4521</v>
      </c>
      <c r="C699">
        <v>1221</v>
      </c>
      <c r="D699">
        <v>13</v>
      </c>
      <c r="E699" t="s">
        <v>1444</v>
      </c>
      <c r="F699" t="s">
        <v>4800</v>
      </c>
      <c r="H699" t="s">
        <v>1789</v>
      </c>
      <c r="J699" t="s">
        <v>8668</v>
      </c>
      <c r="L699">
        <f t="shared" si="20"/>
        <v>0</v>
      </c>
      <c r="R699" s="16" t="s">
        <v>8064</v>
      </c>
      <c r="S699" s="16" t="s">
        <v>8064</v>
      </c>
      <c r="T699" t="s">
        <v>7357</v>
      </c>
      <c r="U699">
        <v>0</v>
      </c>
      <c r="V699" t="s">
        <v>8655</v>
      </c>
      <c r="X699" t="s">
        <v>8660</v>
      </c>
      <c r="Y699">
        <f t="shared" si="21"/>
        <v>0</v>
      </c>
    </row>
    <row r="700" spans="1:25" hidden="1">
      <c r="A700" t="s">
        <v>7332</v>
      </c>
      <c r="B700" t="s">
        <v>4527</v>
      </c>
      <c r="C700">
        <v>1232</v>
      </c>
      <c r="D700">
        <v>13</v>
      </c>
      <c r="E700" t="s">
        <v>4481</v>
      </c>
      <c r="F700" t="s">
        <v>4800</v>
      </c>
      <c r="H700" t="s">
        <v>1790</v>
      </c>
      <c r="J700" t="s">
        <v>8668</v>
      </c>
      <c r="L700">
        <f t="shared" si="20"/>
        <v>1</v>
      </c>
      <c r="M700" t="s">
        <v>6504</v>
      </c>
      <c r="N700" t="s">
        <v>6505</v>
      </c>
      <c r="O700" t="s">
        <v>104</v>
      </c>
      <c r="P700" t="s">
        <v>6506</v>
      </c>
      <c r="Q700" t="s">
        <v>6507</v>
      </c>
      <c r="R700" s="16" t="s">
        <v>8465</v>
      </c>
      <c r="S700" s="16" t="s">
        <v>8169</v>
      </c>
      <c r="T700" t="s">
        <v>7332</v>
      </c>
      <c r="U700">
        <v>0</v>
      </c>
      <c r="V700" t="s">
        <v>8654</v>
      </c>
      <c r="W700" t="s">
        <v>104</v>
      </c>
      <c r="X700" t="s">
        <v>8660</v>
      </c>
      <c r="Y700">
        <f t="shared" si="21"/>
        <v>1</v>
      </c>
    </row>
    <row r="701" spans="1:25" hidden="1">
      <c r="A701" t="s">
        <v>7343</v>
      </c>
      <c r="B701" t="s">
        <v>4541</v>
      </c>
      <c r="C701">
        <v>1236</v>
      </c>
      <c r="D701">
        <v>13</v>
      </c>
      <c r="E701" t="s">
        <v>1444</v>
      </c>
      <c r="F701" t="s">
        <v>4800</v>
      </c>
      <c r="H701" t="s">
        <v>1792</v>
      </c>
      <c r="J701" t="s">
        <v>8668</v>
      </c>
      <c r="L701">
        <f t="shared" si="20"/>
        <v>0</v>
      </c>
      <c r="R701" s="16" t="s">
        <v>8064</v>
      </c>
      <c r="S701" s="16" t="s">
        <v>8064</v>
      </c>
      <c r="T701" t="s">
        <v>7832</v>
      </c>
      <c r="U701">
        <v>0</v>
      </c>
      <c r="V701" t="s">
        <v>8655</v>
      </c>
      <c r="X701" t="s">
        <v>8660</v>
      </c>
      <c r="Y701">
        <f t="shared" si="21"/>
        <v>0</v>
      </c>
    </row>
    <row r="702" spans="1:25" hidden="1">
      <c r="A702" t="s">
        <v>7342</v>
      </c>
      <c r="B702" t="s">
        <v>4748</v>
      </c>
      <c r="C702">
        <v>1232</v>
      </c>
      <c r="D702">
        <v>13</v>
      </c>
      <c r="E702" t="s">
        <v>4471</v>
      </c>
      <c r="F702" t="s">
        <v>4800</v>
      </c>
      <c r="H702" t="s">
        <v>1791</v>
      </c>
      <c r="J702" t="s">
        <v>8668</v>
      </c>
      <c r="L702">
        <f t="shared" si="20"/>
        <v>1</v>
      </c>
      <c r="M702" t="s">
        <v>6320</v>
      </c>
      <c r="N702" t="s">
        <v>6986</v>
      </c>
      <c r="O702" t="s">
        <v>6973</v>
      </c>
      <c r="P702">
        <v>46350</v>
      </c>
      <c r="Q702">
        <v>497790</v>
      </c>
      <c r="R702" s="16" t="s">
        <v>8473</v>
      </c>
      <c r="S702" s="16" t="s">
        <v>8177</v>
      </c>
      <c r="T702" t="s">
        <v>7342</v>
      </c>
      <c r="U702">
        <v>0</v>
      </c>
      <c r="V702" t="s">
        <v>8654</v>
      </c>
      <c r="W702" t="s">
        <v>6973</v>
      </c>
      <c r="X702" t="s">
        <v>8660</v>
      </c>
      <c r="Y702">
        <f t="shared" si="21"/>
        <v>1</v>
      </c>
    </row>
    <row r="703" spans="1:25" hidden="1">
      <c r="A703" t="s">
        <v>7347</v>
      </c>
      <c r="B703" t="s">
        <v>4807</v>
      </c>
      <c r="C703">
        <v>1234</v>
      </c>
      <c r="D703">
        <v>13</v>
      </c>
      <c r="E703" t="s">
        <v>1444</v>
      </c>
      <c r="F703" t="s">
        <v>4800</v>
      </c>
      <c r="H703" t="s">
        <v>1791</v>
      </c>
      <c r="J703" t="s">
        <v>8668</v>
      </c>
      <c r="L703">
        <f t="shared" si="20"/>
        <v>0</v>
      </c>
      <c r="R703" s="16" t="s">
        <v>8064</v>
      </c>
      <c r="S703" s="16" t="s">
        <v>8064</v>
      </c>
      <c r="T703" t="s">
        <v>7347</v>
      </c>
      <c r="U703">
        <v>0</v>
      </c>
      <c r="V703" t="s">
        <v>8655</v>
      </c>
      <c r="X703" t="s">
        <v>8660</v>
      </c>
      <c r="Y703">
        <f t="shared" si="21"/>
        <v>0</v>
      </c>
    </row>
    <row r="704" spans="1:25" hidden="1">
      <c r="A704" t="s">
        <v>7330</v>
      </c>
      <c r="B704" t="s">
        <v>4808</v>
      </c>
      <c r="C704">
        <v>1252</v>
      </c>
      <c r="D704">
        <v>13</v>
      </c>
      <c r="E704" t="s">
        <v>4555</v>
      </c>
      <c r="F704" t="s">
        <v>4800</v>
      </c>
      <c r="H704" t="s">
        <v>1793</v>
      </c>
      <c r="J704" t="s">
        <v>8668</v>
      </c>
      <c r="L704">
        <f t="shared" si="20"/>
        <v>1</v>
      </c>
      <c r="M704" t="s">
        <v>6477</v>
      </c>
      <c r="N704" t="s">
        <v>6357</v>
      </c>
      <c r="O704" t="s">
        <v>104</v>
      </c>
      <c r="P704">
        <v>40310</v>
      </c>
      <c r="Q704">
        <v>492580</v>
      </c>
      <c r="R704" s="16" t="s">
        <v>8469</v>
      </c>
      <c r="S704" s="16" t="s">
        <v>8173</v>
      </c>
      <c r="T704" t="s">
        <v>7330</v>
      </c>
      <c r="U704">
        <v>0</v>
      </c>
      <c r="V704" t="s">
        <v>8654</v>
      </c>
      <c r="W704" t="s">
        <v>104</v>
      </c>
      <c r="X704" t="s">
        <v>8660</v>
      </c>
      <c r="Y704">
        <f t="shared" si="21"/>
        <v>1</v>
      </c>
    </row>
    <row r="705" spans="1:25" hidden="1">
      <c r="A705" t="s">
        <v>7329</v>
      </c>
      <c r="B705" t="s">
        <v>751</v>
      </c>
      <c r="C705">
        <v>1269</v>
      </c>
      <c r="D705">
        <v>13</v>
      </c>
      <c r="E705" t="s">
        <v>4577</v>
      </c>
      <c r="F705" t="s">
        <v>4800</v>
      </c>
      <c r="H705" t="s">
        <v>1793</v>
      </c>
      <c r="J705" t="s">
        <v>8668</v>
      </c>
      <c r="L705">
        <f t="shared" si="20"/>
        <v>1</v>
      </c>
      <c r="M705" t="s">
        <v>4577</v>
      </c>
      <c r="N705" t="s">
        <v>6776</v>
      </c>
      <c r="O705" t="s">
        <v>104</v>
      </c>
      <c r="P705" t="s">
        <v>6777</v>
      </c>
      <c r="Q705" t="s">
        <v>6778</v>
      </c>
      <c r="R705" s="16" t="s">
        <v>8468</v>
      </c>
      <c r="S705" s="16" t="s">
        <v>8172</v>
      </c>
      <c r="T705" t="s">
        <v>7329</v>
      </c>
      <c r="U705">
        <v>0</v>
      </c>
      <c r="V705" t="s">
        <v>8654</v>
      </c>
      <c r="W705" t="s">
        <v>104</v>
      </c>
      <c r="X705" t="s">
        <v>8660</v>
      </c>
      <c r="Y705">
        <f t="shared" si="21"/>
        <v>1</v>
      </c>
    </row>
    <row r="706" spans="1:25" hidden="1">
      <c r="A706" t="s">
        <v>7336</v>
      </c>
      <c r="B706" t="s">
        <v>4742</v>
      </c>
      <c r="C706">
        <v>1285</v>
      </c>
      <c r="D706">
        <v>13</v>
      </c>
      <c r="E706" t="s">
        <v>4610</v>
      </c>
      <c r="F706" t="s">
        <v>4800</v>
      </c>
      <c r="H706" t="s">
        <v>1798</v>
      </c>
      <c r="J706" t="s">
        <v>8668</v>
      </c>
      <c r="L706">
        <f t="shared" ref="L706:L769" si="22">IF(M706&lt;&gt;"",1,0)</f>
        <v>1</v>
      </c>
      <c r="M706" t="s">
        <v>6361</v>
      </c>
      <c r="N706" t="s">
        <v>6308</v>
      </c>
      <c r="O706" t="s">
        <v>104</v>
      </c>
      <c r="P706">
        <v>43540</v>
      </c>
      <c r="Q706">
        <v>479960</v>
      </c>
      <c r="R706" s="16" t="s">
        <v>8471</v>
      </c>
      <c r="S706" s="16" t="s">
        <v>8175</v>
      </c>
      <c r="T706" t="s">
        <v>7336</v>
      </c>
      <c r="U706">
        <v>0</v>
      </c>
      <c r="V706" t="s">
        <v>8654</v>
      </c>
      <c r="W706" t="s">
        <v>104</v>
      </c>
      <c r="X706" t="s">
        <v>8660</v>
      </c>
      <c r="Y706">
        <f t="shared" ref="Y706:Y769" si="23">IF(OR(V706="Loc",V706="IIIF"),1,0)</f>
        <v>1</v>
      </c>
    </row>
    <row r="707" spans="1:25" hidden="1">
      <c r="A707" t="s">
        <v>7350</v>
      </c>
      <c r="B707" t="s">
        <v>760</v>
      </c>
      <c r="C707">
        <v>1273</v>
      </c>
      <c r="D707">
        <v>13</v>
      </c>
      <c r="E707" t="s">
        <v>1444</v>
      </c>
      <c r="F707" t="s">
        <v>4800</v>
      </c>
      <c r="H707" t="s">
        <v>1794</v>
      </c>
      <c r="J707" t="s">
        <v>8668</v>
      </c>
      <c r="L707">
        <f t="shared" si="22"/>
        <v>0</v>
      </c>
      <c r="R707" s="16" t="s">
        <v>8064</v>
      </c>
      <c r="S707" s="16" t="s">
        <v>8064</v>
      </c>
      <c r="T707" t="s">
        <v>7834</v>
      </c>
      <c r="U707">
        <v>0</v>
      </c>
      <c r="V707" t="s">
        <v>8655</v>
      </c>
      <c r="X707" t="s">
        <v>8660</v>
      </c>
      <c r="Y707">
        <f t="shared" si="23"/>
        <v>0</v>
      </c>
    </row>
    <row r="708" spans="1:25" hidden="1">
      <c r="A708" t="s">
        <v>7326</v>
      </c>
      <c r="B708" t="s">
        <v>1020</v>
      </c>
      <c r="C708">
        <v>1276</v>
      </c>
      <c r="D708">
        <v>13</v>
      </c>
      <c r="E708" t="s">
        <v>4598</v>
      </c>
      <c r="F708" t="s">
        <v>4800</v>
      </c>
      <c r="H708" t="s">
        <v>1795</v>
      </c>
      <c r="J708" t="s">
        <v>8668</v>
      </c>
      <c r="L708">
        <f t="shared" si="22"/>
        <v>1</v>
      </c>
      <c r="M708" t="s">
        <v>6818</v>
      </c>
      <c r="N708" t="s">
        <v>6604</v>
      </c>
      <c r="O708" t="s">
        <v>3995</v>
      </c>
      <c r="P708" t="s">
        <v>6819</v>
      </c>
      <c r="Q708" t="s">
        <v>6820</v>
      </c>
      <c r="R708" s="16" t="s">
        <v>8467</v>
      </c>
      <c r="S708" s="16" t="s">
        <v>8171</v>
      </c>
      <c r="T708" t="s">
        <v>7326</v>
      </c>
      <c r="U708">
        <v>0</v>
      </c>
      <c r="V708" t="s">
        <v>8654</v>
      </c>
      <c r="W708" t="s">
        <v>3995</v>
      </c>
      <c r="X708" t="s">
        <v>8660</v>
      </c>
      <c r="Y708">
        <f t="shared" si="23"/>
        <v>1</v>
      </c>
    </row>
    <row r="709" spans="1:25" hidden="1">
      <c r="A709" t="s">
        <v>7348</v>
      </c>
      <c r="B709" t="s">
        <v>1020</v>
      </c>
      <c r="C709">
        <v>1276</v>
      </c>
      <c r="D709">
        <v>13</v>
      </c>
      <c r="E709" t="s">
        <v>1444</v>
      </c>
      <c r="F709" t="s">
        <v>4800</v>
      </c>
      <c r="H709" t="s">
        <v>1795</v>
      </c>
      <c r="J709" t="s">
        <v>8668</v>
      </c>
      <c r="L709">
        <f t="shared" si="22"/>
        <v>0</v>
      </c>
      <c r="R709" s="16" t="s">
        <v>8064</v>
      </c>
      <c r="S709" s="16" t="s">
        <v>8064</v>
      </c>
      <c r="T709" t="s">
        <v>7348</v>
      </c>
      <c r="U709">
        <v>0</v>
      </c>
      <c r="V709" t="s">
        <v>8655</v>
      </c>
      <c r="X709" t="s">
        <v>8660</v>
      </c>
      <c r="Y709">
        <f t="shared" si="23"/>
        <v>0</v>
      </c>
    </row>
    <row r="710" spans="1:25" hidden="1">
      <c r="A710" t="s">
        <v>7355</v>
      </c>
      <c r="B710" t="s">
        <v>4687</v>
      </c>
      <c r="C710">
        <v>1279</v>
      </c>
      <c r="D710">
        <v>13</v>
      </c>
      <c r="E710" t="s">
        <v>1444</v>
      </c>
      <c r="F710" t="s">
        <v>4800</v>
      </c>
      <c r="H710" t="s">
        <v>1796</v>
      </c>
      <c r="J710" t="s">
        <v>8668</v>
      </c>
      <c r="L710">
        <f t="shared" si="22"/>
        <v>0</v>
      </c>
      <c r="R710" s="16" t="s">
        <v>8064</v>
      </c>
      <c r="S710" s="16" t="s">
        <v>8064</v>
      </c>
      <c r="T710" t="s">
        <v>7355</v>
      </c>
      <c r="U710">
        <v>0</v>
      </c>
      <c r="V710" t="s">
        <v>8655</v>
      </c>
      <c r="X710" t="s">
        <v>8660</v>
      </c>
      <c r="Y710">
        <f t="shared" si="23"/>
        <v>0</v>
      </c>
    </row>
    <row r="711" spans="1:25" hidden="1">
      <c r="A711" t="s">
        <v>7353</v>
      </c>
      <c r="B711" t="s">
        <v>4729</v>
      </c>
      <c r="C711">
        <v>1281</v>
      </c>
      <c r="D711">
        <v>13</v>
      </c>
      <c r="E711" t="s">
        <v>1444</v>
      </c>
      <c r="F711" t="s">
        <v>4800</v>
      </c>
      <c r="H711" t="s">
        <v>1797</v>
      </c>
      <c r="J711" t="s">
        <v>8668</v>
      </c>
      <c r="L711">
        <f t="shared" si="22"/>
        <v>0</v>
      </c>
      <c r="R711" s="16" t="s">
        <v>8064</v>
      </c>
      <c r="S711" s="16" t="s">
        <v>8064</v>
      </c>
      <c r="T711" t="s">
        <v>7353</v>
      </c>
      <c r="U711">
        <v>0</v>
      </c>
      <c r="V711" t="s">
        <v>8655</v>
      </c>
      <c r="X711" t="s">
        <v>8660</v>
      </c>
      <c r="Y711">
        <f t="shared" si="23"/>
        <v>0</v>
      </c>
    </row>
    <row r="712" spans="1:25" hidden="1">
      <c r="A712" t="s">
        <v>7354</v>
      </c>
      <c r="B712" t="s">
        <v>4729</v>
      </c>
      <c r="C712">
        <v>1281</v>
      </c>
      <c r="D712">
        <v>13</v>
      </c>
      <c r="E712" t="s">
        <v>1444</v>
      </c>
      <c r="F712" t="s">
        <v>4800</v>
      </c>
      <c r="H712" t="s">
        <v>1797</v>
      </c>
      <c r="J712" t="s">
        <v>8668</v>
      </c>
      <c r="L712">
        <f t="shared" si="22"/>
        <v>0</v>
      </c>
      <c r="R712" s="16" t="s">
        <v>8064</v>
      </c>
      <c r="S712" s="16" t="s">
        <v>8064</v>
      </c>
      <c r="T712" t="s">
        <v>7354</v>
      </c>
      <c r="U712">
        <v>0</v>
      </c>
      <c r="V712" t="s">
        <v>8655</v>
      </c>
      <c r="X712" t="s">
        <v>8660</v>
      </c>
      <c r="Y712">
        <f t="shared" si="23"/>
        <v>0</v>
      </c>
    </row>
    <row r="713" spans="1:25" hidden="1">
      <c r="A713" t="s">
        <v>7349</v>
      </c>
      <c r="B713" t="s">
        <v>4742</v>
      </c>
      <c r="C713">
        <v>1285</v>
      </c>
      <c r="D713">
        <v>13</v>
      </c>
      <c r="E713" t="s">
        <v>1444</v>
      </c>
      <c r="F713" t="s">
        <v>4800</v>
      </c>
      <c r="H713" t="s">
        <v>1799</v>
      </c>
      <c r="J713" t="s">
        <v>8818</v>
      </c>
      <c r="L713">
        <f t="shared" si="22"/>
        <v>0</v>
      </c>
      <c r="R713" s="16" t="s">
        <v>8064</v>
      </c>
      <c r="S713" s="16" t="s">
        <v>8064</v>
      </c>
      <c r="T713" t="s">
        <v>7349</v>
      </c>
      <c r="U713">
        <v>1</v>
      </c>
      <c r="V713" t="s">
        <v>8655</v>
      </c>
      <c r="X713" t="s">
        <v>8660</v>
      </c>
      <c r="Y713">
        <f t="shared" si="23"/>
        <v>0</v>
      </c>
    </row>
    <row r="714" spans="1:25" hidden="1">
      <c r="A714" t="s">
        <v>7358</v>
      </c>
      <c r="B714" t="s">
        <v>778</v>
      </c>
      <c r="C714">
        <v>1286</v>
      </c>
      <c r="D714">
        <v>13</v>
      </c>
      <c r="E714" t="s">
        <v>1444</v>
      </c>
      <c r="F714" t="s">
        <v>4800</v>
      </c>
      <c r="H714" t="s">
        <v>1799</v>
      </c>
      <c r="J714" t="s">
        <v>8668</v>
      </c>
      <c r="L714">
        <f t="shared" si="22"/>
        <v>0</v>
      </c>
      <c r="R714" s="16" t="s">
        <v>8064</v>
      </c>
      <c r="S714" s="16" t="s">
        <v>8064</v>
      </c>
      <c r="T714" t="s">
        <v>7358</v>
      </c>
      <c r="U714">
        <v>0</v>
      </c>
      <c r="V714" t="s">
        <v>8655</v>
      </c>
      <c r="X714" t="s">
        <v>8660</v>
      </c>
      <c r="Y714">
        <f t="shared" si="23"/>
        <v>0</v>
      </c>
    </row>
    <row r="715" spans="1:25" hidden="1">
      <c r="A715" t="s">
        <v>7359</v>
      </c>
      <c r="B715" t="s">
        <v>4711</v>
      </c>
      <c r="C715">
        <v>1287</v>
      </c>
      <c r="D715">
        <v>13</v>
      </c>
      <c r="E715" t="s">
        <v>1444</v>
      </c>
      <c r="F715" t="s">
        <v>4800</v>
      </c>
      <c r="H715" t="s">
        <v>1800</v>
      </c>
      <c r="J715" t="s">
        <v>8668</v>
      </c>
      <c r="L715">
        <f t="shared" si="22"/>
        <v>0</v>
      </c>
      <c r="R715" s="16" t="s">
        <v>8064</v>
      </c>
      <c r="S715" s="16" t="s">
        <v>8064</v>
      </c>
      <c r="T715" t="s">
        <v>7359</v>
      </c>
      <c r="U715">
        <v>0</v>
      </c>
      <c r="V715" t="s">
        <v>8655</v>
      </c>
      <c r="X715" t="s">
        <v>8660</v>
      </c>
      <c r="Y715">
        <f t="shared" si="23"/>
        <v>0</v>
      </c>
    </row>
    <row r="716" spans="1:25" hidden="1">
      <c r="A716" t="s">
        <v>7325</v>
      </c>
      <c r="B716" t="s">
        <v>4717</v>
      </c>
      <c r="C716">
        <v>1289</v>
      </c>
      <c r="D716">
        <v>13</v>
      </c>
      <c r="E716" t="s">
        <v>4621</v>
      </c>
      <c r="F716" t="s">
        <v>4800</v>
      </c>
      <c r="H716" t="s">
        <v>1801</v>
      </c>
      <c r="J716" t="s">
        <v>8668</v>
      </c>
      <c r="L716">
        <f t="shared" si="22"/>
        <v>1</v>
      </c>
      <c r="M716" t="s">
        <v>6493</v>
      </c>
      <c r="N716" t="s">
        <v>6473</v>
      </c>
      <c r="O716" t="s">
        <v>11</v>
      </c>
      <c r="P716">
        <v>123155</v>
      </c>
      <c r="Q716">
        <v>454408</v>
      </c>
      <c r="R716" s="16" t="s">
        <v>8385</v>
      </c>
      <c r="S716" s="16" t="s">
        <v>8089</v>
      </c>
      <c r="T716" t="s">
        <v>7325</v>
      </c>
      <c r="U716">
        <v>0</v>
      </c>
      <c r="V716" t="s">
        <v>8654</v>
      </c>
      <c r="W716" t="s">
        <v>11</v>
      </c>
      <c r="X716" t="s">
        <v>8660</v>
      </c>
      <c r="Y716">
        <f t="shared" si="23"/>
        <v>1</v>
      </c>
    </row>
    <row r="717" spans="1:25" hidden="1">
      <c r="A717" t="s">
        <v>7345</v>
      </c>
      <c r="B717" t="s">
        <v>4717</v>
      </c>
      <c r="C717">
        <v>1289</v>
      </c>
      <c r="D717">
        <v>13</v>
      </c>
      <c r="E717" t="s">
        <v>1444</v>
      </c>
      <c r="F717" t="s">
        <v>4800</v>
      </c>
      <c r="H717" t="s">
        <v>1801</v>
      </c>
      <c r="J717" t="s">
        <v>8668</v>
      </c>
      <c r="L717">
        <f t="shared" si="22"/>
        <v>0</v>
      </c>
      <c r="R717" s="16" t="s">
        <v>8064</v>
      </c>
      <c r="S717" s="16" t="s">
        <v>8064</v>
      </c>
      <c r="T717" t="s">
        <v>7833</v>
      </c>
      <c r="U717">
        <v>0</v>
      </c>
      <c r="V717" t="s">
        <v>8655</v>
      </c>
      <c r="X717" t="s">
        <v>8660</v>
      </c>
      <c r="Y717">
        <f t="shared" si="23"/>
        <v>0</v>
      </c>
    </row>
    <row r="718" spans="1:25" hidden="1">
      <c r="A718" t="s">
        <v>7346</v>
      </c>
      <c r="B718" t="s">
        <v>4809</v>
      </c>
      <c r="C718">
        <v>1290</v>
      </c>
      <c r="D718">
        <v>13</v>
      </c>
      <c r="E718" t="s">
        <v>1444</v>
      </c>
      <c r="F718" t="s">
        <v>4800</v>
      </c>
      <c r="H718" t="s">
        <v>1802</v>
      </c>
      <c r="J718" t="s">
        <v>8668</v>
      </c>
      <c r="L718">
        <f t="shared" si="22"/>
        <v>0</v>
      </c>
      <c r="R718" s="16" t="s">
        <v>8064</v>
      </c>
      <c r="S718" s="16" t="s">
        <v>8064</v>
      </c>
      <c r="T718" t="s">
        <v>7833</v>
      </c>
      <c r="U718">
        <v>0</v>
      </c>
      <c r="V718" t="s">
        <v>8655</v>
      </c>
      <c r="X718" t="s">
        <v>8660</v>
      </c>
      <c r="Y718">
        <f t="shared" si="23"/>
        <v>0</v>
      </c>
    </row>
    <row r="719" spans="1:25" hidden="1">
      <c r="A719" t="s">
        <v>7356</v>
      </c>
      <c r="B719" t="s">
        <v>4631</v>
      </c>
      <c r="C719">
        <v>1294</v>
      </c>
      <c r="D719">
        <v>13</v>
      </c>
      <c r="E719" t="s">
        <v>1444</v>
      </c>
      <c r="F719" t="s">
        <v>4800</v>
      </c>
      <c r="H719" t="s">
        <v>1802</v>
      </c>
      <c r="J719" t="s">
        <v>8668</v>
      </c>
      <c r="L719">
        <f t="shared" si="22"/>
        <v>0</v>
      </c>
      <c r="R719" s="16" t="s">
        <v>8064</v>
      </c>
      <c r="S719" s="16" t="s">
        <v>8064</v>
      </c>
      <c r="T719" t="s">
        <v>7836</v>
      </c>
      <c r="U719">
        <v>0</v>
      </c>
      <c r="V719" t="s">
        <v>8655</v>
      </c>
      <c r="X719" t="s">
        <v>8660</v>
      </c>
      <c r="Y719">
        <f t="shared" si="23"/>
        <v>0</v>
      </c>
    </row>
    <row r="720" spans="1:25" hidden="1">
      <c r="A720" t="s">
        <v>7337</v>
      </c>
      <c r="B720" t="s">
        <v>4810</v>
      </c>
      <c r="C720">
        <v>1295</v>
      </c>
      <c r="D720">
        <v>13</v>
      </c>
      <c r="E720" t="s">
        <v>4411</v>
      </c>
      <c r="F720" t="s">
        <v>4800</v>
      </c>
      <c r="H720" t="s">
        <v>1804</v>
      </c>
      <c r="J720" t="s">
        <v>8668</v>
      </c>
      <c r="L720">
        <f t="shared" si="22"/>
        <v>1</v>
      </c>
      <c r="M720" t="s">
        <v>6356</v>
      </c>
      <c r="N720" t="s">
        <v>6357</v>
      </c>
      <c r="O720" t="s">
        <v>104</v>
      </c>
      <c r="P720">
        <v>43620</v>
      </c>
      <c r="Q720">
        <v>489570</v>
      </c>
      <c r="R720" s="16" t="s">
        <v>8472</v>
      </c>
      <c r="S720" s="16" t="s">
        <v>8176</v>
      </c>
      <c r="T720" t="s">
        <v>7830</v>
      </c>
      <c r="U720">
        <v>0</v>
      </c>
      <c r="V720" t="s">
        <v>8654</v>
      </c>
      <c r="W720" t="s">
        <v>104</v>
      </c>
      <c r="X720" t="s">
        <v>8660</v>
      </c>
      <c r="Y720">
        <f t="shared" si="23"/>
        <v>1</v>
      </c>
    </row>
    <row r="721" spans="1:25" hidden="1">
      <c r="A721" t="s">
        <v>7331</v>
      </c>
      <c r="B721" t="s">
        <v>4811</v>
      </c>
      <c r="C721">
        <v>1297</v>
      </c>
      <c r="D721">
        <v>13</v>
      </c>
      <c r="E721" t="s">
        <v>4635</v>
      </c>
      <c r="F721" t="s">
        <v>4800</v>
      </c>
      <c r="H721" t="s">
        <v>1805</v>
      </c>
      <c r="J721" t="s">
        <v>8668</v>
      </c>
      <c r="L721">
        <f t="shared" si="22"/>
        <v>1</v>
      </c>
      <c r="M721" t="s">
        <v>4635</v>
      </c>
      <c r="N721" t="s">
        <v>7004</v>
      </c>
      <c r="O721" t="s">
        <v>6973</v>
      </c>
      <c r="P721">
        <v>47000</v>
      </c>
      <c r="Q721">
        <v>494500</v>
      </c>
      <c r="R721" s="16" t="s">
        <v>8470</v>
      </c>
      <c r="S721" s="16" t="s">
        <v>8174</v>
      </c>
      <c r="T721" t="s">
        <v>7331</v>
      </c>
      <c r="U721">
        <v>0</v>
      </c>
      <c r="V721" t="s">
        <v>8654</v>
      </c>
      <c r="W721" t="s">
        <v>6973</v>
      </c>
      <c r="X721" t="s">
        <v>8660</v>
      </c>
      <c r="Y721">
        <f t="shared" si="23"/>
        <v>1</v>
      </c>
    </row>
    <row r="722" spans="1:25" hidden="1">
      <c r="A722" t="s">
        <v>7334</v>
      </c>
      <c r="B722" t="s">
        <v>1044</v>
      </c>
      <c r="C722">
        <v>1298</v>
      </c>
      <c r="D722">
        <v>13</v>
      </c>
      <c r="E722" t="s">
        <v>4481</v>
      </c>
      <c r="F722" t="s">
        <v>4800</v>
      </c>
      <c r="H722" t="s">
        <v>1805</v>
      </c>
      <c r="J722" t="s">
        <v>8668</v>
      </c>
      <c r="L722">
        <f t="shared" si="22"/>
        <v>1</v>
      </c>
      <c r="M722" t="s">
        <v>6504</v>
      </c>
      <c r="N722" t="s">
        <v>6505</v>
      </c>
      <c r="O722" t="s">
        <v>104</v>
      </c>
      <c r="P722" t="s">
        <v>6506</v>
      </c>
      <c r="Q722" t="s">
        <v>6507</v>
      </c>
      <c r="R722" s="16" t="s">
        <v>8465</v>
      </c>
      <c r="S722" s="16" t="s">
        <v>8169</v>
      </c>
      <c r="T722" t="s">
        <v>7334</v>
      </c>
      <c r="U722">
        <v>0</v>
      </c>
      <c r="V722" t="s">
        <v>8654</v>
      </c>
      <c r="W722" t="s">
        <v>104</v>
      </c>
      <c r="X722" t="s">
        <v>8660</v>
      </c>
      <c r="Y722">
        <f t="shared" si="23"/>
        <v>1</v>
      </c>
    </row>
    <row r="723" spans="1:25" hidden="1">
      <c r="A723" t="s">
        <v>7333</v>
      </c>
      <c r="B723" t="s">
        <v>4348</v>
      </c>
      <c r="C723">
        <v>1296</v>
      </c>
      <c r="D723">
        <v>13</v>
      </c>
      <c r="E723" t="s">
        <v>4481</v>
      </c>
      <c r="F723" t="s">
        <v>4800</v>
      </c>
      <c r="H723" t="s">
        <v>1803</v>
      </c>
      <c r="J723" t="s">
        <v>8668</v>
      </c>
      <c r="L723">
        <f t="shared" si="22"/>
        <v>1</v>
      </c>
      <c r="M723" t="s">
        <v>6504</v>
      </c>
      <c r="N723" t="s">
        <v>6505</v>
      </c>
      <c r="O723" t="s">
        <v>104</v>
      </c>
      <c r="P723" t="s">
        <v>6506</v>
      </c>
      <c r="Q723" t="s">
        <v>6507</v>
      </c>
      <c r="R723" s="16" t="s">
        <v>8465</v>
      </c>
      <c r="S723" s="16" t="s">
        <v>8169</v>
      </c>
      <c r="T723" t="s">
        <v>7333</v>
      </c>
      <c r="U723">
        <v>0</v>
      </c>
      <c r="V723" t="s">
        <v>8654</v>
      </c>
      <c r="W723" t="s">
        <v>104</v>
      </c>
      <c r="X723" t="s">
        <v>8660</v>
      </c>
      <c r="Y723">
        <f t="shared" si="23"/>
        <v>1</v>
      </c>
    </row>
    <row r="724" spans="1:25" hidden="1">
      <c r="A724" t="s">
        <v>4939</v>
      </c>
      <c r="B724" t="s">
        <v>4940</v>
      </c>
      <c r="C724">
        <v>1300</v>
      </c>
      <c r="D724">
        <v>13</v>
      </c>
      <c r="E724" t="s">
        <v>4395</v>
      </c>
      <c r="F724" t="s">
        <v>4697</v>
      </c>
      <c r="H724" t="s">
        <v>4938</v>
      </c>
      <c r="J724" t="s">
        <v>8668</v>
      </c>
      <c r="L724">
        <f t="shared" si="22"/>
        <v>1</v>
      </c>
      <c r="M724" t="s">
        <v>6383</v>
      </c>
      <c r="N724" t="s">
        <v>6308</v>
      </c>
      <c r="O724" t="s">
        <v>104</v>
      </c>
      <c r="P724">
        <v>50450</v>
      </c>
      <c r="Q724">
        <v>473220</v>
      </c>
      <c r="R724" s="16" t="s">
        <v>8588</v>
      </c>
      <c r="S724" s="16" t="s">
        <v>8293</v>
      </c>
      <c r="T724" t="s">
        <v>4939</v>
      </c>
      <c r="U724">
        <v>0</v>
      </c>
      <c r="V724" t="s">
        <v>8654</v>
      </c>
      <c r="W724" t="s">
        <v>104</v>
      </c>
      <c r="X724" t="s">
        <v>8660</v>
      </c>
      <c r="Y724">
        <f t="shared" si="23"/>
        <v>1</v>
      </c>
    </row>
    <row r="725" spans="1:25" hidden="1">
      <c r="A725" t="s">
        <v>4937</v>
      </c>
      <c r="B725">
        <v>1300</v>
      </c>
      <c r="C725">
        <v>1300</v>
      </c>
      <c r="D725">
        <v>13</v>
      </c>
      <c r="E725" t="s">
        <v>1444</v>
      </c>
      <c r="F725" t="s">
        <v>4697</v>
      </c>
      <c r="H725" t="s">
        <v>4938</v>
      </c>
      <c r="J725" t="s">
        <v>8668</v>
      </c>
      <c r="L725">
        <f t="shared" si="22"/>
        <v>0</v>
      </c>
      <c r="R725" s="16" t="s">
        <v>8064</v>
      </c>
      <c r="S725" s="16" t="s">
        <v>8064</v>
      </c>
      <c r="T725" t="s">
        <v>4937</v>
      </c>
      <c r="U725">
        <v>0</v>
      </c>
      <c r="V725" t="s">
        <v>8655</v>
      </c>
      <c r="X725" t="s">
        <v>8660</v>
      </c>
      <c r="Y725">
        <f t="shared" si="23"/>
        <v>0</v>
      </c>
    </row>
    <row r="726" spans="1:25" hidden="1">
      <c r="A726" t="s">
        <v>7390</v>
      </c>
      <c r="B726" t="s">
        <v>4814</v>
      </c>
      <c r="C726">
        <v>1109</v>
      </c>
      <c r="D726">
        <v>12</v>
      </c>
      <c r="E726" t="s">
        <v>4446</v>
      </c>
      <c r="F726" t="s">
        <v>4812</v>
      </c>
      <c r="H726" t="s">
        <v>1849</v>
      </c>
      <c r="J726" t="s">
        <v>8668</v>
      </c>
      <c r="L726">
        <f t="shared" si="22"/>
        <v>1</v>
      </c>
      <c r="M726" t="s">
        <v>6368</v>
      </c>
      <c r="N726" t="s">
        <v>6369</v>
      </c>
      <c r="O726" t="s">
        <v>104</v>
      </c>
      <c r="P726">
        <v>50860</v>
      </c>
      <c r="Q726">
        <v>472440</v>
      </c>
      <c r="R726" s="16" t="s">
        <v>8386</v>
      </c>
      <c r="S726" s="16" t="s">
        <v>8090</v>
      </c>
      <c r="T726" t="s">
        <v>7390</v>
      </c>
      <c r="U726">
        <v>0</v>
      </c>
      <c r="V726" t="s">
        <v>8654</v>
      </c>
      <c r="W726" t="s">
        <v>104</v>
      </c>
      <c r="X726" t="s">
        <v>8660</v>
      </c>
      <c r="Y726">
        <f t="shared" si="23"/>
        <v>1</v>
      </c>
    </row>
    <row r="727" spans="1:25" hidden="1">
      <c r="A727" t="s">
        <v>7382</v>
      </c>
      <c r="B727" t="s">
        <v>4448</v>
      </c>
      <c r="C727">
        <v>1116</v>
      </c>
      <c r="D727">
        <v>12</v>
      </c>
      <c r="E727" t="s">
        <v>4449</v>
      </c>
      <c r="F727" t="s">
        <v>4812</v>
      </c>
      <c r="H727" t="s">
        <v>1849</v>
      </c>
      <c r="J727" t="s">
        <v>9056</v>
      </c>
      <c r="L727">
        <f t="shared" si="22"/>
        <v>1</v>
      </c>
      <c r="M727" t="s">
        <v>4532</v>
      </c>
      <c r="N727" t="s">
        <v>6308</v>
      </c>
      <c r="O727" t="s">
        <v>104</v>
      </c>
      <c r="P727">
        <v>32830</v>
      </c>
      <c r="Q727">
        <v>481980</v>
      </c>
      <c r="R727" s="16" t="s">
        <v>8366</v>
      </c>
      <c r="S727" s="16" t="s">
        <v>8071</v>
      </c>
      <c r="T727" t="s">
        <v>7837</v>
      </c>
      <c r="U727">
        <v>1</v>
      </c>
      <c r="V727" t="s">
        <v>8656</v>
      </c>
      <c r="W727" t="s">
        <v>104</v>
      </c>
      <c r="X727" t="s">
        <v>8660</v>
      </c>
      <c r="Y727">
        <f t="shared" si="23"/>
        <v>1</v>
      </c>
    </row>
    <row r="728" spans="1:25" hidden="1">
      <c r="A728" t="s">
        <v>7391</v>
      </c>
      <c r="B728" t="s">
        <v>4816</v>
      </c>
      <c r="C728">
        <v>1111</v>
      </c>
      <c r="D728">
        <v>12</v>
      </c>
      <c r="E728" t="s">
        <v>4446</v>
      </c>
      <c r="F728" t="s">
        <v>4812</v>
      </c>
      <c r="H728" t="s">
        <v>1850</v>
      </c>
      <c r="J728" t="s">
        <v>8668</v>
      </c>
      <c r="L728">
        <f t="shared" si="22"/>
        <v>1</v>
      </c>
      <c r="M728" t="s">
        <v>6368</v>
      </c>
      <c r="N728" t="s">
        <v>6369</v>
      </c>
      <c r="O728" t="s">
        <v>104</v>
      </c>
      <c r="P728">
        <v>50860</v>
      </c>
      <c r="Q728">
        <v>472440</v>
      </c>
      <c r="R728" s="16" t="s">
        <v>8386</v>
      </c>
      <c r="S728" s="16" t="s">
        <v>8090</v>
      </c>
      <c r="T728" t="s">
        <v>7391</v>
      </c>
      <c r="U728">
        <v>0</v>
      </c>
      <c r="V728" t="s">
        <v>8654</v>
      </c>
      <c r="W728" t="s">
        <v>104</v>
      </c>
      <c r="X728" t="s">
        <v>8660</v>
      </c>
      <c r="Y728">
        <f t="shared" si="23"/>
        <v>1</v>
      </c>
    </row>
    <row r="729" spans="1:25" hidden="1">
      <c r="A729" t="s">
        <v>7392</v>
      </c>
      <c r="B729" t="s">
        <v>4816</v>
      </c>
      <c r="C729">
        <v>1111</v>
      </c>
      <c r="D729">
        <v>12</v>
      </c>
      <c r="E729" t="s">
        <v>4446</v>
      </c>
      <c r="F729" t="s">
        <v>4812</v>
      </c>
      <c r="H729" t="s">
        <v>1850</v>
      </c>
      <c r="J729" t="s">
        <v>8668</v>
      </c>
      <c r="L729">
        <f t="shared" si="22"/>
        <v>1</v>
      </c>
      <c r="M729" t="s">
        <v>6368</v>
      </c>
      <c r="N729" t="s">
        <v>6369</v>
      </c>
      <c r="O729" t="s">
        <v>104</v>
      </c>
      <c r="P729">
        <v>50860</v>
      </c>
      <c r="Q729">
        <v>472440</v>
      </c>
      <c r="R729" s="16" t="s">
        <v>8386</v>
      </c>
      <c r="S729" s="16" t="s">
        <v>8090</v>
      </c>
      <c r="T729" t="s">
        <v>7392</v>
      </c>
      <c r="U729">
        <v>0</v>
      </c>
      <c r="V729" t="s">
        <v>8654</v>
      </c>
      <c r="W729" t="s">
        <v>104</v>
      </c>
      <c r="X729" t="s">
        <v>8660</v>
      </c>
      <c r="Y729">
        <f t="shared" si="23"/>
        <v>1</v>
      </c>
    </row>
    <row r="730" spans="1:25" hidden="1">
      <c r="A730" t="s">
        <v>7399</v>
      </c>
      <c r="B730" t="s">
        <v>4818</v>
      </c>
      <c r="C730">
        <v>1125</v>
      </c>
      <c r="D730">
        <v>12</v>
      </c>
      <c r="E730" t="s">
        <v>4457</v>
      </c>
      <c r="F730" t="s">
        <v>4812</v>
      </c>
      <c r="H730" t="s">
        <v>1851</v>
      </c>
      <c r="J730" t="s">
        <v>8668</v>
      </c>
      <c r="L730">
        <f t="shared" si="22"/>
        <v>1</v>
      </c>
      <c r="M730" t="s">
        <v>4457</v>
      </c>
      <c r="N730" t="s">
        <v>6305</v>
      </c>
      <c r="O730" t="s">
        <v>104</v>
      </c>
      <c r="P730">
        <v>27770</v>
      </c>
      <c r="Q730">
        <v>502910</v>
      </c>
      <c r="R730" s="16" t="s">
        <v>8480</v>
      </c>
      <c r="S730" s="16" t="s">
        <v>8185</v>
      </c>
      <c r="T730" t="s">
        <v>7399</v>
      </c>
      <c r="U730">
        <v>0</v>
      </c>
      <c r="V730" t="s">
        <v>8654</v>
      </c>
      <c r="W730" t="s">
        <v>104</v>
      </c>
      <c r="X730" t="s">
        <v>8660</v>
      </c>
      <c r="Y730">
        <f t="shared" si="23"/>
        <v>1</v>
      </c>
    </row>
    <row r="731" spans="1:25" hidden="1">
      <c r="A731" t="s">
        <v>7398</v>
      </c>
      <c r="B731" t="s">
        <v>1374</v>
      </c>
      <c r="C731">
        <v>1152</v>
      </c>
      <c r="D731">
        <v>12</v>
      </c>
      <c r="E731" t="s">
        <v>4416</v>
      </c>
      <c r="F731" t="s">
        <v>4812</v>
      </c>
      <c r="H731" t="s">
        <v>1853</v>
      </c>
      <c r="J731" t="s">
        <v>9057</v>
      </c>
      <c r="L731">
        <f t="shared" si="22"/>
        <v>1</v>
      </c>
      <c r="M731" t="s">
        <v>4416</v>
      </c>
      <c r="N731" t="s">
        <v>6308</v>
      </c>
      <c r="O731" t="s">
        <v>104</v>
      </c>
      <c r="P731">
        <v>35650</v>
      </c>
      <c r="Q731">
        <v>477980</v>
      </c>
      <c r="R731" s="16" t="s">
        <v>8479</v>
      </c>
      <c r="S731" s="16" t="s">
        <v>8184</v>
      </c>
      <c r="T731" t="s">
        <v>7398</v>
      </c>
      <c r="U731">
        <v>1</v>
      </c>
      <c r="V731" t="s">
        <v>8656</v>
      </c>
      <c r="W731" t="s">
        <v>104</v>
      </c>
      <c r="X731" t="s">
        <v>8660</v>
      </c>
      <c r="Y731">
        <f t="shared" si="23"/>
        <v>1</v>
      </c>
    </row>
    <row r="732" spans="1:25" hidden="1">
      <c r="A732" t="s">
        <v>7406</v>
      </c>
      <c r="B732" t="s">
        <v>4482</v>
      </c>
      <c r="C732">
        <v>1163</v>
      </c>
      <c r="D732">
        <v>12</v>
      </c>
      <c r="E732" t="s">
        <v>1444</v>
      </c>
      <c r="F732" t="s">
        <v>4812</v>
      </c>
      <c r="H732" t="s">
        <v>1852</v>
      </c>
      <c r="J732" t="s">
        <v>8668</v>
      </c>
      <c r="L732">
        <f t="shared" si="22"/>
        <v>0</v>
      </c>
      <c r="R732" s="16" t="s">
        <v>8064</v>
      </c>
      <c r="S732" s="16" t="s">
        <v>8064</v>
      </c>
      <c r="T732" t="s">
        <v>7406</v>
      </c>
      <c r="U732">
        <v>0</v>
      </c>
      <c r="V732" t="s">
        <v>8655</v>
      </c>
      <c r="X732" t="s">
        <v>8660</v>
      </c>
      <c r="Y732">
        <f t="shared" si="23"/>
        <v>0</v>
      </c>
    </row>
    <row r="733" spans="1:25" hidden="1">
      <c r="A733" t="s">
        <v>7400</v>
      </c>
      <c r="B733" t="s">
        <v>4494</v>
      </c>
      <c r="C733">
        <v>1177</v>
      </c>
      <c r="D733">
        <v>12</v>
      </c>
      <c r="E733" t="s">
        <v>4495</v>
      </c>
      <c r="F733" t="s">
        <v>4812</v>
      </c>
      <c r="H733" t="s">
        <v>1854</v>
      </c>
      <c r="J733" t="s">
        <v>8668</v>
      </c>
      <c r="L733">
        <f t="shared" si="22"/>
        <v>1</v>
      </c>
      <c r="M733" t="s">
        <v>6300</v>
      </c>
      <c r="N733" t="s">
        <v>6301</v>
      </c>
      <c r="O733" t="s">
        <v>104</v>
      </c>
      <c r="P733">
        <v>26333</v>
      </c>
      <c r="Q733">
        <v>424833</v>
      </c>
      <c r="R733" s="16" t="s">
        <v>8481</v>
      </c>
      <c r="S733" s="16" t="s">
        <v>8186</v>
      </c>
      <c r="T733" t="s">
        <v>7400</v>
      </c>
      <c r="U733">
        <v>0</v>
      </c>
      <c r="V733" t="s">
        <v>8654</v>
      </c>
      <c r="W733" t="s">
        <v>104</v>
      </c>
      <c r="X733" t="s">
        <v>8660</v>
      </c>
      <c r="Y733">
        <f t="shared" si="23"/>
        <v>1</v>
      </c>
    </row>
    <row r="734" spans="1:25" hidden="1">
      <c r="A734" t="s">
        <v>7707</v>
      </c>
      <c r="B734" t="s">
        <v>4819</v>
      </c>
      <c r="C734">
        <v>1227</v>
      </c>
      <c r="D734">
        <v>13</v>
      </c>
      <c r="E734" t="s">
        <v>1444</v>
      </c>
      <c r="F734" t="s">
        <v>4812</v>
      </c>
      <c r="H734" t="s">
        <v>1859</v>
      </c>
      <c r="J734" t="s">
        <v>8668</v>
      </c>
      <c r="L734">
        <f t="shared" si="22"/>
        <v>0</v>
      </c>
      <c r="R734" s="16" t="s">
        <v>8064</v>
      </c>
      <c r="S734" s="16" t="s">
        <v>8064</v>
      </c>
      <c r="T734" t="s">
        <v>7736</v>
      </c>
      <c r="U734">
        <v>0</v>
      </c>
      <c r="V734" t="s">
        <v>8655</v>
      </c>
      <c r="X734" t="s">
        <v>8660</v>
      </c>
      <c r="Y734">
        <f t="shared" si="23"/>
        <v>0</v>
      </c>
    </row>
    <row r="735" spans="1:25" hidden="1">
      <c r="A735" t="s">
        <v>7394</v>
      </c>
      <c r="B735" t="s">
        <v>2028</v>
      </c>
      <c r="C735">
        <v>1229</v>
      </c>
      <c r="D735">
        <v>13</v>
      </c>
      <c r="E735" t="s">
        <v>4446</v>
      </c>
      <c r="F735" t="s">
        <v>4812</v>
      </c>
      <c r="H735" t="s">
        <v>1859</v>
      </c>
      <c r="J735" t="s">
        <v>8668</v>
      </c>
      <c r="L735">
        <f t="shared" si="22"/>
        <v>1</v>
      </c>
      <c r="M735" t="s">
        <v>6368</v>
      </c>
      <c r="N735" t="s">
        <v>6369</v>
      </c>
      <c r="O735" t="s">
        <v>104</v>
      </c>
      <c r="P735">
        <v>50860</v>
      </c>
      <c r="Q735">
        <v>472440</v>
      </c>
      <c r="R735" s="16" t="s">
        <v>8386</v>
      </c>
      <c r="S735" s="16" t="s">
        <v>8090</v>
      </c>
      <c r="T735" t="s">
        <v>7394</v>
      </c>
      <c r="U735">
        <v>0</v>
      </c>
      <c r="V735" t="s">
        <v>8654</v>
      </c>
      <c r="W735" t="s">
        <v>104</v>
      </c>
      <c r="X735" t="s">
        <v>8660</v>
      </c>
      <c r="Y735">
        <f t="shared" si="23"/>
        <v>1</v>
      </c>
    </row>
    <row r="736" spans="1:25" hidden="1">
      <c r="A736" t="s">
        <v>7386</v>
      </c>
      <c r="B736" t="s">
        <v>4820</v>
      </c>
      <c r="C736">
        <v>1170</v>
      </c>
      <c r="D736">
        <v>12</v>
      </c>
      <c r="E736" t="s">
        <v>4501</v>
      </c>
      <c r="F736" t="s">
        <v>4812</v>
      </c>
      <c r="H736" t="s">
        <v>1855</v>
      </c>
      <c r="J736" s="5" t="s">
        <v>8729</v>
      </c>
      <c r="L736">
        <f t="shared" si="22"/>
        <v>1</v>
      </c>
      <c r="M736" t="s">
        <v>6464</v>
      </c>
      <c r="N736" t="s">
        <v>6345</v>
      </c>
      <c r="O736" t="s">
        <v>104</v>
      </c>
      <c r="P736">
        <v>43600</v>
      </c>
      <c r="Q736">
        <v>438360</v>
      </c>
      <c r="R736" s="16" t="s">
        <v>8477</v>
      </c>
      <c r="S736" s="16" t="s">
        <v>8182</v>
      </c>
      <c r="T736" t="s">
        <v>7386</v>
      </c>
      <c r="U736">
        <v>1</v>
      </c>
      <c r="V736" t="s">
        <v>8654</v>
      </c>
      <c r="W736" t="s">
        <v>104</v>
      </c>
      <c r="X736" t="s">
        <v>8660</v>
      </c>
      <c r="Y736">
        <f t="shared" si="23"/>
        <v>1</v>
      </c>
    </row>
    <row r="737" spans="1:25" hidden="1">
      <c r="A737" t="s">
        <v>7396</v>
      </c>
      <c r="B737" t="s">
        <v>4511</v>
      </c>
      <c r="C737">
        <v>1189</v>
      </c>
      <c r="D737">
        <v>12</v>
      </c>
      <c r="E737" t="s">
        <v>4512</v>
      </c>
      <c r="F737" t="s">
        <v>4812</v>
      </c>
      <c r="H737" t="s">
        <v>1856</v>
      </c>
      <c r="J737" t="s">
        <v>9058</v>
      </c>
      <c r="L737">
        <f t="shared" si="22"/>
        <v>1</v>
      </c>
      <c r="M737" t="s">
        <v>4512</v>
      </c>
      <c r="N737" t="s">
        <v>6308</v>
      </c>
      <c r="O737" t="s">
        <v>104</v>
      </c>
      <c r="P737">
        <v>35650</v>
      </c>
      <c r="Q737">
        <v>477980</v>
      </c>
      <c r="R737" s="16" t="s">
        <v>8479</v>
      </c>
      <c r="S737" s="16" t="s">
        <v>8184</v>
      </c>
      <c r="T737" t="s">
        <v>7396</v>
      </c>
      <c r="U737">
        <v>1</v>
      </c>
      <c r="V737" t="s">
        <v>8656</v>
      </c>
      <c r="W737" t="s">
        <v>104</v>
      </c>
      <c r="X737" t="s">
        <v>8660</v>
      </c>
      <c r="Y737">
        <f t="shared" si="23"/>
        <v>1</v>
      </c>
    </row>
    <row r="738" spans="1:25" hidden="1">
      <c r="A738" t="s">
        <v>7389</v>
      </c>
      <c r="B738" t="s">
        <v>4513</v>
      </c>
      <c r="C738">
        <v>1185</v>
      </c>
      <c r="D738">
        <v>12</v>
      </c>
      <c r="E738" t="s">
        <v>4446</v>
      </c>
      <c r="F738" t="s">
        <v>4812</v>
      </c>
      <c r="H738" t="s">
        <v>1857</v>
      </c>
      <c r="J738" t="s">
        <v>8668</v>
      </c>
      <c r="L738">
        <f t="shared" si="22"/>
        <v>1</v>
      </c>
      <c r="M738" t="s">
        <v>6368</v>
      </c>
      <c r="N738" t="s">
        <v>6369</v>
      </c>
      <c r="O738" t="s">
        <v>104</v>
      </c>
      <c r="P738">
        <v>50860</v>
      </c>
      <c r="Q738">
        <v>472440</v>
      </c>
      <c r="R738" s="16" t="s">
        <v>8386</v>
      </c>
      <c r="S738" s="16" t="s">
        <v>8090</v>
      </c>
      <c r="T738" t="s">
        <v>7389</v>
      </c>
      <c r="U738">
        <v>0</v>
      </c>
      <c r="V738" t="s">
        <v>8654</v>
      </c>
      <c r="W738" t="s">
        <v>104</v>
      </c>
      <c r="X738" t="s">
        <v>8660</v>
      </c>
      <c r="Y738">
        <f t="shared" si="23"/>
        <v>1</v>
      </c>
    </row>
    <row r="739" spans="1:25" hidden="1">
      <c r="A739" t="s">
        <v>4909</v>
      </c>
      <c r="B739" t="s">
        <v>4910</v>
      </c>
      <c r="C739">
        <v>1194</v>
      </c>
      <c r="D739">
        <v>12</v>
      </c>
      <c r="E739" t="s">
        <v>4446</v>
      </c>
      <c r="F739" t="s">
        <v>4911</v>
      </c>
      <c r="H739" t="s">
        <v>1858</v>
      </c>
      <c r="J739" t="s">
        <v>9050</v>
      </c>
      <c r="L739">
        <f t="shared" si="22"/>
        <v>1</v>
      </c>
      <c r="M739" t="s">
        <v>6368</v>
      </c>
      <c r="N739" t="s">
        <v>6369</v>
      </c>
      <c r="O739" t="s">
        <v>104</v>
      </c>
      <c r="P739">
        <v>50860</v>
      </c>
      <c r="Q739">
        <v>472440</v>
      </c>
      <c r="R739" s="16" t="s">
        <v>8386</v>
      </c>
      <c r="S739" s="16" t="s">
        <v>8090</v>
      </c>
      <c r="T739" t="s">
        <v>4909</v>
      </c>
      <c r="U739">
        <v>1</v>
      </c>
      <c r="V739" t="s">
        <v>8656</v>
      </c>
      <c r="W739" t="s">
        <v>104</v>
      </c>
      <c r="X739" t="s">
        <v>8660</v>
      </c>
      <c r="Y739">
        <f t="shared" si="23"/>
        <v>1</v>
      </c>
    </row>
    <row r="740" spans="1:25" hidden="1">
      <c r="A740" t="s">
        <v>7381</v>
      </c>
      <c r="B740" t="s">
        <v>4821</v>
      </c>
      <c r="C740">
        <v>1187</v>
      </c>
      <c r="D740">
        <v>12</v>
      </c>
      <c r="E740" t="s">
        <v>4514</v>
      </c>
      <c r="F740" t="s">
        <v>4812</v>
      </c>
      <c r="H740" t="s">
        <v>1858</v>
      </c>
      <c r="J740" t="s">
        <v>9059</v>
      </c>
      <c r="L740">
        <f t="shared" si="22"/>
        <v>1</v>
      </c>
      <c r="M740" t="s">
        <v>4514</v>
      </c>
      <c r="N740" t="s">
        <v>6917</v>
      </c>
      <c r="O740" t="s">
        <v>104</v>
      </c>
      <c r="P740" t="s">
        <v>6918</v>
      </c>
      <c r="Q740" t="s">
        <v>6919</v>
      </c>
      <c r="R740" s="16" t="s">
        <v>8466</v>
      </c>
      <c r="S740" s="16" t="s">
        <v>8170</v>
      </c>
      <c r="T740" t="s">
        <v>7381</v>
      </c>
      <c r="U740">
        <v>1</v>
      </c>
      <c r="V740" t="s">
        <v>8656</v>
      </c>
      <c r="W740" t="s">
        <v>104</v>
      </c>
      <c r="X740" t="s">
        <v>8660</v>
      </c>
      <c r="Y740">
        <f t="shared" si="23"/>
        <v>1</v>
      </c>
    </row>
    <row r="741" spans="1:25" hidden="1">
      <c r="A741" t="s">
        <v>7395</v>
      </c>
      <c r="B741" t="s">
        <v>4748</v>
      </c>
      <c r="C741">
        <v>1232</v>
      </c>
      <c r="D741">
        <v>13</v>
      </c>
      <c r="E741" t="s">
        <v>4536</v>
      </c>
      <c r="F741" t="s">
        <v>4812</v>
      </c>
      <c r="H741" t="s">
        <v>1860</v>
      </c>
      <c r="J741" t="s">
        <v>8668</v>
      </c>
      <c r="L741">
        <f t="shared" si="22"/>
        <v>1</v>
      </c>
      <c r="M741" t="s">
        <v>4536</v>
      </c>
      <c r="N741" t="s">
        <v>6309</v>
      </c>
      <c r="O741" t="s">
        <v>104</v>
      </c>
      <c r="P741">
        <v>48055</v>
      </c>
      <c r="Q741">
        <v>439493</v>
      </c>
      <c r="R741" s="16" t="s">
        <v>8476</v>
      </c>
      <c r="S741" s="16" t="s">
        <v>8181</v>
      </c>
      <c r="T741" t="s">
        <v>7838</v>
      </c>
      <c r="U741">
        <v>0</v>
      </c>
      <c r="V741" t="s">
        <v>8654</v>
      </c>
      <c r="W741" t="s">
        <v>104</v>
      </c>
      <c r="X741" t="s">
        <v>8660</v>
      </c>
      <c r="Y741">
        <f t="shared" si="23"/>
        <v>1</v>
      </c>
    </row>
    <row r="742" spans="1:25" hidden="1">
      <c r="A742" t="s">
        <v>7409</v>
      </c>
      <c r="B742" t="s">
        <v>1816</v>
      </c>
      <c r="C742">
        <v>1249</v>
      </c>
      <c r="D742">
        <v>13</v>
      </c>
      <c r="E742" t="s">
        <v>1444</v>
      </c>
      <c r="F742" t="s">
        <v>4812</v>
      </c>
      <c r="H742" t="s">
        <v>1860</v>
      </c>
      <c r="J742" t="s">
        <v>8668</v>
      </c>
      <c r="L742">
        <f t="shared" si="22"/>
        <v>0</v>
      </c>
      <c r="R742" s="16" t="s">
        <v>8064</v>
      </c>
      <c r="S742" s="16" t="s">
        <v>8064</v>
      </c>
      <c r="T742" t="s">
        <v>7409</v>
      </c>
      <c r="U742">
        <v>0</v>
      </c>
      <c r="V742" t="s">
        <v>8655</v>
      </c>
      <c r="X742" t="s">
        <v>8660</v>
      </c>
      <c r="Y742">
        <f t="shared" si="23"/>
        <v>0</v>
      </c>
    </row>
    <row r="743" spans="1:25" hidden="1">
      <c r="A743" t="s">
        <v>7403</v>
      </c>
      <c r="B743" t="s">
        <v>4798</v>
      </c>
      <c r="C743">
        <v>1252</v>
      </c>
      <c r="D743">
        <v>13</v>
      </c>
      <c r="E743" t="s">
        <v>1444</v>
      </c>
      <c r="F743" t="s">
        <v>4812</v>
      </c>
      <c r="H743" t="s">
        <v>1861</v>
      </c>
      <c r="J743" t="s">
        <v>8668</v>
      </c>
      <c r="L743">
        <f t="shared" si="22"/>
        <v>0</v>
      </c>
      <c r="R743" s="16" t="s">
        <v>8064</v>
      </c>
      <c r="S743" s="16" t="s">
        <v>8064</v>
      </c>
      <c r="T743" t="s">
        <v>7840</v>
      </c>
      <c r="U743">
        <v>0</v>
      </c>
      <c r="V743" t="s">
        <v>8655</v>
      </c>
      <c r="X743" t="s">
        <v>8660</v>
      </c>
      <c r="Y743">
        <f t="shared" si="23"/>
        <v>0</v>
      </c>
    </row>
    <row r="744" spans="1:25" hidden="1">
      <c r="A744" t="s">
        <v>7393</v>
      </c>
      <c r="B744" t="s">
        <v>4559</v>
      </c>
      <c r="C744">
        <v>1256</v>
      </c>
      <c r="D744">
        <v>13</v>
      </c>
      <c r="E744" t="s">
        <v>4446</v>
      </c>
      <c r="F744" t="s">
        <v>4812</v>
      </c>
      <c r="H744" t="s">
        <v>1861</v>
      </c>
      <c r="J744" t="s">
        <v>8668</v>
      </c>
      <c r="L744">
        <f t="shared" si="22"/>
        <v>1</v>
      </c>
      <c r="M744" t="s">
        <v>6368</v>
      </c>
      <c r="N744" t="s">
        <v>6369</v>
      </c>
      <c r="O744" t="s">
        <v>104</v>
      </c>
      <c r="P744">
        <v>50860</v>
      </c>
      <c r="Q744">
        <v>472440</v>
      </c>
      <c r="R744" s="16" t="s">
        <v>8386</v>
      </c>
      <c r="S744" s="16" t="s">
        <v>8090</v>
      </c>
      <c r="T744" t="s">
        <v>7393</v>
      </c>
      <c r="U744">
        <v>0</v>
      </c>
      <c r="V744" t="s">
        <v>8654</v>
      </c>
      <c r="W744" t="s">
        <v>104</v>
      </c>
      <c r="X744" t="s">
        <v>8660</v>
      </c>
      <c r="Y744">
        <f t="shared" si="23"/>
        <v>1</v>
      </c>
    </row>
    <row r="745" spans="1:25" hidden="1">
      <c r="A745" t="s">
        <v>7401</v>
      </c>
      <c r="B745" t="s">
        <v>4822</v>
      </c>
      <c r="C745">
        <v>1263</v>
      </c>
      <c r="D745">
        <v>13</v>
      </c>
      <c r="E745" t="s">
        <v>1444</v>
      </c>
      <c r="F745" t="s">
        <v>4812</v>
      </c>
      <c r="H745" t="s">
        <v>1862</v>
      </c>
      <c r="J745" t="s">
        <v>8668</v>
      </c>
      <c r="L745">
        <f t="shared" si="22"/>
        <v>0</v>
      </c>
      <c r="R745" s="16" t="s">
        <v>8064</v>
      </c>
      <c r="S745" s="16" t="s">
        <v>8064</v>
      </c>
      <c r="T745" t="s">
        <v>7401</v>
      </c>
      <c r="U745">
        <v>0</v>
      </c>
      <c r="V745" t="s">
        <v>8655</v>
      </c>
      <c r="X745" t="s">
        <v>8660</v>
      </c>
      <c r="Y745">
        <f t="shared" si="23"/>
        <v>0</v>
      </c>
    </row>
    <row r="746" spans="1:25" hidden="1">
      <c r="A746" t="s">
        <v>7387</v>
      </c>
      <c r="B746" t="s">
        <v>4823</v>
      </c>
      <c r="C746">
        <v>1265</v>
      </c>
      <c r="D746">
        <v>13</v>
      </c>
      <c r="E746" t="s">
        <v>4569</v>
      </c>
      <c r="F746" t="s">
        <v>4812</v>
      </c>
      <c r="H746" t="s">
        <v>1862</v>
      </c>
      <c r="J746" t="s">
        <v>8668</v>
      </c>
      <c r="L746">
        <f t="shared" si="22"/>
        <v>1</v>
      </c>
      <c r="M746" t="s">
        <v>4569</v>
      </c>
      <c r="N746" t="s">
        <v>6374</v>
      </c>
      <c r="O746" t="s">
        <v>104</v>
      </c>
      <c r="P746">
        <v>30860</v>
      </c>
      <c r="Q746">
        <v>457770</v>
      </c>
      <c r="R746" s="16" t="s">
        <v>8478</v>
      </c>
      <c r="S746" s="16" t="s">
        <v>8183</v>
      </c>
      <c r="T746" t="s">
        <v>7387</v>
      </c>
      <c r="U746">
        <v>0</v>
      </c>
      <c r="V746" t="s">
        <v>8654</v>
      </c>
      <c r="W746" t="s">
        <v>104</v>
      </c>
      <c r="X746" t="s">
        <v>8660</v>
      </c>
      <c r="Y746">
        <f t="shared" si="23"/>
        <v>1</v>
      </c>
    </row>
    <row r="747" spans="1:25" hidden="1">
      <c r="A747" t="s">
        <v>7397</v>
      </c>
      <c r="B747" t="s">
        <v>4685</v>
      </c>
      <c r="C747">
        <v>1266</v>
      </c>
      <c r="D747">
        <v>13</v>
      </c>
      <c r="E747" t="s">
        <v>4377</v>
      </c>
      <c r="F747" t="s">
        <v>4812</v>
      </c>
      <c r="H747" t="s">
        <v>1863</v>
      </c>
      <c r="J747" t="s">
        <v>9060</v>
      </c>
      <c r="L747">
        <f t="shared" si="22"/>
        <v>1</v>
      </c>
      <c r="M747" t="s">
        <v>4377</v>
      </c>
      <c r="N747" t="s">
        <v>6308</v>
      </c>
      <c r="O747" t="s">
        <v>104</v>
      </c>
      <c r="P747">
        <v>35650</v>
      </c>
      <c r="Q747">
        <v>477980</v>
      </c>
      <c r="R747" s="16" t="s">
        <v>8479</v>
      </c>
      <c r="S747" s="16" t="s">
        <v>8184</v>
      </c>
      <c r="T747" t="s">
        <v>7839</v>
      </c>
      <c r="U747">
        <v>1</v>
      </c>
      <c r="V747" t="s">
        <v>8656</v>
      </c>
      <c r="W747" t="s">
        <v>104</v>
      </c>
      <c r="X747" t="s">
        <v>8660</v>
      </c>
      <c r="Y747">
        <f t="shared" si="23"/>
        <v>1</v>
      </c>
    </row>
    <row r="748" spans="1:25" hidden="1">
      <c r="A748" t="s">
        <v>7388</v>
      </c>
      <c r="B748" t="s">
        <v>4824</v>
      </c>
      <c r="C748">
        <v>1277</v>
      </c>
      <c r="D748">
        <v>13</v>
      </c>
      <c r="E748" t="s">
        <v>4569</v>
      </c>
      <c r="F748" t="s">
        <v>4812</v>
      </c>
      <c r="H748" t="s">
        <v>1863</v>
      </c>
      <c r="J748" t="s">
        <v>8668</v>
      </c>
      <c r="L748">
        <f t="shared" si="22"/>
        <v>1</v>
      </c>
      <c r="M748" t="s">
        <v>4569</v>
      </c>
      <c r="N748" t="s">
        <v>6374</v>
      </c>
      <c r="O748" t="s">
        <v>104</v>
      </c>
      <c r="P748">
        <v>30860</v>
      </c>
      <c r="Q748">
        <v>457770</v>
      </c>
      <c r="R748" s="16" t="s">
        <v>8478</v>
      </c>
      <c r="S748" s="16" t="s">
        <v>8183</v>
      </c>
      <c r="T748" t="s">
        <v>7388</v>
      </c>
      <c r="U748">
        <v>0</v>
      </c>
      <c r="V748" t="s">
        <v>8656</v>
      </c>
      <c r="W748" t="s">
        <v>104</v>
      </c>
      <c r="X748" t="s">
        <v>8660</v>
      </c>
      <c r="Y748">
        <f t="shared" si="23"/>
        <v>1</v>
      </c>
    </row>
    <row r="749" spans="1:25" hidden="1">
      <c r="A749" t="s">
        <v>7413</v>
      </c>
      <c r="B749" t="s">
        <v>790</v>
      </c>
      <c r="C749">
        <v>1295</v>
      </c>
      <c r="D749">
        <v>13</v>
      </c>
      <c r="E749" t="s">
        <v>1444</v>
      </c>
      <c r="F749" t="s">
        <v>4812</v>
      </c>
      <c r="H749" t="s">
        <v>1868</v>
      </c>
      <c r="J749" t="s">
        <v>8828</v>
      </c>
      <c r="L749">
        <f t="shared" si="22"/>
        <v>0</v>
      </c>
      <c r="R749" s="16" t="s">
        <v>8064</v>
      </c>
      <c r="S749" s="16" t="s">
        <v>8064</v>
      </c>
      <c r="T749" t="s">
        <v>7413</v>
      </c>
      <c r="U749">
        <v>1</v>
      </c>
      <c r="V749" t="s">
        <v>8655</v>
      </c>
      <c r="X749" t="s">
        <v>8660</v>
      </c>
      <c r="Y749">
        <f t="shared" si="23"/>
        <v>0</v>
      </c>
    </row>
    <row r="750" spans="1:25" hidden="1">
      <c r="A750" t="s">
        <v>7709</v>
      </c>
      <c r="B750" t="s">
        <v>760</v>
      </c>
      <c r="C750">
        <v>1273</v>
      </c>
      <c r="D750">
        <v>13</v>
      </c>
      <c r="E750" t="s">
        <v>1444</v>
      </c>
      <c r="F750" t="s">
        <v>4812</v>
      </c>
      <c r="H750" t="s">
        <v>1864</v>
      </c>
      <c r="J750" t="s">
        <v>8668</v>
      </c>
      <c r="L750">
        <f t="shared" si="22"/>
        <v>0</v>
      </c>
      <c r="R750" s="16" t="s">
        <v>8064</v>
      </c>
      <c r="S750" s="16" t="s">
        <v>8064</v>
      </c>
      <c r="T750" t="s">
        <v>7709</v>
      </c>
      <c r="U750">
        <v>0</v>
      </c>
      <c r="V750" t="s">
        <v>8655</v>
      </c>
      <c r="X750" t="s">
        <v>8660</v>
      </c>
      <c r="Y750">
        <f t="shared" si="23"/>
        <v>0</v>
      </c>
    </row>
    <row r="751" spans="1:25" hidden="1">
      <c r="A751" t="s">
        <v>7414</v>
      </c>
      <c r="B751" t="s">
        <v>1822</v>
      </c>
      <c r="C751">
        <v>1292</v>
      </c>
      <c r="D751">
        <v>13</v>
      </c>
      <c r="E751" t="s">
        <v>1444</v>
      </c>
      <c r="F751" t="s">
        <v>4812</v>
      </c>
      <c r="H751" t="s">
        <v>1864</v>
      </c>
      <c r="J751" t="s">
        <v>8829</v>
      </c>
      <c r="L751">
        <f t="shared" si="22"/>
        <v>0</v>
      </c>
      <c r="R751" s="16" t="s">
        <v>8064</v>
      </c>
      <c r="S751" s="16" t="s">
        <v>8064</v>
      </c>
      <c r="T751" t="s">
        <v>7414</v>
      </c>
      <c r="U751">
        <v>1</v>
      </c>
      <c r="V751" t="s">
        <v>8655</v>
      </c>
      <c r="X751" t="s">
        <v>8660</v>
      </c>
      <c r="Y751">
        <f t="shared" si="23"/>
        <v>0</v>
      </c>
    </row>
    <row r="752" spans="1:25" hidden="1">
      <c r="A752" t="s">
        <v>7412</v>
      </c>
      <c r="B752" t="s">
        <v>4825</v>
      </c>
      <c r="C752">
        <v>1295</v>
      </c>
      <c r="D752">
        <v>13</v>
      </c>
      <c r="E752" t="s">
        <v>1444</v>
      </c>
      <c r="F752" t="s">
        <v>4812</v>
      </c>
      <c r="H752" t="s">
        <v>1865</v>
      </c>
      <c r="J752" t="s">
        <v>8827</v>
      </c>
      <c r="L752">
        <f t="shared" si="22"/>
        <v>0</v>
      </c>
      <c r="R752" s="16" t="s">
        <v>8064</v>
      </c>
      <c r="S752" s="16" t="s">
        <v>8064</v>
      </c>
      <c r="T752" t="s">
        <v>7412</v>
      </c>
      <c r="U752">
        <v>1</v>
      </c>
      <c r="V752" t="s">
        <v>8655</v>
      </c>
      <c r="X752" t="s">
        <v>8660</v>
      </c>
      <c r="Y752">
        <f t="shared" si="23"/>
        <v>0</v>
      </c>
    </row>
    <row r="753" spans="1:25" hidden="1">
      <c r="A753" t="s">
        <v>7410</v>
      </c>
      <c r="B753" t="s">
        <v>4744</v>
      </c>
      <c r="C753">
        <v>1293</v>
      </c>
      <c r="D753">
        <v>13</v>
      </c>
      <c r="E753" t="s">
        <v>1444</v>
      </c>
      <c r="F753" t="s">
        <v>4812</v>
      </c>
      <c r="H753" t="s">
        <v>1866</v>
      </c>
      <c r="J753" t="s">
        <v>8825</v>
      </c>
      <c r="L753">
        <f t="shared" si="22"/>
        <v>0</v>
      </c>
      <c r="R753" s="16" t="s">
        <v>8064</v>
      </c>
      <c r="S753" s="16" t="s">
        <v>8064</v>
      </c>
      <c r="T753" t="s">
        <v>7410</v>
      </c>
      <c r="U753">
        <v>1</v>
      </c>
      <c r="V753" t="s">
        <v>8655</v>
      </c>
      <c r="X753" t="s">
        <v>8660</v>
      </c>
      <c r="Y753">
        <f t="shared" si="23"/>
        <v>0</v>
      </c>
    </row>
    <row r="754" spans="1:25" hidden="1">
      <c r="A754" t="s">
        <v>7408</v>
      </c>
      <c r="B754" t="s">
        <v>790</v>
      </c>
      <c r="C754">
        <v>1295</v>
      </c>
      <c r="D754">
        <v>13</v>
      </c>
      <c r="E754" t="s">
        <v>1444</v>
      </c>
      <c r="F754" t="s">
        <v>4812</v>
      </c>
      <c r="H754" t="s">
        <v>1866</v>
      </c>
      <c r="J754" t="s">
        <v>8668</v>
      </c>
      <c r="L754">
        <f t="shared" si="22"/>
        <v>0</v>
      </c>
      <c r="R754" s="16" t="s">
        <v>8064</v>
      </c>
      <c r="S754" s="16" t="s">
        <v>8064</v>
      </c>
      <c r="T754" t="s">
        <v>7408</v>
      </c>
      <c r="U754">
        <v>0</v>
      </c>
      <c r="V754" t="s">
        <v>8655</v>
      </c>
      <c r="X754" t="s">
        <v>8660</v>
      </c>
      <c r="Y754">
        <f t="shared" si="23"/>
        <v>0</v>
      </c>
    </row>
    <row r="755" spans="1:25" hidden="1">
      <c r="A755" t="s">
        <v>7411</v>
      </c>
      <c r="B755" t="s">
        <v>4745</v>
      </c>
      <c r="C755">
        <v>1294</v>
      </c>
      <c r="D755">
        <v>13</v>
      </c>
      <c r="E755" t="s">
        <v>1444</v>
      </c>
      <c r="F755" t="s">
        <v>4812</v>
      </c>
      <c r="H755" t="s">
        <v>1867</v>
      </c>
      <c r="J755" t="s">
        <v>8826</v>
      </c>
      <c r="L755">
        <f t="shared" si="22"/>
        <v>0</v>
      </c>
      <c r="R755" s="16" t="s">
        <v>8064</v>
      </c>
      <c r="S755" s="16" t="s">
        <v>8064</v>
      </c>
      <c r="T755" t="s">
        <v>7841</v>
      </c>
      <c r="U755">
        <v>1</v>
      </c>
      <c r="V755" t="s">
        <v>8655</v>
      </c>
      <c r="X755" t="s">
        <v>8660</v>
      </c>
      <c r="Y755">
        <f t="shared" si="23"/>
        <v>0</v>
      </c>
    </row>
    <row r="756" spans="1:25" hidden="1">
      <c r="A756" t="s">
        <v>7416</v>
      </c>
      <c r="B756" t="s">
        <v>4745</v>
      </c>
      <c r="C756">
        <v>1294</v>
      </c>
      <c r="D756">
        <v>13</v>
      </c>
      <c r="E756" t="s">
        <v>1444</v>
      </c>
      <c r="F756" t="s">
        <v>4812</v>
      </c>
      <c r="H756" t="s">
        <v>1867</v>
      </c>
      <c r="J756" t="s">
        <v>8831</v>
      </c>
      <c r="L756">
        <f t="shared" si="22"/>
        <v>0</v>
      </c>
      <c r="R756" s="16" t="s">
        <v>8064</v>
      </c>
      <c r="S756" s="16" t="s">
        <v>8064</v>
      </c>
      <c r="T756" t="s">
        <v>7416</v>
      </c>
      <c r="U756">
        <v>1</v>
      </c>
      <c r="V756" t="s">
        <v>8655</v>
      </c>
      <c r="X756" t="s">
        <v>8660</v>
      </c>
      <c r="Y756">
        <f t="shared" si="23"/>
        <v>0</v>
      </c>
    </row>
    <row r="757" spans="1:25" hidden="1">
      <c r="A757" t="s">
        <v>7708</v>
      </c>
      <c r="B757" t="s">
        <v>4718</v>
      </c>
      <c r="C757">
        <v>1296</v>
      </c>
      <c r="D757">
        <v>13</v>
      </c>
      <c r="E757" t="s">
        <v>1444</v>
      </c>
      <c r="F757" t="s">
        <v>4812</v>
      </c>
      <c r="H757" t="s">
        <v>1869</v>
      </c>
      <c r="J757" t="s">
        <v>8668</v>
      </c>
      <c r="L757">
        <f t="shared" si="22"/>
        <v>0</v>
      </c>
      <c r="R757" s="16" t="s">
        <v>8064</v>
      </c>
      <c r="S757" s="16" t="s">
        <v>8064</v>
      </c>
      <c r="T757" t="s">
        <v>7708</v>
      </c>
      <c r="U757">
        <v>0</v>
      </c>
      <c r="V757" t="s">
        <v>8655</v>
      </c>
      <c r="X757" t="s">
        <v>8660</v>
      </c>
      <c r="Y757">
        <f t="shared" si="23"/>
        <v>0</v>
      </c>
    </row>
    <row r="758" spans="1:25" hidden="1">
      <c r="A758" t="s">
        <v>7402</v>
      </c>
      <c r="B758" t="s">
        <v>1837</v>
      </c>
      <c r="C758">
        <v>1297</v>
      </c>
      <c r="D758">
        <v>13</v>
      </c>
      <c r="E758" t="s">
        <v>1444</v>
      </c>
      <c r="F758" t="s">
        <v>4812</v>
      </c>
      <c r="H758" t="s">
        <v>1869</v>
      </c>
      <c r="J758" t="s">
        <v>8824</v>
      </c>
      <c r="L758">
        <f t="shared" si="22"/>
        <v>0</v>
      </c>
      <c r="R758" s="16" t="s">
        <v>8064</v>
      </c>
      <c r="S758" s="16" t="s">
        <v>8064</v>
      </c>
      <c r="T758" t="s">
        <v>7402</v>
      </c>
      <c r="U758">
        <v>1</v>
      </c>
      <c r="V758" t="s">
        <v>8655</v>
      </c>
      <c r="X758" t="s">
        <v>8660</v>
      </c>
      <c r="Y758">
        <f t="shared" si="23"/>
        <v>0</v>
      </c>
    </row>
    <row r="759" spans="1:25" hidden="1">
      <c r="A759" t="s">
        <v>7407</v>
      </c>
      <c r="B759" t="s">
        <v>4811</v>
      </c>
      <c r="C759">
        <v>1297</v>
      </c>
      <c r="D759">
        <v>13</v>
      </c>
      <c r="E759" t="s">
        <v>1444</v>
      </c>
      <c r="F759" t="s">
        <v>4812</v>
      </c>
      <c r="H759" t="s">
        <v>1870</v>
      </c>
      <c r="J759" t="s">
        <v>8668</v>
      </c>
      <c r="L759">
        <f t="shared" si="22"/>
        <v>0</v>
      </c>
      <c r="R759" s="16" t="s">
        <v>8064</v>
      </c>
      <c r="S759" s="16" t="s">
        <v>8064</v>
      </c>
      <c r="T759" t="s">
        <v>7407</v>
      </c>
      <c r="U759">
        <v>0</v>
      </c>
      <c r="V759" t="s">
        <v>8655</v>
      </c>
      <c r="X759" t="s">
        <v>8660</v>
      </c>
      <c r="Y759">
        <f t="shared" si="23"/>
        <v>0</v>
      </c>
    </row>
    <row r="760" spans="1:25" hidden="1">
      <c r="A760" t="s">
        <v>7383</v>
      </c>
      <c r="B760" t="s">
        <v>1044</v>
      </c>
      <c r="C760">
        <v>1298</v>
      </c>
      <c r="D760">
        <v>13</v>
      </c>
      <c r="E760" t="s">
        <v>4449</v>
      </c>
      <c r="F760" t="s">
        <v>4812</v>
      </c>
      <c r="H760" t="s">
        <v>1870</v>
      </c>
      <c r="J760" t="s">
        <v>9061</v>
      </c>
      <c r="L760">
        <f t="shared" si="22"/>
        <v>1</v>
      </c>
      <c r="M760" t="s">
        <v>4532</v>
      </c>
      <c r="N760" t="s">
        <v>6308</v>
      </c>
      <c r="O760" t="s">
        <v>104</v>
      </c>
      <c r="P760">
        <v>32830</v>
      </c>
      <c r="Q760">
        <v>481980</v>
      </c>
      <c r="R760" s="16" t="s">
        <v>8366</v>
      </c>
      <c r="S760" s="16" t="s">
        <v>8071</v>
      </c>
      <c r="T760" t="s">
        <v>7383</v>
      </c>
      <c r="U760">
        <v>1</v>
      </c>
      <c r="V760" t="s">
        <v>8656</v>
      </c>
      <c r="W760" t="s">
        <v>104</v>
      </c>
      <c r="X760" t="s">
        <v>8660</v>
      </c>
      <c r="Y760">
        <f t="shared" si="23"/>
        <v>1</v>
      </c>
    </row>
    <row r="761" spans="1:25" hidden="1">
      <c r="A761" t="s">
        <v>7385</v>
      </c>
      <c r="B761" t="s">
        <v>4642</v>
      </c>
      <c r="C761">
        <v>1298</v>
      </c>
      <c r="D761">
        <v>13</v>
      </c>
      <c r="E761" t="s">
        <v>4643</v>
      </c>
      <c r="F761" t="s">
        <v>4812</v>
      </c>
      <c r="H761" t="s">
        <v>1872</v>
      </c>
      <c r="J761" t="s">
        <v>8668</v>
      </c>
      <c r="L761">
        <f t="shared" si="22"/>
        <v>1</v>
      </c>
      <c r="M761" t="s">
        <v>6681</v>
      </c>
      <c r="N761" t="s">
        <v>6416</v>
      </c>
      <c r="O761" t="s">
        <v>11</v>
      </c>
      <c r="P761" t="s">
        <v>6682</v>
      </c>
      <c r="Q761" t="s">
        <v>6683</v>
      </c>
      <c r="R761" s="16" t="s">
        <v>6682</v>
      </c>
      <c r="S761" s="16" t="s">
        <v>6683</v>
      </c>
      <c r="T761" t="s">
        <v>7385</v>
      </c>
      <c r="U761">
        <v>0</v>
      </c>
      <c r="V761" t="s">
        <v>8654</v>
      </c>
      <c r="W761" t="s">
        <v>11</v>
      </c>
      <c r="X761" t="s">
        <v>8660</v>
      </c>
      <c r="Y761">
        <f t="shared" si="23"/>
        <v>1</v>
      </c>
    </row>
    <row r="762" spans="1:25" hidden="1">
      <c r="A762" t="s">
        <v>7415</v>
      </c>
      <c r="B762" t="s">
        <v>1044</v>
      </c>
      <c r="C762">
        <v>1298</v>
      </c>
      <c r="D762">
        <v>13</v>
      </c>
      <c r="E762" t="s">
        <v>1444</v>
      </c>
      <c r="F762" t="s">
        <v>4812</v>
      </c>
      <c r="H762" t="s">
        <v>1872</v>
      </c>
      <c r="J762" t="s">
        <v>8830</v>
      </c>
      <c r="L762">
        <f t="shared" si="22"/>
        <v>0</v>
      </c>
      <c r="R762" s="16" t="s">
        <v>8064</v>
      </c>
      <c r="S762" s="16" t="s">
        <v>8064</v>
      </c>
      <c r="T762" t="s">
        <v>7415</v>
      </c>
      <c r="U762">
        <v>1</v>
      </c>
      <c r="V762" t="s">
        <v>8655</v>
      </c>
      <c r="X762" t="s">
        <v>8660</v>
      </c>
      <c r="Y762">
        <f t="shared" si="23"/>
        <v>0</v>
      </c>
    </row>
    <row r="763" spans="1:25" hidden="1">
      <c r="A763" t="s">
        <v>7384</v>
      </c>
      <c r="B763" t="s">
        <v>1044</v>
      </c>
      <c r="C763">
        <v>1298</v>
      </c>
      <c r="D763">
        <v>13</v>
      </c>
      <c r="E763" t="s">
        <v>4449</v>
      </c>
      <c r="F763" t="s">
        <v>4812</v>
      </c>
      <c r="H763" t="s">
        <v>1871</v>
      </c>
      <c r="J763" t="s">
        <v>8732</v>
      </c>
      <c r="L763">
        <f t="shared" si="22"/>
        <v>1</v>
      </c>
      <c r="M763" t="s">
        <v>4532</v>
      </c>
      <c r="N763" t="s">
        <v>6308</v>
      </c>
      <c r="O763" t="s">
        <v>104</v>
      </c>
      <c r="P763">
        <v>32830</v>
      </c>
      <c r="Q763">
        <v>481980</v>
      </c>
      <c r="R763" s="16" t="s">
        <v>8366</v>
      </c>
      <c r="S763" s="16" t="s">
        <v>8071</v>
      </c>
      <c r="T763" t="s">
        <v>7384</v>
      </c>
      <c r="U763">
        <v>1</v>
      </c>
      <c r="V763" t="s">
        <v>8654</v>
      </c>
      <c r="W763" t="s">
        <v>104</v>
      </c>
      <c r="X763" t="s">
        <v>8660</v>
      </c>
      <c r="Y763">
        <f t="shared" si="23"/>
        <v>1</v>
      </c>
    </row>
    <row r="764" spans="1:25" hidden="1">
      <c r="A764" t="s">
        <v>7417</v>
      </c>
      <c r="B764" t="s">
        <v>1047</v>
      </c>
      <c r="C764">
        <v>1299</v>
      </c>
      <c r="D764">
        <v>13</v>
      </c>
      <c r="E764" t="s">
        <v>1444</v>
      </c>
      <c r="F764" t="s">
        <v>4812</v>
      </c>
      <c r="H764" t="s">
        <v>1871</v>
      </c>
      <c r="J764" t="s">
        <v>8832</v>
      </c>
      <c r="L764">
        <f t="shared" si="22"/>
        <v>0</v>
      </c>
      <c r="R764" s="16" t="s">
        <v>8064</v>
      </c>
      <c r="S764" s="16" t="s">
        <v>8064</v>
      </c>
      <c r="T764" t="s">
        <v>7417</v>
      </c>
      <c r="U764">
        <v>1</v>
      </c>
      <c r="V764" t="s">
        <v>8655</v>
      </c>
      <c r="X764" t="s">
        <v>8660</v>
      </c>
      <c r="Y764">
        <f t="shared" si="23"/>
        <v>0</v>
      </c>
    </row>
    <row r="765" spans="1:25" hidden="1">
      <c r="A765" t="s">
        <v>4919</v>
      </c>
      <c r="B765">
        <v>1300</v>
      </c>
      <c r="C765">
        <v>1300</v>
      </c>
      <c r="D765">
        <v>13</v>
      </c>
      <c r="E765" t="s">
        <v>1444</v>
      </c>
      <c r="F765" t="s">
        <v>4911</v>
      </c>
      <c r="H765" t="s">
        <v>4918</v>
      </c>
      <c r="J765" t="s">
        <v>8822</v>
      </c>
      <c r="L765">
        <f t="shared" si="22"/>
        <v>0</v>
      </c>
      <c r="R765" s="16" t="s">
        <v>8064</v>
      </c>
      <c r="S765" s="16" t="s">
        <v>8064</v>
      </c>
      <c r="T765" t="s">
        <v>4919</v>
      </c>
      <c r="U765">
        <v>1</v>
      </c>
      <c r="V765" t="s">
        <v>8655</v>
      </c>
      <c r="X765" t="s">
        <v>8660</v>
      </c>
      <c r="Y765">
        <f t="shared" si="23"/>
        <v>0</v>
      </c>
    </row>
    <row r="766" spans="1:25" hidden="1">
      <c r="A766" t="s">
        <v>7653</v>
      </c>
      <c r="B766" t="s">
        <v>243</v>
      </c>
      <c r="C766">
        <v>1210</v>
      </c>
      <c r="D766">
        <v>13</v>
      </c>
      <c r="E766" t="s">
        <v>121</v>
      </c>
      <c r="F766" t="s">
        <v>1164</v>
      </c>
      <c r="G766" t="str">
        <f>VLOOKUP(TRIM(F766), [1]mss!$AA:$AA,1,0)</f>
        <v>Lo I 47</v>
      </c>
      <c r="H766" t="s">
        <v>1165</v>
      </c>
      <c r="J766" t="s">
        <v>8668</v>
      </c>
      <c r="L766">
        <f t="shared" si="22"/>
        <v>1</v>
      </c>
      <c r="M766" t="s">
        <v>1</v>
      </c>
      <c r="N766" t="s">
        <v>6445</v>
      </c>
      <c r="O766" t="s">
        <v>12</v>
      </c>
      <c r="P766" t="s">
        <v>6446</v>
      </c>
      <c r="Q766">
        <v>515074</v>
      </c>
      <c r="R766" s="16" t="s">
        <v>6446</v>
      </c>
      <c r="S766" s="16" t="s">
        <v>8068</v>
      </c>
      <c r="T766" t="s">
        <v>7653</v>
      </c>
      <c r="U766">
        <v>0</v>
      </c>
      <c r="V766" t="s">
        <v>8654</v>
      </c>
      <c r="W766" t="s">
        <v>12</v>
      </c>
      <c r="X766" t="s">
        <v>8661</v>
      </c>
      <c r="Y766">
        <f t="shared" si="23"/>
        <v>1</v>
      </c>
    </row>
    <row r="767" spans="1:25" hidden="1">
      <c r="A767" t="s">
        <v>7492</v>
      </c>
      <c r="B767" t="s">
        <v>4829</v>
      </c>
      <c r="C767">
        <v>1185</v>
      </c>
      <c r="D767">
        <v>12</v>
      </c>
      <c r="E767" t="s">
        <v>4433</v>
      </c>
      <c r="F767" t="s">
        <v>4827</v>
      </c>
      <c r="H767" t="s">
        <v>1980</v>
      </c>
      <c r="J767" t="s">
        <v>8668</v>
      </c>
      <c r="L767">
        <f t="shared" si="22"/>
        <v>1</v>
      </c>
      <c r="M767" t="s">
        <v>4433</v>
      </c>
      <c r="N767" t="s">
        <v>6616</v>
      </c>
      <c r="O767" t="s">
        <v>104</v>
      </c>
      <c r="P767" t="s">
        <v>6617</v>
      </c>
      <c r="Q767" t="s">
        <v>6618</v>
      </c>
      <c r="R767" s="16" t="s">
        <v>8494</v>
      </c>
      <c r="S767" s="16" t="s">
        <v>8200</v>
      </c>
      <c r="T767" t="s">
        <v>7492</v>
      </c>
      <c r="U767">
        <v>0</v>
      </c>
      <c r="V767" t="s">
        <v>8654</v>
      </c>
      <c r="W767" t="s">
        <v>104</v>
      </c>
      <c r="X767" t="s">
        <v>8660</v>
      </c>
      <c r="Y767">
        <f t="shared" si="23"/>
        <v>1</v>
      </c>
    </row>
    <row r="768" spans="1:25" hidden="1">
      <c r="A768" t="s">
        <v>7491</v>
      </c>
      <c r="B768" t="s">
        <v>4828</v>
      </c>
      <c r="C768">
        <v>1186</v>
      </c>
      <c r="D768">
        <v>12</v>
      </c>
      <c r="E768" t="s">
        <v>4433</v>
      </c>
      <c r="F768" t="s">
        <v>4827</v>
      </c>
      <c r="H768" t="s">
        <v>1980</v>
      </c>
      <c r="J768" t="s">
        <v>8668</v>
      </c>
      <c r="L768">
        <f t="shared" si="22"/>
        <v>1</v>
      </c>
      <c r="M768" t="s">
        <v>4433</v>
      </c>
      <c r="N768" t="s">
        <v>6616</v>
      </c>
      <c r="O768" t="s">
        <v>104</v>
      </c>
      <c r="P768" t="s">
        <v>6617</v>
      </c>
      <c r="Q768" t="s">
        <v>6618</v>
      </c>
      <c r="R768" s="16" t="s">
        <v>8494</v>
      </c>
      <c r="S768" s="16" t="s">
        <v>8200</v>
      </c>
      <c r="T768" t="s">
        <v>7491</v>
      </c>
      <c r="U768">
        <v>0</v>
      </c>
      <c r="V768" t="s">
        <v>8654</v>
      </c>
      <c r="W768" t="s">
        <v>104</v>
      </c>
      <c r="X768" t="s">
        <v>8660</v>
      </c>
      <c r="Y768">
        <f t="shared" si="23"/>
        <v>1</v>
      </c>
    </row>
    <row r="769" spans="1:25" hidden="1">
      <c r="A769" t="s">
        <v>7631</v>
      </c>
      <c r="B769" t="s">
        <v>4519</v>
      </c>
      <c r="C769">
        <v>1211</v>
      </c>
      <c r="D769">
        <v>13</v>
      </c>
      <c r="E769" t="s">
        <v>1444</v>
      </c>
      <c r="F769" t="s">
        <v>4827</v>
      </c>
      <c r="H769" t="s">
        <v>1982</v>
      </c>
      <c r="J769" t="s">
        <v>8668</v>
      </c>
      <c r="L769">
        <f t="shared" si="22"/>
        <v>0</v>
      </c>
      <c r="R769" s="16" t="s">
        <v>8064</v>
      </c>
      <c r="S769" s="16" t="s">
        <v>8064</v>
      </c>
      <c r="T769" t="s">
        <v>7631</v>
      </c>
      <c r="U769">
        <v>0</v>
      </c>
      <c r="V769" t="s">
        <v>8655</v>
      </c>
      <c r="X769" t="s">
        <v>8660</v>
      </c>
      <c r="Y769">
        <f t="shared" si="23"/>
        <v>0</v>
      </c>
    </row>
    <row r="770" spans="1:25" hidden="1">
      <c r="A770" t="s">
        <v>7731</v>
      </c>
      <c r="B770" t="s">
        <v>4345</v>
      </c>
      <c r="C770">
        <v>1211</v>
      </c>
      <c r="D770">
        <v>13</v>
      </c>
      <c r="E770" t="s">
        <v>4366</v>
      </c>
      <c r="F770" t="s">
        <v>4827</v>
      </c>
      <c r="H770" t="s">
        <v>1999</v>
      </c>
      <c r="J770" t="s">
        <v>9069</v>
      </c>
      <c r="L770">
        <f t="shared" ref="L770:L833" si="24">IF(M770&lt;&gt;"",1,0)</f>
        <v>1</v>
      </c>
      <c r="M770" t="s">
        <v>6646</v>
      </c>
      <c r="N770" t="s">
        <v>6647</v>
      </c>
      <c r="O770" t="s">
        <v>104</v>
      </c>
      <c r="P770" t="s">
        <v>6648</v>
      </c>
      <c r="Q770" t="s">
        <v>6649</v>
      </c>
      <c r="R770" s="16" t="s">
        <v>8485</v>
      </c>
      <c r="S770" s="16" t="s">
        <v>8189</v>
      </c>
      <c r="T770" t="s">
        <v>7985</v>
      </c>
      <c r="U770">
        <v>1</v>
      </c>
      <c r="V770" t="s">
        <v>8656</v>
      </c>
      <c r="W770" t="s">
        <v>104</v>
      </c>
      <c r="X770" t="s">
        <v>8660</v>
      </c>
      <c r="Y770">
        <f t="shared" ref="Y770:Y833" si="25">IF(OR(V770="Loc",V770="IIIF"),1,0)</f>
        <v>1</v>
      </c>
    </row>
    <row r="771" spans="1:25" hidden="1">
      <c r="A771" t="s">
        <v>7466</v>
      </c>
      <c r="B771" t="s">
        <v>4831</v>
      </c>
      <c r="C771">
        <v>1239</v>
      </c>
      <c r="D771">
        <v>13</v>
      </c>
      <c r="E771" t="s">
        <v>4365</v>
      </c>
      <c r="F771" t="s">
        <v>4827</v>
      </c>
      <c r="H771" t="s">
        <v>2004</v>
      </c>
      <c r="J771" t="s">
        <v>8668</v>
      </c>
      <c r="L771">
        <f t="shared" si="24"/>
        <v>1</v>
      </c>
      <c r="M771" t="s">
        <v>6758</v>
      </c>
      <c r="N771" t="s">
        <v>6759</v>
      </c>
      <c r="O771" t="s">
        <v>104</v>
      </c>
      <c r="P771" t="s">
        <v>6760</v>
      </c>
      <c r="Q771" t="s">
        <v>6761</v>
      </c>
      <c r="R771" s="16" t="s">
        <v>8483</v>
      </c>
      <c r="S771" s="16" t="s">
        <v>8188</v>
      </c>
      <c r="T771" t="s">
        <v>7466</v>
      </c>
      <c r="U771">
        <v>0</v>
      </c>
      <c r="V771" t="s">
        <v>8654</v>
      </c>
      <c r="W771" t="s">
        <v>104</v>
      </c>
      <c r="X771" t="s">
        <v>8660</v>
      </c>
      <c r="Y771">
        <f t="shared" si="25"/>
        <v>1</v>
      </c>
    </row>
    <row r="772" spans="1:25" hidden="1">
      <c r="A772" t="s">
        <v>7472</v>
      </c>
      <c r="B772" t="s">
        <v>4749</v>
      </c>
      <c r="C772">
        <v>1239</v>
      </c>
      <c r="D772">
        <v>13</v>
      </c>
      <c r="E772" t="s">
        <v>4365</v>
      </c>
      <c r="F772" t="s">
        <v>4827</v>
      </c>
      <c r="H772" t="s">
        <v>2004</v>
      </c>
      <c r="J772" t="s">
        <v>8668</v>
      </c>
      <c r="L772">
        <f t="shared" si="24"/>
        <v>1</v>
      </c>
      <c r="M772" t="s">
        <v>6758</v>
      </c>
      <c r="N772" t="s">
        <v>6759</v>
      </c>
      <c r="O772" t="s">
        <v>104</v>
      </c>
      <c r="P772" t="s">
        <v>6760</v>
      </c>
      <c r="Q772" t="s">
        <v>6761</v>
      </c>
      <c r="R772" s="16" t="s">
        <v>8483</v>
      </c>
      <c r="S772" s="16" t="s">
        <v>8188</v>
      </c>
      <c r="T772" t="s">
        <v>7472</v>
      </c>
      <c r="U772">
        <v>0</v>
      </c>
      <c r="V772" t="s">
        <v>8654</v>
      </c>
      <c r="W772" t="s">
        <v>104</v>
      </c>
      <c r="X772" t="s">
        <v>8660</v>
      </c>
      <c r="Y772">
        <f t="shared" si="25"/>
        <v>1</v>
      </c>
    </row>
    <row r="773" spans="1:25" hidden="1">
      <c r="A773" t="s">
        <v>7463</v>
      </c>
      <c r="B773" t="s">
        <v>4832</v>
      </c>
      <c r="C773">
        <v>1228</v>
      </c>
      <c r="D773">
        <v>13</v>
      </c>
      <c r="E773" t="s">
        <v>4365</v>
      </c>
      <c r="F773" t="s">
        <v>4827</v>
      </c>
      <c r="H773" t="s">
        <v>2000</v>
      </c>
      <c r="J773" t="s">
        <v>8668</v>
      </c>
      <c r="L773">
        <f t="shared" si="24"/>
        <v>1</v>
      </c>
      <c r="M773" t="s">
        <v>6758</v>
      </c>
      <c r="N773" t="s">
        <v>6759</v>
      </c>
      <c r="O773" t="s">
        <v>104</v>
      </c>
      <c r="P773" t="s">
        <v>6760</v>
      </c>
      <c r="Q773" t="s">
        <v>6761</v>
      </c>
      <c r="R773" s="16" t="s">
        <v>8483</v>
      </c>
      <c r="S773" s="16" t="s">
        <v>8188</v>
      </c>
      <c r="T773" t="s">
        <v>7463</v>
      </c>
      <c r="U773">
        <v>0</v>
      </c>
      <c r="V773" t="s">
        <v>8654</v>
      </c>
      <c r="W773" t="s">
        <v>104</v>
      </c>
      <c r="X773" t="s">
        <v>8660</v>
      </c>
      <c r="Y773">
        <f t="shared" si="25"/>
        <v>1</v>
      </c>
    </row>
    <row r="774" spans="1:25" hidden="1">
      <c r="A774" t="s">
        <v>7482</v>
      </c>
      <c r="B774" t="s">
        <v>4350</v>
      </c>
      <c r="C774">
        <v>1223</v>
      </c>
      <c r="D774">
        <v>13</v>
      </c>
      <c r="E774" t="s">
        <v>4526</v>
      </c>
      <c r="F774" t="s">
        <v>4827</v>
      </c>
      <c r="H774" t="s">
        <v>2001</v>
      </c>
      <c r="J774" t="s">
        <v>9124</v>
      </c>
      <c r="L774">
        <f t="shared" si="24"/>
        <v>1</v>
      </c>
      <c r="M774" t="s">
        <v>6661</v>
      </c>
      <c r="N774" t="s">
        <v>6662</v>
      </c>
      <c r="O774" t="s">
        <v>11</v>
      </c>
      <c r="P774" t="s">
        <v>6663</v>
      </c>
      <c r="Q774" t="s">
        <v>6664</v>
      </c>
      <c r="R774" s="16" t="s">
        <v>8492</v>
      </c>
      <c r="S774" s="16" t="s">
        <v>8198</v>
      </c>
      <c r="T774" t="s">
        <v>7482</v>
      </c>
      <c r="U774">
        <v>1</v>
      </c>
      <c r="V774" t="s">
        <v>8654</v>
      </c>
      <c r="W774" t="s">
        <v>11</v>
      </c>
      <c r="X774" t="s">
        <v>8660</v>
      </c>
      <c r="Y774">
        <f t="shared" si="25"/>
        <v>1</v>
      </c>
    </row>
    <row r="775" spans="1:25" hidden="1">
      <c r="A775" t="s">
        <v>7518</v>
      </c>
      <c r="B775" t="s">
        <v>4833</v>
      </c>
      <c r="C775">
        <v>1225</v>
      </c>
      <c r="D775">
        <v>13</v>
      </c>
      <c r="E775" t="s">
        <v>1444</v>
      </c>
      <c r="F775" t="s">
        <v>4827</v>
      </c>
      <c r="H775" t="s">
        <v>2001</v>
      </c>
      <c r="J775" t="s">
        <v>8668</v>
      </c>
      <c r="L775">
        <f t="shared" si="24"/>
        <v>0</v>
      </c>
      <c r="R775" s="16" t="s">
        <v>8064</v>
      </c>
      <c r="S775" s="16" t="s">
        <v>8064</v>
      </c>
      <c r="T775" t="s">
        <v>7518</v>
      </c>
      <c r="U775">
        <v>0</v>
      </c>
      <c r="V775" t="s">
        <v>8655</v>
      </c>
      <c r="X775" t="s">
        <v>8660</v>
      </c>
      <c r="Y775">
        <f t="shared" si="25"/>
        <v>0</v>
      </c>
    </row>
    <row r="776" spans="1:25" hidden="1">
      <c r="A776" t="s">
        <v>7498</v>
      </c>
      <c r="B776" t="s">
        <v>4834</v>
      </c>
      <c r="C776">
        <v>1238</v>
      </c>
      <c r="D776">
        <v>13</v>
      </c>
      <c r="E776" t="s">
        <v>4361</v>
      </c>
      <c r="F776" t="s">
        <v>4827</v>
      </c>
      <c r="H776" t="s">
        <v>2002</v>
      </c>
      <c r="J776" t="s">
        <v>8668</v>
      </c>
      <c r="L776">
        <f t="shared" si="24"/>
        <v>1</v>
      </c>
      <c r="M776" t="s">
        <v>6424</v>
      </c>
      <c r="N776" t="s">
        <v>6401</v>
      </c>
      <c r="O776" t="s">
        <v>104</v>
      </c>
      <c r="P776" t="s">
        <v>6425</v>
      </c>
      <c r="Q776">
        <v>494260</v>
      </c>
      <c r="R776" s="16" t="s">
        <v>8486</v>
      </c>
      <c r="S776" s="16" t="s">
        <v>8190</v>
      </c>
      <c r="T776" t="s">
        <v>7498</v>
      </c>
      <c r="U776">
        <v>0</v>
      </c>
      <c r="V776" t="s">
        <v>8654</v>
      </c>
      <c r="W776" t="s">
        <v>104</v>
      </c>
      <c r="X776" t="s">
        <v>8660</v>
      </c>
      <c r="Y776">
        <f t="shared" si="25"/>
        <v>1</v>
      </c>
    </row>
    <row r="777" spans="1:25" hidden="1">
      <c r="A777" t="s">
        <v>7478</v>
      </c>
      <c r="B777" t="s">
        <v>4835</v>
      </c>
      <c r="C777">
        <v>1238</v>
      </c>
      <c r="D777">
        <v>13</v>
      </c>
      <c r="E777" t="s">
        <v>4425</v>
      </c>
      <c r="F777" t="s">
        <v>4827</v>
      </c>
      <c r="H777" t="s">
        <v>2002</v>
      </c>
      <c r="J777" t="s">
        <v>8668</v>
      </c>
      <c r="L777">
        <f t="shared" si="24"/>
        <v>1</v>
      </c>
      <c r="M777" t="s">
        <v>4425</v>
      </c>
      <c r="N777" t="s">
        <v>6315</v>
      </c>
      <c r="O777" t="s">
        <v>104</v>
      </c>
      <c r="P777">
        <v>10990</v>
      </c>
      <c r="Q777">
        <v>494430</v>
      </c>
      <c r="R777" s="16" t="s">
        <v>8453</v>
      </c>
      <c r="S777" s="16" t="s">
        <v>8157</v>
      </c>
      <c r="T777" t="s">
        <v>7478</v>
      </c>
      <c r="U777">
        <v>0</v>
      </c>
      <c r="V777" t="s">
        <v>8654</v>
      </c>
      <c r="W777" t="s">
        <v>104</v>
      </c>
      <c r="X777" t="s">
        <v>8660</v>
      </c>
      <c r="Y777">
        <f t="shared" si="25"/>
        <v>1</v>
      </c>
    </row>
    <row r="778" spans="1:25" hidden="1">
      <c r="A778" t="s">
        <v>7501</v>
      </c>
      <c r="B778" t="s">
        <v>4749</v>
      </c>
      <c r="C778">
        <v>1239</v>
      </c>
      <c r="D778">
        <v>13</v>
      </c>
      <c r="E778" t="s">
        <v>4361</v>
      </c>
      <c r="F778" t="s">
        <v>4827</v>
      </c>
      <c r="H778" t="s">
        <v>2003</v>
      </c>
      <c r="J778" t="s">
        <v>8668</v>
      </c>
      <c r="L778">
        <f t="shared" si="24"/>
        <v>1</v>
      </c>
      <c r="M778" t="s">
        <v>6424</v>
      </c>
      <c r="N778" t="s">
        <v>6401</v>
      </c>
      <c r="O778" t="s">
        <v>104</v>
      </c>
      <c r="P778" t="s">
        <v>6425</v>
      </c>
      <c r="Q778">
        <v>494260</v>
      </c>
      <c r="R778" s="16" t="s">
        <v>8486</v>
      </c>
      <c r="S778" s="16" t="s">
        <v>8190</v>
      </c>
      <c r="T778" t="s">
        <v>7501</v>
      </c>
      <c r="U778">
        <v>0</v>
      </c>
      <c r="V778" t="s">
        <v>8656</v>
      </c>
      <c r="W778" t="s">
        <v>104</v>
      </c>
      <c r="X778" t="s">
        <v>8660</v>
      </c>
      <c r="Y778">
        <f t="shared" si="25"/>
        <v>1</v>
      </c>
    </row>
    <row r="779" spans="1:25" hidden="1">
      <c r="A779" t="s">
        <v>7475</v>
      </c>
      <c r="B779" t="s">
        <v>4543</v>
      </c>
      <c r="C779">
        <v>1241</v>
      </c>
      <c r="D779">
        <v>13</v>
      </c>
      <c r="E779" t="s">
        <v>4365</v>
      </c>
      <c r="F779" t="s">
        <v>4827</v>
      </c>
      <c r="H779" t="s">
        <v>2003</v>
      </c>
      <c r="J779" t="s">
        <v>8668</v>
      </c>
      <c r="L779">
        <f t="shared" si="24"/>
        <v>1</v>
      </c>
      <c r="M779" t="s">
        <v>6758</v>
      </c>
      <c r="N779" t="s">
        <v>6759</v>
      </c>
      <c r="O779" t="s">
        <v>104</v>
      </c>
      <c r="P779" t="s">
        <v>6760</v>
      </c>
      <c r="Q779" t="s">
        <v>6761</v>
      </c>
      <c r="R779" s="16" t="s">
        <v>8483</v>
      </c>
      <c r="S779" s="16" t="s">
        <v>8188</v>
      </c>
      <c r="T779" t="s">
        <v>7475</v>
      </c>
      <c r="U779">
        <v>0</v>
      </c>
      <c r="V779" t="s">
        <v>8654</v>
      </c>
      <c r="W779" t="s">
        <v>104</v>
      </c>
      <c r="X779" t="s">
        <v>8660</v>
      </c>
      <c r="Y779">
        <f t="shared" si="25"/>
        <v>1</v>
      </c>
    </row>
    <row r="780" spans="1:25" hidden="1">
      <c r="A780" t="s">
        <v>7467</v>
      </c>
      <c r="B780" t="s">
        <v>4831</v>
      </c>
      <c r="C780">
        <v>1239</v>
      </c>
      <c r="D780">
        <v>13</v>
      </c>
      <c r="E780" t="s">
        <v>4365</v>
      </c>
      <c r="F780" t="s">
        <v>4827</v>
      </c>
      <c r="H780" t="s">
        <v>2005</v>
      </c>
      <c r="J780" t="s">
        <v>8668</v>
      </c>
      <c r="L780">
        <f t="shared" si="24"/>
        <v>1</v>
      </c>
      <c r="M780" t="s">
        <v>6758</v>
      </c>
      <c r="N780" t="s">
        <v>6759</v>
      </c>
      <c r="O780" t="s">
        <v>104</v>
      </c>
      <c r="P780" t="s">
        <v>6760</v>
      </c>
      <c r="Q780" t="s">
        <v>6761</v>
      </c>
      <c r="R780" s="16" t="s">
        <v>8483</v>
      </c>
      <c r="S780" s="16" t="s">
        <v>8188</v>
      </c>
      <c r="T780" t="s">
        <v>7467</v>
      </c>
      <c r="U780">
        <v>0</v>
      </c>
      <c r="V780" t="s">
        <v>8654</v>
      </c>
      <c r="W780" t="s">
        <v>104</v>
      </c>
      <c r="X780" t="s">
        <v>8660</v>
      </c>
      <c r="Y780">
        <f t="shared" si="25"/>
        <v>1</v>
      </c>
    </row>
    <row r="781" spans="1:25" hidden="1">
      <c r="A781" t="s">
        <v>7473</v>
      </c>
      <c r="B781" t="s">
        <v>4749</v>
      </c>
      <c r="C781">
        <v>1239</v>
      </c>
      <c r="D781">
        <v>13</v>
      </c>
      <c r="E781" t="s">
        <v>4365</v>
      </c>
      <c r="F781" t="s">
        <v>4827</v>
      </c>
      <c r="H781" t="s">
        <v>2005</v>
      </c>
      <c r="J781" t="s">
        <v>8668</v>
      </c>
      <c r="L781">
        <f t="shared" si="24"/>
        <v>1</v>
      </c>
      <c r="M781" t="s">
        <v>6758</v>
      </c>
      <c r="N781" t="s">
        <v>6759</v>
      </c>
      <c r="O781" t="s">
        <v>104</v>
      </c>
      <c r="P781" t="s">
        <v>6760</v>
      </c>
      <c r="Q781" t="s">
        <v>6761</v>
      </c>
      <c r="R781" s="16" t="s">
        <v>8483</v>
      </c>
      <c r="S781" s="16" t="s">
        <v>8188</v>
      </c>
      <c r="T781" t="s">
        <v>7473</v>
      </c>
      <c r="U781">
        <v>0</v>
      </c>
      <c r="V781" t="s">
        <v>8654</v>
      </c>
      <c r="W781" t="s">
        <v>104</v>
      </c>
      <c r="X781" t="s">
        <v>8660</v>
      </c>
      <c r="Y781">
        <f t="shared" si="25"/>
        <v>1</v>
      </c>
    </row>
    <row r="782" spans="1:25" hidden="1">
      <c r="A782" t="s">
        <v>7468</v>
      </c>
      <c r="B782" t="s">
        <v>4831</v>
      </c>
      <c r="C782">
        <v>1239</v>
      </c>
      <c r="D782">
        <v>13</v>
      </c>
      <c r="E782" t="s">
        <v>4365</v>
      </c>
      <c r="F782" t="s">
        <v>4827</v>
      </c>
      <c r="H782" t="s">
        <v>2006</v>
      </c>
      <c r="J782" t="s">
        <v>8668</v>
      </c>
      <c r="L782">
        <f t="shared" si="24"/>
        <v>1</v>
      </c>
      <c r="M782" t="s">
        <v>6758</v>
      </c>
      <c r="N782" t="s">
        <v>6759</v>
      </c>
      <c r="O782" t="s">
        <v>104</v>
      </c>
      <c r="P782" t="s">
        <v>6760</v>
      </c>
      <c r="Q782" t="s">
        <v>6761</v>
      </c>
      <c r="R782" s="16" t="s">
        <v>8483</v>
      </c>
      <c r="S782" s="16" t="s">
        <v>8188</v>
      </c>
      <c r="T782" t="s">
        <v>7468</v>
      </c>
      <c r="U782">
        <v>0</v>
      </c>
      <c r="V782" t="s">
        <v>8654</v>
      </c>
      <c r="W782" t="s">
        <v>104</v>
      </c>
      <c r="X782" t="s">
        <v>8660</v>
      </c>
      <c r="Y782">
        <f t="shared" si="25"/>
        <v>1</v>
      </c>
    </row>
    <row r="783" spans="1:25" hidden="1">
      <c r="A783" t="s">
        <v>7469</v>
      </c>
      <c r="B783" t="s">
        <v>4831</v>
      </c>
      <c r="C783">
        <v>1239</v>
      </c>
      <c r="D783">
        <v>13</v>
      </c>
      <c r="E783" t="s">
        <v>4365</v>
      </c>
      <c r="F783" t="s">
        <v>4827</v>
      </c>
      <c r="H783" t="s">
        <v>2006</v>
      </c>
      <c r="J783" t="s">
        <v>8668</v>
      </c>
      <c r="L783">
        <f t="shared" si="24"/>
        <v>1</v>
      </c>
      <c r="M783" t="s">
        <v>6758</v>
      </c>
      <c r="N783" t="s">
        <v>6759</v>
      </c>
      <c r="O783" t="s">
        <v>104</v>
      </c>
      <c r="P783" t="s">
        <v>6760</v>
      </c>
      <c r="Q783" t="s">
        <v>6761</v>
      </c>
      <c r="R783" s="16" t="s">
        <v>8483</v>
      </c>
      <c r="S783" s="16" t="s">
        <v>8188</v>
      </c>
      <c r="T783" t="s">
        <v>7469</v>
      </c>
      <c r="U783">
        <v>0</v>
      </c>
      <c r="V783" t="s">
        <v>8654</v>
      </c>
      <c r="W783" t="s">
        <v>104</v>
      </c>
      <c r="X783" t="s">
        <v>8660</v>
      </c>
      <c r="Y783">
        <f t="shared" si="25"/>
        <v>1</v>
      </c>
    </row>
    <row r="784" spans="1:25" hidden="1">
      <c r="A784" t="s">
        <v>7470</v>
      </c>
      <c r="B784" t="s">
        <v>4831</v>
      </c>
      <c r="C784">
        <v>1239</v>
      </c>
      <c r="D784">
        <v>13</v>
      </c>
      <c r="E784" t="s">
        <v>4365</v>
      </c>
      <c r="F784" t="s">
        <v>4827</v>
      </c>
      <c r="H784" t="s">
        <v>2007</v>
      </c>
      <c r="J784" t="s">
        <v>8668</v>
      </c>
      <c r="L784">
        <f t="shared" si="24"/>
        <v>1</v>
      </c>
      <c r="M784" t="s">
        <v>6758</v>
      </c>
      <c r="N784" t="s">
        <v>6759</v>
      </c>
      <c r="O784" t="s">
        <v>104</v>
      </c>
      <c r="P784" t="s">
        <v>6760</v>
      </c>
      <c r="Q784" t="s">
        <v>6761</v>
      </c>
      <c r="R784" s="16" t="s">
        <v>8483</v>
      </c>
      <c r="S784" s="16" t="s">
        <v>8188</v>
      </c>
      <c r="T784" t="s">
        <v>7470</v>
      </c>
      <c r="U784">
        <v>0</v>
      </c>
      <c r="V784" t="s">
        <v>8654</v>
      </c>
      <c r="W784" t="s">
        <v>104</v>
      </c>
      <c r="X784" t="s">
        <v>8660</v>
      </c>
      <c r="Y784">
        <f t="shared" si="25"/>
        <v>1</v>
      </c>
    </row>
    <row r="785" spans="1:25" hidden="1">
      <c r="A785" t="s">
        <v>7474</v>
      </c>
      <c r="B785" t="s">
        <v>4831</v>
      </c>
      <c r="C785">
        <v>1239</v>
      </c>
      <c r="D785">
        <v>13</v>
      </c>
      <c r="E785" t="s">
        <v>4365</v>
      </c>
      <c r="F785" t="s">
        <v>4827</v>
      </c>
      <c r="H785" t="s">
        <v>2007</v>
      </c>
      <c r="J785" t="s">
        <v>8668</v>
      </c>
      <c r="L785">
        <f t="shared" si="24"/>
        <v>1</v>
      </c>
      <c r="M785" t="s">
        <v>6758</v>
      </c>
      <c r="N785" t="s">
        <v>6759</v>
      </c>
      <c r="O785" t="s">
        <v>104</v>
      </c>
      <c r="P785" t="s">
        <v>6760</v>
      </c>
      <c r="Q785" t="s">
        <v>6761</v>
      </c>
      <c r="R785" s="16" t="s">
        <v>8483</v>
      </c>
      <c r="S785" s="16" t="s">
        <v>8188</v>
      </c>
      <c r="T785" t="s">
        <v>7474</v>
      </c>
      <c r="U785">
        <v>0</v>
      </c>
      <c r="V785" t="s">
        <v>8654</v>
      </c>
      <c r="W785" t="s">
        <v>104</v>
      </c>
      <c r="X785" t="s">
        <v>8660</v>
      </c>
      <c r="Y785">
        <f t="shared" si="25"/>
        <v>1</v>
      </c>
    </row>
    <row r="786" spans="1:25" hidden="1">
      <c r="A786" t="s">
        <v>7436</v>
      </c>
      <c r="B786" t="s">
        <v>4353</v>
      </c>
      <c r="C786">
        <v>1250</v>
      </c>
      <c r="D786">
        <v>13</v>
      </c>
      <c r="E786" t="s">
        <v>1444</v>
      </c>
      <c r="F786" t="s">
        <v>4868</v>
      </c>
      <c r="H786" t="s">
        <v>2008</v>
      </c>
      <c r="J786" t="s">
        <v>8668</v>
      </c>
      <c r="L786">
        <f t="shared" si="24"/>
        <v>0</v>
      </c>
      <c r="R786" s="16" t="s">
        <v>8064</v>
      </c>
      <c r="S786" s="16" t="s">
        <v>8064</v>
      </c>
      <c r="T786" t="s">
        <v>7436</v>
      </c>
      <c r="U786">
        <v>0</v>
      </c>
      <c r="V786" t="s">
        <v>8655</v>
      </c>
      <c r="X786" t="s">
        <v>8660</v>
      </c>
      <c r="Y786">
        <f t="shared" si="25"/>
        <v>0</v>
      </c>
    </row>
    <row r="787" spans="1:25" hidden="1">
      <c r="A787" t="s">
        <v>7454</v>
      </c>
      <c r="B787" t="s">
        <v>4836</v>
      </c>
      <c r="C787">
        <v>1255</v>
      </c>
      <c r="D787">
        <v>13</v>
      </c>
      <c r="E787" t="s">
        <v>4402</v>
      </c>
      <c r="F787" t="s">
        <v>4827</v>
      </c>
      <c r="H787" t="s">
        <v>2008</v>
      </c>
      <c r="J787" t="s">
        <v>8668</v>
      </c>
      <c r="L787">
        <f t="shared" si="24"/>
        <v>1</v>
      </c>
      <c r="M787" t="s">
        <v>4402</v>
      </c>
      <c r="N787" t="s">
        <v>6908</v>
      </c>
      <c r="O787" t="s">
        <v>104</v>
      </c>
      <c r="P787" t="s">
        <v>6909</v>
      </c>
      <c r="Q787" t="s">
        <v>6910</v>
      </c>
      <c r="R787" s="16" t="s">
        <v>8489</v>
      </c>
      <c r="S787" s="16" t="s">
        <v>8195</v>
      </c>
      <c r="T787" t="s">
        <v>7454</v>
      </c>
      <c r="U787">
        <v>0</v>
      </c>
      <c r="V787" t="s">
        <v>8654</v>
      </c>
      <c r="W787" t="s">
        <v>104</v>
      </c>
      <c r="X787" t="s">
        <v>8660</v>
      </c>
      <c r="Y787">
        <f t="shared" si="25"/>
        <v>1</v>
      </c>
    </row>
    <row r="788" spans="1:25" hidden="1">
      <c r="A788" t="s">
        <v>7637</v>
      </c>
      <c r="B788" t="s">
        <v>4838</v>
      </c>
      <c r="C788">
        <v>1255</v>
      </c>
      <c r="D788">
        <v>13</v>
      </c>
      <c r="E788" t="s">
        <v>1444</v>
      </c>
      <c r="F788" t="s">
        <v>4827</v>
      </c>
      <c r="H788" t="s">
        <v>2009</v>
      </c>
      <c r="J788" t="s">
        <v>8842</v>
      </c>
      <c r="L788">
        <f t="shared" si="24"/>
        <v>0</v>
      </c>
      <c r="R788" s="16" t="s">
        <v>8064</v>
      </c>
      <c r="S788" s="16" t="s">
        <v>8064</v>
      </c>
      <c r="T788" t="s">
        <v>7637</v>
      </c>
      <c r="U788">
        <v>1</v>
      </c>
      <c r="V788" t="s">
        <v>8655</v>
      </c>
      <c r="X788" t="s">
        <v>8660</v>
      </c>
      <c r="Y788">
        <f t="shared" si="25"/>
        <v>0</v>
      </c>
    </row>
    <row r="789" spans="1:25" hidden="1">
      <c r="A789" t="s">
        <v>7636</v>
      </c>
      <c r="B789" t="s">
        <v>4837</v>
      </c>
      <c r="C789">
        <v>1264</v>
      </c>
      <c r="D789">
        <v>13</v>
      </c>
      <c r="E789" t="s">
        <v>1444</v>
      </c>
      <c r="F789" t="s">
        <v>4827</v>
      </c>
      <c r="H789" t="s">
        <v>2009</v>
      </c>
      <c r="J789" t="s">
        <v>8841</v>
      </c>
      <c r="L789">
        <f t="shared" si="24"/>
        <v>0</v>
      </c>
      <c r="R789" s="16" t="s">
        <v>8064</v>
      </c>
      <c r="S789" s="16" t="s">
        <v>8064</v>
      </c>
      <c r="T789" t="s">
        <v>7636</v>
      </c>
      <c r="U789">
        <v>1</v>
      </c>
      <c r="V789" t="s">
        <v>8655</v>
      </c>
      <c r="X789" t="s">
        <v>8660</v>
      </c>
      <c r="Y789">
        <f t="shared" si="25"/>
        <v>0</v>
      </c>
    </row>
    <row r="790" spans="1:25" hidden="1">
      <c r="A790" t="s">
        <v>7732</v>
      </c>
      <c r="B790" t="s">
        <v>4730</v>
      </c>
      <c r="C790">
        <v>1283</v>
      </c>
      <c r="D790">
        <v>13</v>
      </c>
      <c r="E790" t="s">
        <v>4502</v>
      </c>
      <c r="F790" t="s">
        <v>4827</v>
      </c>
      <c r="H790" t="s">
        <v>2012</v>
      </c>
      <c r="J790" t="s">
        <v>8668</v>
      </c>
      <c r="L790">
        <f t="shared" si="24"/>
        <v>1</v>
      </c>
      <c r="M790" t="s">
        <v>4502</v>
      </c>
      <c r="N790" t="s">
        <v>6456</v>
      </c>
      <c r="O790" t="s">
        <v>104</v>
      </c>
      <c r="P790">
        <v>23522</v>
      </c>
      <c r="Q790">
        <v>488566</v>
      </c>
      <c r="R790" s="16" t="s">
        <v>8364</v>
      </c>
      <c r="S790" s="16" t="s">
        <v>8069</v>
      </c>
      <c r="T790" t="s">
        <v>7984</v>
      </c>
      <c r="U790">
        <v>0</v>
      </c>
      <c r="V790" t="s">
        <v>8654</v>
      </c>
      <c r="W790" t="s">
        <v>104</v>
      </c>
      <c r="X790" t="s">
        <v>8660</v>
      </c>
      <c r="Y790">
        <f t="shared" si="25"/>
        <v>1</v>
      </c>
    </row>
    <row r="791" spans="1:25" hidden="1">
      <c r="A791" t="s">
        <v>7456</v>
      </c>
      <c r="B791" t="s">
        <v>4723</v>
      </c>
      <c r="C791">
        <v>1256</v>
      </c>
      <c r="D791">
        <v>13</v>
      </c>
      <c r="E791" t="s">
        <v>4449</v>
      </c>
      <c r="F791" t="s">
        <v>4827</v>
      </c>
      <c r="H791" t="s">
        <v>2010</v>
      </c>
      <c r="J791" t="s">
        <v>8668</v>
      </c>
      <c r="L791">
        <f t="shared" si="24"/>
        <v>1</v>
      </c>
      <c r="M791" t="s">
        <v>4532</v>
      </c>
      <c r="N791" t="s">
        <v>6308</v>
      </c>
      <c r="O791" t="s">
        <v>104</v>
      </c>
      <c r="P791">
        <v>32830</v>
      </c>
      <c r="Q791">
        <v>481980</v>
      </c>
      <c r="R791" s="16" t="s">
        <v>8366</v>
      </c>
      <c r="S791" s="16" t="s">
        <v>8071</v>
      </c>
      <c r="T791" t="s">
        <v>7456</v>
      </c>
      <c r="U791">
        <v>0</v>
      </c>
      <c r="V791" t="s">
        <v>8654</v>
      </c>
      <c r="W791" t="s">
        <v>104</v>
      </c>
      <c r="X791" t="s">
        <v>8660</v>
      </c>
      <c r="Y791">
        <f t="shared" si="25"/>
        <v>1</v>
      </c>
    </row>
    <row r="792" spans="1:25" hidden="1">
      <c r="A792" t="s">
        <v>7624</v>
      </c>
      <c r="B792" t="s">
        <v>4823</v>
      </c>
      <c r="C792">
        <v>1265</v>
      </c>
      <c r="D792">
        <v>13</v>
      </c>
      <c r="E792" t="s">
        <v>1444</v>
      </c>
      <c r="F792" t="s">
        <v>4827</v>
      </c>
      <c r="H792" t="s">
        <v>2010</v>
      </c>
      <c r="J792" t="s">
        <v>8838</v>
      </c>
      <c r="L792">
        <f t="shared" si="24"/>
        <v>0</v>
      </c>
      <c r="R792" s="16" t="s">
        <v>8064</v>
      </c>
      <c r="S792" s="16" t="s">
        <v>8064</v>
      </c>
      <c r="T792" t="s">
        <v>7624</v>
      </c>
      <c r="U792">
        <v>1</v>
      </c>
      <c r="V792" t="s">
        <v>8655</v>
      </c>
      <c r="X792" t="s">
        <v>8660</v>
      </c>
      <c r="Y792">
        <f t="shared" si="25"/>
        <v>0</v>
      </c>
    </row>
    <row r="793" spans="1:25" hidden="1">
      <c r="A793" t="s">
        <v>1951</v>
      </c>
      <c r="B793" t="s">
        <v>4583</v>
      </c>
      <c r="C793">
        <v>1275</v>
      </c>
      <c r="D793">
        <v>13</v>
      </c>
      <c r="E793" t="s">
        <v>4580</v>
      </c>
      <c r="F793" t="s">
        <v>4827</v>
      </c>
      <c r="H793" t="s">
        <v>2011</v>
      </c>
      <c r="J793" t="s">
        <v>9070</v>
      </c>
      <c r="L793">
        <f t="shared" si="24"/>
        <v>1</v>
      </c>
      <c r="M793" t="s">
        <v>4580</v>
      </c>
      <c r="N793" t="s">
        <v>6315</v>
      </c>
      <c r="O793" t="s">
        <v>104</v>
      </c>
      <c r="P793" t="s">
        <v>6316</v>
      </c>
      <c r="Q793">
        <v>492770</v>
      </c>
      <c r="R793" s="16" t="s">
        <v>8606</v>
      </c>
      <c r="S793" s="16" t="s">
        <v>8312</v>
      </c>
      <c r="T793" t="s">
        <v>1951</v>
      </c>
      <c r="U793">
        <v>1</v>
      </c>
      <c r="V793" t="s">
        <v>8656</v>
      </c>
      <c r="W793" t="s">
        <v>104</v>
      </c>
      <c r="X793" t="s">
        <v>8660</v>
      </c>
      <c r="Y793">
        <f t="shared" si="25"/>
        <v>1</v>
      </c>
    </row>
    <row r="794" spans="1:25" hidden="1">
      <c r="A794" t="s">
        <v>7510</v>
      </c>
      <c r="B794" t="s">
        <v>760</v>
      </c>
      <c r="C794">
        <v>1273</v>
      </c>
      <c r="D794">
        <v>13</v>
      </c>
      <c r="E794" t="s">
        <v>4417</v>
      </c>
      <c r="F794" t="s">
        <v>4827</v>
      </c>
      <c r="H794" t="s">
        <v>1988</v>
      </c>
      <c r="J794" t="s">
        <v>9072</v>
      </c>
      <c r="L794">
        <f t="shared" si="24"/>
        <v>1</v>
      </c>
      <c r="M794" t="s">
        <v>4417</v>
      </c>
      <c r="N794" t="s">
        <v>6296</v>
      </c>
      <c r="O794" t="s">
        <v>104</v>
      </c>
      <c r="P794" t="s">
        <v>6297</v>
      </c>
      <c r="Q794">
        <v>474784</v>
      </c>
      <c r="R794" s="16" t="s">
        <v>6297</v>
      </c>
      <c r="S794" s="16" t="s">
        <v>8193</v>
      </c>
      <c r="T794" t="s">
        <v>7510</v>
      </c>
      <c r="U794">
        <v>1</v>
      </c>
      <c r="V794" t="s">
        <v>8656</v>
      </c>
      <c r="W794" t="s">
        <v>104</v>
      </c>
      <c r="X794" t="s">
        <v>8660</v>
      </c>
      <c r="Y794">
        <f t="shared" si="25"/>
        <v>1</v>
      </c>
    </row>
    <row r="795" spans="1:25" hidden="1">
      <c r="A795" t="s">
        <v>7502</v>
      </c>
      <c r="B795" t="s">
        <v>1873</v>
      </c>
      <c r="C795">
        <v>1275</v>
      </c>
      <c r="D795">
        <v>13</v>
      </c>
      <c r="E795" t="s">
        <v>4589</v>
      </c>
      <c r="F795" t="s">
        <v>4827</v>
      </c>
      <c r="H795" t="s">
        <v>1988</v>
      </c>
      <c r="J795" t="s">
        <v>9071</v>
      </c>
      <c r="L795">
        <f t="shared" si="24"/>
        <v>1</v>
      </c>
      <c r="M795" t="s">
        <v>4589</v>
      </c>
      <c r="N795" t="s">
        <v>6550</v>
      </c>
      <c r="O795" t="s">
        <v>104</v>
      </c>
      <c r="P795" t="s">
        <v>6551</v>
      </c>
      <c r="Q795" t="s">
        <v>6552</v>
      </c>
      <c r="R795" s="16" t="s">
        <v>8495</v>
      </c>
      <c r="S795" s="16" t="s">
        <v>8201</v>
      </c>
      <c r="T795" t="s">
        <v>7502</v>
      </c>
      <c r="U795">
        <v>1</v>
      </c>
      <c r="V795" t="s">
        <v>8656</v>
      </c>
      <c r="W795" t="s">
        <v>104</v>
      </c>
      <c r="X795" t="s">
        <v>8660</v>
      </c>
      <c r="Y795">
        <f t="shared" si="25"/>
        <v>1</v>
      </c>
    </row>
    <row r="796" spans="1:25" hidden="1">
      <c r="A796" t="s">
        <v>7503</v>
      </c>
      <c r="B796" t="s">
        <v>4839</v>
      </c>
      <c r="C796">
        <v>1274</v>
      </c>
      <c r="D796">
        <v>13</v>
      </c>
      <c r="E796" t="s">
        <v>4594</v>
      </c>
      <c r="F796" t="s">
        <v>4827</v>
      </c>
      <c r="H796" t="s">
        <v>1989</v>
      </c>
      <c r="J796" t="s">
        <v>9073</v>
      </c>
      <c r="L796">
        <f t="shared" si="24"/>
        <v>1</v>
      </c>
      <c r="M796" t="s">
        <v>5187</v>
      </c>
      <c r="N796" t="s">
        <v>6369</v>
      </c>
      <c r="O796" t="s">
        <v>104</v>
      </c>
      <c r="P796">
        <v>43890</v>
      </c>
      <c r="Q796">
        <v>476360</v>
      </c>
      <c r="R796" s="16" t="s">
        <v>8496</v>
      </c>
      <c r="S796" s="16" t="s">
        <v>8202</v>
      </c>
      <c r="T796" t="s">
        <v>7503</v>
      </c>
      <c r="U796">
        <v>1</v>
      </c>
      <c r="V796" t="s">
        <v>8656</v>
      </c>
      <c r="W796" t="s">
        <v>104</v>
      </c>
      <c r="X796" t="s">
        <v>8660</v>
      </c>
      <c r="Y796">
        <f t="shared" si="25"/>
        <v>1</v>
      </c>
    </row>
    <row r="797" spans="1:25" hidden="1">
      <c r="A797" t="s">
        <v>7516</v>
      </c>
      <c r="B797" t="s">
        <v>4738</v>
      </c>
      <c r="C797">
        <v>1280</v>
      </c>
      <c r="D797">
        <v>13</v>
      </c>
      <c r="E797" t="s">
        <v>1444</v>
      </c>
      <c r="F797" t="s">
        <v>4827</v>
      </c>
      <c r="H797" t="s">
        <v>1989</v>
      </c>
      <c r="J797" t="s">
        <v>8837</v>
      </c>
      <c r="L797">
        <f t="shared" si="24"/>
        <v>0</v>
      </c>
      <c r="R797" s="16" t="s">
        <v>8064</v>
      </c>
      <c r="S797" s="16" t="s">
        <v>8064</v>
      </c>
      <c r="T797" t="s">
        <v>7860</v>
      </c>
      <c r="U797">
        <v>1</v>
      </c>
      <c r="V797" t="s">
        <v>8655</v>
      </c>
      <c r="X797" t="s">
        <v>8660</v>
      </c>
      <c r="Y797">
        <f t="shared" si="25"/>
        <v>0</v>
      </c>
    </row>
    <row r="798" spans="1:25" hidden="1">
      <c r="A798" t="s">
        <v>7517</v>
      </c>
      <c r="B798" t="s">
        <v>4715</v>
      </c>
      <c r="C798">
        <v>1282</v>
      </c>
      <c r="D798">
        <v>13</v>
      </c>
      <c r="E798" t="s">
        <v>1444</v>
      </c>
      <c r="F798" t="s">
        <v>4827</v>
      </c>
      <c r="H798" t="s">
        <v>1989</v>
      </c>
      <c r="J798" t="s">
        <v>8837</v>
      </c>
      <c r="L798">
        <f t="shared" si="24"/>
        <v>0</v>
      </c>
      <c r="R798" s="16" t="s">
        <v>8064</v>
      </c>
      <c r="S798" s="16" t="s">
        <v>8064</v>
      </c>
      <c r="T798" t="s">
        <v>7860</v>
      </c>
      <c r="U798">
        <v>1</v>
      </c>
      <c r="V798" t="s">
        <v>8655</v>
      </c>
      <c r="X798" t="s">
        <v>8660</v>
      </c>
      <c r="Y798">
        <f t="shared" si="25"/>
        <v>0</v>
      </c>
    </row>
    <row r="799" spans="1:25" hidden="1">
      <c r="A799" t="s">
        <v>7480</v>
      </c>
      <c r="B799" t="s">
        <v>773</v>
      </c>
      <c r="C799">
        <v>1284</v>
      </c>
      <c r="D799">
        <v>13</v>
      </c>
      <c r="E799" t="s">
        <v>4502</v>
      </c>
      <c r="F799" t="s">
        <v>4827</v>
      </c>
      <c r="H799" t="s">
        <v>2013</v>
      </c>
      <c r="J799" t="s">
        <v>8668</v>
      </c>
      <c r="L799">
        <f t="shared" si="24"/>
        <v>1</v>
      </c>
      <c r="M799" t="s">
        <v>4502</v>
      </c>
      <c r="N799" t="s">
        <v>6456</v>
      </c>
      <c r="O799" t="s">
        <v>104</v>
      </c>
      <c r="P799">
        <v>23522</v>
      </c>
      <c r="Q799">
        <v>488566</v>
      </c>
      <c r="R799" s="16" t="s">
        <v>8364</v>
      </c>
      <c r="S799" s="16" t="s">
        <v>8069</v>
      </c>
      <c r="T799" t="s">
        <v>7480</v>
      </c>
      <c r="U799">
        <v>0</v>
      </c>
      <c r="V799" t="s">
        <v>8654</v>
      </c>
      <c r="W799" t="s">
        <v>104</v>
      </c>
      <c r="X799" t="s">
        <v>8660</v>
      </c>
      <c r="Y799">
        <f t="shared" si="25"/>
        <v>1</v>
      </c>
    </row>
    <row r="800" spans="1:25" hidden="1">
      <c r="A800" t="s">
        <v>7515</v>
      </c>
      <c r="B800" t="s">
        <v>773</v>
      </c>
      <c r="C800">
        <v>1284</v>
      </c>
      <c r="D800">
        <v>13</v>
      </c>
      <c r="E800" t="s">
        <v>1444</v>
      </c>
      <c r="F800" t="s">
        <v>4827</v>
      </c>
      <c r="H800" t="s">
        <v>2013</v>
      </c>
      <c r="J800" t="s">
        <v>8668</v>
      </c>
      <c r="L800">
        <f t="shared" si="24"/>
        <v>0</v>
      </c>
      <c r="R800" s="16" t="s">
        <v>8064</v>
      </c>
      <c r="S800" s="16" t="s">
        <v>8064</v>
      </c>
      <c r="T800" t="s">
        <v>7515</v>
      </c>
      <c r="U800">
        <v>0</v>
      </c>
      <c r="V800" t="s">
        <v>8655</v>
      </c>
      <c r="X800" t="s">
        <v>8660</v>
      </c>
      <c r="Y800">
        <f t="shared" si="25"/>
        <v>0</v>
      </c>
    </row>
    <row r="801" spans="1:25" hidden="1">
      <c r="A801" t="s">
        <v>7630</v>
      </c>
      <c r="B801" t="s">
        <v>773</v>
      </c>
      <c r="C801">
        <v>1284</v>
      </c>
      <c r="D801">
        <v>13</v>
      </c>
      <c r="E801" t="s">
        <v>1444</v>
      </c>
      <c r="F801" t="s">
        <v>4827</v>
      </c>
      <c r="H801" t="s">
        <v>2014</v>
      </c>
      <c r="J801" t="s">
        <v>8668</v>
      </c>
      <c r="L801">
        <f t="shared" si="24"/>
        <v>0</v>
      </c>
      <c r="R801" s="16" t="s">
        <v>8064</v>
      </c>
      <c r="S801" s="16" t="s">
        <v>8064</v>
      </c>
      <c r="T801" t="s">
        <v>7630</v>
      </c>
      <c r="U801">
        <v>0</v>
      </c>
      <c r="V801" t="s">
        <v>8655</v>
      </c>
      <c r="X801" t="s">
        <v>8660</v>
      </c>
      <c r="Y801">
        <f t="shared" si="25"/>
        <v>0</v>
      </c>
    </row>
    <row r="802" spans="1:25" hidden="1">
      <c r="A802" t="s">
        <v>7629</v>
      </c>
      <c r="B802" t="s">
        <v>4613</v>
      </c>
      <c r="C802">
        <v>1291</v>
      </c>
      <c r="D802">
        <v>13</v>
      </c>
      <c r="E802" t="s">
        <v>1444</v>
      </c>
      <c r="F802" t="s">
        <v>4827</v>
      </c>
      <c r="H802" t="s">
        <v>2014</v>
      </c>
      <c r="J802" t="s">
        <v>8668</v>
      </c>
      <c r="L802">
        <f t="shared" si="24"/>
        <v>0</v>
      </c>
      <c r="R802" s="16" t="s">
        <v>8064</v>
      </c>
      <c r="S802" s="16" t="s">
        <v>8064</v>
      </c>
      <c r="T802" t="s">
        <v>7629</v>
      </c>
      <c r="U802">
        <v>0</v>
      </c>
      <c r="V802" t="s">
        <v>8655</v>
      </c>
      <c r="X802" t="s">
        <v>8660</v>
      </c>
      <c r="Y802">
        <f t="shared" si="25"/>
        <v>0</v>
      </c>
    </row>
    <row r="803" spans="1:25" hidden="1">
      <c r="A803" t="s">
        <v>7481</v>
      </c>
      <c r="B803" t="s">
        <v>4840</v>
      </c>
      <c r="C803">
        <v>1288</v>
      </c>
      <c r="D803">
        <v>13</v>
      </c>
      <c r="E803" t="s">
        <v>4502</v>
      </c>
      <c r="F803" t="s">
        <v>4827</v>
      </c>
      <c r="H803" t="s">
        <v>2015</v>
      </c>
      <c r="J803" t="s">
        <v>9074</v>
      </c>
      <c r="L803">
        <f t="shared" si="24"/>
        <v>1</v>
      </c>
      <c r="M803" t="s">
        <v>4502</v>
      </c>
      <c r="N803" t="s">
        <v>6456</v>
      </c>
      <c r="O803" t="s">
        <v>104</v>
      </c>
      <c r="P803">
        <v>23522</v>
      </c>
      <c r="Q803">
        <v>488566</v>
      </c>
      <c r="R803" s="16" t="s">
        <v>8364</v>
      </c>
      <c r="S803" s="16" t="s">
        <v>8069</v>
      </c>
      <c r="T803" t="s">
        <v>7481</v>
      </c>
      <c r="U803">
        <v>1</v>
      </c>
      <c r="V803" t="s">
        <v>8656</v>
      </c>
      <c r="W803" t="s">
        <v>104</v>
      </c>
      <c r="X803" t="s">
        <v>8660</v>
      </c>
      <c r="Y803">
        <f t="shared" si="25"/>
        <v>1</v>
      </c>
    </row>
    <row r="804" spans="1:25" hidden="1">
      <c r="A804" t="s">
        <v>7634</v>
      </c>
      <c r="B804" t="s">
        <v>4354</v>
      </c>
      <c r="C804">
        <v>1289</v>
      </c>
      <c r="D804">
        <v>13</v>
      </c>
      <c r="E804" t="s">
        <v>1444</v>
      </c>
      <c r="F804" t="s">
        <v>4827</v>
      </c>
      <c r="H804" t="s">
        <v>2015</v>
      </c>
      <c r="J804" t="s">
        <v>8668</v>
      </c>
      <c r="L804">
        <f t="shared" si="24"/>
        <v>0</v>
      </c>
      <c r="R804" s="16" t="s">
        <v>8064</v>
      </c>
      <c r="S804" s="16" t="s">
        <v>8064</v>
      </c>
      <c r="T804" t="s">
        <v>7862</v>
      </c>
      <c r="U804">
        <v>0</v>
      </c>
      <c r="V804" t="s">
        <v>8655</v>
      </c>
      <c r="X804" t="s">
        <v>8660</v>
      </c>
      <c r="Y804">
        <f t="shared" si="25"/>
        <v>0</v>
      </c>
    </row>
    <row r="805" spans="1:25" hidden="1">
      <c r="A805" t="s">
        <v>7632</v>
      </c>
      <c r="B805" t="s">
        <v>4809</v>
      </c>
      <c r="C805">
        <v>1290</v>
      </c>
      <c r="D805">
        <v>13</v>
      </c>
      <c r="E805" t="s">
        <v>1444</v>
      </c>
      <c r="F805" t="s">
        <v>4827</v>
      </c>
      <c r="H805" t="s">
        <v>2016</v>
      </c>
      <c r="J805" t="s">
        <v>8668</v>
      </c>
      <c r="L805">
        <f t="shared" si="24"/>
        <v>0</v>
      </c>
      <c r="R805" s="16" t="s">
        <v>8064</v>
      </c>
      <c r="S805" s="16" t="s">
        <v>8064</v>
      </c>
      <c r="T805" t="s">
        <v>7861</v>
      </c>
      <c r="U805">
        <v>0</v>
      </c>
      <c r="V805" t="s">
        <v>8655</v>
      </c>
      <c r="X805" t="s">
        <v>8660</v>
      </c>
      <c r="Y805">
        <f t="shared" si="25"/>
        <v>0</v>
      </c>
    </row>
    <row r="806" spans="1:25" hidden="1">
      <c r="A806" t="s">
        <v>7432</v>
      </c>
      <c r="B806" t="s">
        <v>4676</v>
      </c>
      <c r="C806">
        <v>907</v>
      </c>
      <c r="D806">
        <v>10</v>
      </c>
      <c r="E806" t="s">
        <v>4677</v>
      </c>
      <c r="F806" t="s">
        <v>4868</v>
      </c>
      <c r="H806" t="s">
        <v>4887</v>
      </c>
      <c r="J806" t="s">
        <v>8668</v>
      </c>
      <c r="L806">
        <f t="shared" si="24"/>
        <v>1</v>
      </c>
      <c r="M806" t="s">
        <v>4677</v>
      </c>
      <c r="N806" t="s">
        <v>6308</v>
      </c>
      <c r="O806" t="s">
        <v>104</v>
      </c>
      <c r="P806">
        <v>41660</v>
      </c>
      <c r="Q806">
        <v>475480</v>
      </c>
      <c r="R806" s="16" t="s">
        <v>8448</v>
      </c>
      <c r="S806" s="16" t="s">
        <v>8191</v>
      </c>
      <c r="T806" t="s">
        <v>7432</v>
      </c>
      <c r="U806">
        <v>0</v>
      </c>
      <c r="V806" t="s">
        <v>8656</v>
      </c>
      <c r="W806" t="s">
        <v>104</v>
      </c>
      <c r="X806" t="s">
        <v>8660</v>
      </c>
      <c r="Y806">
        <f t="shared" si="25"/>
        <v>1</v>
      </c>
    </row>
    <row r="807" spans="1:25" hidden="1">
      <c r="A807" t="s">
        <v>7496</v>
      </c>
      <c r="B807" t="s">
        <v>4360</v>
      </c>
      <c r="C807">
        <v>957</v>
      </c>
      <c r="D807">
        <v>10</v>
      </c>
      <c r="E807" t="s">
        <v>4361</v>
      </c>
      <c r="F807" t="s">
        <v>4827</v>
      </c>
      <c r="H807" t="s">
        <v>1964</v>
      </c>
      <c r="J807" t="s">
        <v>8668</v>
      </c>
      <c r="L807">
        <f t="shared" si="24"/>
        <v>1</v>
      </c>
      <c r="M807" t="s">
        <v>6424</v>
      </c>
      <c r="N807" t="s">
        <v>6401</v>
      </c>
      <c r="O807" t="s">
        <v>104</v>
      </c>
      <c r="P807" t="s">
        <v>6425</v>
      </c>
      <c r="Q807">
        <v>494260</v>
      </c>
      <c r="R807" s="16" t="s">
        <v>8486</v>
      </c>
      <c r="S807" s="16" t="s">
        <v>8190</v>
      </c>
      <c r="T807" t="s">
        <v>7496</v>
      </c>
      <c r="U807">
        <v>0</v>
      </c>
      <c r="V807" t="s">
        <v>8654</v>
      </c>
      <c r="W807" t="s">
        <v>104</v>
      </c>
      <c r="X807" t="s">
        <v>8660</v>
      </c>
      <c r="Y807">
        <f t="shared" si="25"/>
        <v>1</v>
      </c>
    </row>
    <row r="808" spans="1:25" hidden="1">
      <c r="A808" t="s">
        <v>7471</v>
      </c>
      <c r="B808" t="s">
        <v>4767</v>
      </c>
      <c r="C808">
        <v>974</v>
      </c>
      <c r="D808">
        <v>10</v>
      </c>
      <c r="E808" t="s">
        <v>4365</v>
      </c>
      <c r="F808" t="s">
        <v>4827</v>
      </c>
      <c r="H808" t="s">
        <v>1964</v>
      </c>
      <c r="J808" t="s">
        <v>9075</v>
      </c>
      <c r="L808">
        <f t="shared" si="24"/>
        <v>1</v>
      </c>
      <c r="M808" t="s">
        <v>6758</v>
      </c>
      <c r="N808" t="s">
        <v>6759</v>
      </c>
      <c r="O808" t="s">
        <v>104</v>
      </c>
      <c r="P808" t="s">
        <v>6760</v>
      </c>
      <c r="Q808" t="s">
        <v>6761</v>
      </c>
      <c r="R808" s="16" t="s">
        <v>8483</v>
      </c>
      <c r="S808" s="16" t="s">
        <v>8188</v>
      </c>
      <c r="T808" t="s">
        <v>7853</v>
      </c>
      <c r="U808">
        <v>1</v>
      </c>
      <c r="V808" t="s">
        <v>8656</v>
      </c>
      <c r="W808" t="s">
        <v>104</v>
      </c>
      <c r="X808" t="s">
        <v>8660</v>
      </c>
      <c r="Y808">
        <f t="shared" si="25"/>
        <v>1</v>
      </c>
    </row>
    <row r="809" spans="1:25" hidden="1">
      <c r="A809" t="s">
        <v>7464</v>
      </c>
      <c r="B809" t="s">
        <v>4375</v>
      </c>
      <c r="C809">
        <v>996</v>
      </c>
      <c r="D809">
        <v>10</v>
      </c>
      <c r="E809" t="s">
        <v>4365</v>
      </c>
      <c r="F809" t="s">
        <v>4827</v>
      </c>
      <c r="H809" t="s">
        <v>1966</v>
      </c>
      <c r="J809" t="s">
        <v>8668</v>
      </c>
      <c r="L809">
        <f t="shared" si="24"/>
        <v>1</v>
      </c>
      <c r="M809" t="s">
        <v>6758</v>
      </c>
      <c r="N809" t="s">
        <v>6759</v>
      </c>
      <c r="O809" t="s">
        <v>104</v>
      </c>
      <c r="P809" t="s">
        <v>6760</v>
      </c>
      <c r="Q809" t="s">
        <v>6761</v>
      </c>
      <c r="R809" s="16" t="s">
        <v>8483</v>
      </c>
      <c r="S809" s="16" t="s">
        <v>8188</v>
      </c>
      <c r="T809" t="s">
        <v>7464</v>
      </c>
      <c r="U809">
        <v>0</v>
      </c>
      <c r="V809" t="s">
        <v>8654</v>
      </c>
      <c r="W809" t="s">
        <v>104</v>
      </c>
      <c r="X809" t="s">
        <v>8660</v>
      </c>
      <c r="Y809">
        <f t="shared" si="25"/>
        <v>1</v>
      </c>
    </row>
    <row r="810" spans="1:25" hidden="1">
      <c r="A810" t="s">
        <v>7487</v>
      </c>
      <c r="B810" t="s">
        <v>4842</v>
      </c>
      <c r="C810">
        <v>1000</v>
      </c>
      <c r="D810">
        <v>11</v>
      </c>
      <c r="E810" t="s">
        <v>4366</v>
      </c>
      <c r="F810" t="s">
        <v>4827</v>
      </c>
      <c r="H810" t="s">
        <v>1967</v>
      </c>
      <c r="J810" t="s">
        <v>9076</v>
      </c>
      <c r="L810">
        <f t="shared" si="24"/>
        <v>1</v>
      </c>
      <c r="M810" t="s">
        <v>6646</v>
      </c>
      <c r="N810" t="s">
        <v>6647</v>
      </c>
      <c r="O810" t="s">
        <v>104</v>
      </c>
      <c r="P810" t="s">
        <v>6648</v>
      </c>
      <c r="Q810" t="s">
        <v>6649</v>
      </c>
      <c r="R810" s="16" t="s">
        <v>8485</v>
      </c>
      <c r="S810" s="16" t="s">
        <v>8189</v>
      </c>
      <c r="T810" t="s">
        <v>7857</v>
      </c>
      <c r="U810">
        <v>1</v>
      </c>
      <c r="V810" t="s">
        <v>8656</v>
      </c>
      <c r="W810" t="s">
        <v>104</v>
      </c>
      <c r="X810" t="s">
        <v>8660</v>
      </c>
      <c r="Y810">
        <f t="shared" si="25"/>
        <v>1</v>
      </c>
    </row>
    <row r="811" spans="1:25" hidden="1">
      <c r="A811" t="s">
        <v>7490</v>
      </c>
      <c r="B811" t="s">
        <v>4842</v>
      </c>
      <c r="C811">
        <v>1000</v>
      </c>
      <c r="D811">
        <v>11</v>
      </c>
      <c r="E811" t="s">
        <v>4366</v>
      </c>
      <c r="F811" t="s">
        <v>4827</v>
      </c>
      <c r="H811" t="s">
        <v>1967</v>
      </c>
      <c r="J811" t="s">
        <v>9077</v>
      </c>
      <c r="L811">
        <f t="shared" si="24"/>
        <v>1</v>
      </c>
      <c r="M811" t="s">
        <v>6646</v>
      </c>
      <c r="N811" t="s">
        <v>6647</v>
      </c>
      <c r="O811" t="s">
        <v>104</v>
      </c>
      <c r="P811" t="s">
        <v>6648</v>
      </c>
      <c r="Q811" t="s">
        <v>6649</v>
      </c>
      <c r="R811" s="16" t="s">
        <v>8485</v>
      </c>
      <c r="S811" s="16" t="s">
        <v>8189</v>
      </c>
      <c r="T811" t="s">
        <v>7490</v>
      </c>
      <c r="U811">
        <v>1</v>
      </c>
      <c r="V811" t="s">
        <v>8656</v>
      </c>
      <c r="W811" t="s">
        <v>104</v>
      </c>
      <c r="X811" t="s">
        <v>8660</v>
      </c>
      <c r="Y811">
        <f t="shared" si="25"/>
        <v>1</v>
      </c>
    </row>
    <row r="812" spans="1:25" hidden="1">
      <c r="A812" t="s">
        <v>7488</v>
      </c>
      <c r="B812" t="s">
        <v>4843</v>
      </c>
      <c r="C812">
        <v>1117</v>
      </c>
      <c r="D812">
        <v>12</v>
      </c>
      <c r="E812" t="s">
        <v>4366</v>
      </c>
      <c r="F812" t="s">
        <v>4827</v>
      </c>
      <c r="H812" t="s">
        <v>1967</v>
      </c>
      <c r="J812" t="s">
        <v>9076</v>
      </c>
      <c r="L812">
        <f t="shared" si="24"/>
        <v>1</v>
      </c>
      <c r="M812" t="s">
        <v>6646</v>
      </c>
      <c r="N812" t="s">
        <v>6647</v>
      </c>
      <c r="O812" t="s">
        <v>104</v>
      </c>
      <c r="P812" t="s">
        <v>6648</v>
      </c>
      <c r="Q812" t="s">
        <v>6649</v>
      </c>
      <c r="R812" s="16" t="s">
        <v>8485</v>
      </c>
      <c r="S812" s="16" t="s">
        <v>8189</v>
      </c>
      <c r="T812" t="s">
        <v>7857</v>
      </c>
      <c r="U812">
        <v>1</v>
      </c>
      <c r="V812" t="s">
        <v>8656</v>
      </c>
      <c r="W812" t="s">
        <v>104</v>
      </c>
      <c r="X812" t="s">
        <v>8660</v>
      </c>
      <c r="Y812">
        <f t="shared" si="25"/>
        <v>1</v>
      </c>
    </row>
    <row r="813" spans="1:25" hidden="1">
      <c r="A813" t="s">
        <v>7489</v>
      </c>
      <c r="B813" t="s">
        <v>4842</v>
      </c>
      <c r="C813">
        <v>1000</v>
      </c>
      <c r="D813">
        <v>11</v>
      </c>
      <c r="E813" t="s">
        <v>4366</v>
      </c>
      <c r="F813" t="s">
        <v>4827</v>
      </c>
      <c r="H813" t="s">
        <v>1968</v>
      </c>
      <c r="J813" t="s">
        <v>9078</v>
      </c>
      <c r="L813">
        <f t="shared" si="24"/>
        <v>1</v>
      </c>
      <c r="M813" t="s">
        <v>6646</v>
      </c>
      <c r="N813" t="s">
        <v>6647</v>
      </c>
      <c r="O813" t="s">
        <v>104</v>
      </c>
      <c r="P813" t="s">
        <v>6648</v>
      </c>
      <c r="Q813" t="s">
        <v>6649</v>
      </c>
      <c r="R813" s="16" t="s">
        <v>8485</v>
      </c>
      <c r="S813" s="16" t="s">
        <v>8189</v>
      </c>
      <c r="T813" t="s">
        <v>7858</v>
      </c>
      <c r="U813">
        <v>1</v>
      </c>
      <c r="V813" t="s">
        <v>8656</v>
      </c>
      <c r="W813" t="s">
        <v>104</v>
      </c>
      <c r="X813" t="s">
        <v>8660</v>
      </c>
      <c r="Y813">
        <f t="shared" si="25"/>
        <v>1</v>
      </c>
    </row>
    <row r="814" spans="1:25" hidden="1">
      <c r="A814" t="s">
        <v>7625</v>
      </c>
      <c r="B814" t="s">
        <v>4842</v>
      </c>
      <c r="C814">
        <v>1000</v>
      </c>
      <c r="D814">
        <v>11</v>
      </c>
      <c r="E814" t="s">
        <v>1444</v>
      </c>
      <c r="F814" t="s">
        <v>4827</v>
      </c>
      <c r="H814" t="s">
        <v>1968</v>
      </c>
      <c r="J814" t="s">
        <v>8839</v>
      </c>
      <c r="L814">
        <f t="shared" si="24"/>
        <v>0</v>
      </c>
      <c r="R814" s="16" t="s">
        <v>8064</v>
      </c>
      <c r="S814" s="16" t="s">
        <v>8064</v>
      </c>
      <c r="T814" t="s">
        <v>7625</v>
      </c>
      <c r="U814">
        <v>1</v>
      </c>
      <c r="V814" t="s">
        <v>8655</v>
      </c>
      <c r="X814" t="s">
        <v>8660</v>
      </c>
      <c r="Y814">
        <f t="shared" si="25"/>
        <v>0</v>
      </c>
    </row>
    <row r="815" spans="1:25" hidden="1">
      <c r="A815" t="s">
        <v>7476</v>
      </c>
      <c r="B815" t="s">
        <v>4845</v>
      </c>
      <c r="C815">
        <v>1003</v>
      </c>
      <c r="D815">
        <v>11</v>
      </c>
      <c r="E815" t="s">
        <v>4365</v>
      </c>
      <c r="F815" t="s">
        <v>4827</v>
      </c>
      <c r="H815" t="s">
        <v>1969</v>
      </c>
      <c r="J815" t="s">
        <v>8668</v>
      </c>
      <c r="L815">
        <f t="shared" si="24"/>
        <v>1</v>
      </c>
      <c r="M815" t="s">
        <v>6758</v>
      </c>
      <c r="N815" t="s">
        <v>6759</v>
      </c>
      <c r="O815" t="s">
        <v>104</v>
      </c>
      <c r="P815" t="s">
        <v>6760</v>
      </c>
      <c r="Q815" t="s">
        <v>6761</v>
      </c>
      <c r="R815" s="16" t="s">
        <v>8483</v>
      </c>
      <c r="S815" s="16" t="s">
        <v>8188</v>
      </c>
      <c r="T815" t="s">
        <v>7854</v>
      </c>
      <c r="U815">
        <v>0</v>
      </c>
      <c r="V815" t="s">
        <v>8654</v>
      </c>
      <c r="W815" t="s">
        <v>104</v>
      </c>
      <c r="X815" t="s">
        <v>8660</v>
      </c>
      <c r="Y815">
        <f t="shared" si="25"/>
        <v>1</v>
      </c>
    </row>
    <row r="816" spans="1:25" hidden="1">
      <c r="A816" t="s">
        <v>7500</v>
      </c>
      <c r="B816" t="s">
        <v>4388</v>
      </c>
      <c r="C816">
        <v>1021</v>
      </c>
      <c r="D816">
        <v>11</v>
      </c>
      <c r="E816" t="s">
        <v>4361</v>
      </c>
      <c r="F816" t="s">
        <v>4827</v>
      </c>
      <c r="H816" t="s">
        <v>1969</v>
      </c>
      <c r="J816" t="s">
        <v>8668</v>
      </c>
      <c r="L816">
        <f t="shared" si="24"/>
        <v>1</v>
      </c>
      <c r="M816" t="s">
        <v>6424</v>
      </c>
      <c r="N816" t="s">
        <v>6401</v>
      </c>
      <c r="O816" t="s">
        <v>104</v>
      </c>
      <c r="P816" t="s">
        <v>6425</v>
      </c>
      <c r="Q816">
        <v>494260</v>
      </c>
      <c r="R816" s="16" t="s">
        <v>8486</v>
      </c>
      <c r="S816" s="16" t="s">
        <v>8190</v>
      </c>
      <c r="T816" t="s">
        <v>7500</v>
      </c>
      <c r="U816">
        <v>0</v>
      </c>
      <c r="V816" t="s">
        <v>8654</v>
      </c>
      <c r="W816" t="s">
        <v>104</v>
      </c>
      <c r="X816" t="s">
        <v>8660</v>
      </c>
      <c r="Y816">
        <f t="shared" si="25"/>
        <v>1</v>
      </c>
    </row>
    <row r="817" spans="1:25" hidden="1">
      <c r="A817" t="s">
        <v>7505</v>
      </c>
      <c r="B817" t="s">
        <v>4338</v>
      </c>
      <c r="C817">
        <v>1050</v>
      </c>
      <c r="D817">
        <v>11</v>
      </c>
      <c r="E817" t="s">
        <v>4399</v>
      </c>
      <c r="F817" t="s">
        <v>4827</v>
      </c>
      <c r="H817" t="s">
        <v>1971</v>
      </c>
      <c r="J817" t="s">
        <v>8668</v>
      </c>
      <c r="L817">
        <f t="shared" si="24"/>
        <v>1</v>
      </c>
      <c r="M817" t="s">
        <v>6400</v>
      </c>
      <c r="N817" t="s">
        <v>6401</v>
      </c>
      <c r="O817" t="s">
        <v>104</v>
      </c>
      <c r="P817" t="s">
        <v>6402</v>
      </c>
      <c r="Q817">
        <v>497560</v>
      </c>
      <c r="R817" s="16" t="s">
        <v>8497</v>
      </c>
      <c r="S817" s="16" t="s">
        <v>8203</v>
      </c>
      <c r="T817" t="s">
        <v>7505</v>
      </c>
      <c r="U817">
        <v>0</v>
      </c>
      <c r="V817" t="s">
        <v>8654</v>
      </c>
      <c r="W817" t="s">
        <v>104</v>
      </c>
      <c r="X817" t="s">
        <v>8660</v>
      </c>
      <c r="Y817">
        <f t="shared" si="25"/>
        <v>1</v>
      </c>
    </row>
    <row r="818" spans="1:25" hidden="1">
      <c r="A818" t="s">
        <v>7457</v>
      </c>
      <c r="B818" t="s">
        <v>4337</v>
      </c>
      <c r="C818">
        <v>1043</v>
      </c>
      <c r="D818">
        <v>11</v>
      </c>
      <c r="E818" t="s">
        <v>4398</v>
      </c>
      <c r="F818" t="s">
        <v>4827</v>
      </c>
      <c r="H818" t="s">
        <v>1970</v>
      </c>
      <c r="J818" t="s">
        <v>8668</v>
      </c>
      <c r="L818">
        <f t="shared" si="24"/>
        <v>1</v>
      </c>
      <c r="M818" t="s">
        <v>6790</v>
      </c>
      <c r="N818" t="s">
        <v>6322</v>
      </c>
      <c r="O818" t="s">
        <v>104</v>
      </c>
      <c r="P818" t="s">
        <v>6791</v>
      </c>
      <c r="Q818" t="s">
        <v>6792</v>
      </c>
      <c r="R818" s="16" t="s">
        <v>8490</v>
      </c>
      <c r="S818" s="16" t="s">
        <v>8196</v>
      </c>
      <c r="T818" t="s">
        <v>7457</v>
      </c>
      <c r="U818">
        <v>0</v>
      </c>
      <c r="V818" t="s">
        <v>8654</v>
      </c>
      <c r="W818" t="s">
        <v>104</v>
      </c>
      <c r="X818" t="s">
        <v>8660</v>
      </c>
      <c r="Y818">
        <f t="shared" si="25"/>
        <v>1</v>
      </c>
    </row>
    <row r="819" spans="1:25" hidden="1">
      <c r="A819" t="s">
        <v>7511</v>
      </c>
      <c r="B819" t="s">
        <v>4846</v>
      </c>
      <c r="C819">
        <v>1060</v>
      </c>
      <c r="D819">
        <v>11</v>
      </c>
      <c r="E819" t="s">
        <v>4417</v>
      </c>
      <c r="F819" t="s">
        <v>4827</v>
      </c>
      <c r="H819" t="s">
        <v>1983</v>
      </c>
      <c r="J819" t="s">
        <v>8668</v>
      </c>
      <c r="L819">
        <f t="shared" si="24"/>
        <v>1</v>
      </c>
      <c r="M819" t="s">
        <v>4417</v>
      </c>
      <c r="N819" t="s">
        <v>6296</v>
      </c>
      <c r="O819" t="s">
        <v>104</v>
      </c>
      <c r="P819" t="s">
        <v>6297</v>
      </c>
      <c r="Q819">
        <v>474784</v>
      </c>
      <c r="R819" s="16" t="s">
        <v>6297</v>
      </c>
      <c r="S819" s="16" t="s">
        <v>8193</v>
      </c>
      <c r="T819" t="s">
        <v>7511</v>
      </c>
      <c r="U819">
        <v>0</v>
      </c>
      <c r="V819" t="s">
        <v>8654</v>
      </c>
      <c r="W819" t="s">
        <v>104</v>
      </c>
      <c r="X819" t="s">
        <v>8660</v>
      </c>
      <c r="Y819">
        <f t="shared" si="25"/>
        <v>1</v>
      </c>
    </row>
    <row r="820" spans="1:25" hidden="1">
      <c r="A820" t="s">
        <v>7507</v>
      </c>
      <c r="B820" t="s">
        <v>4339</v>
      </c>
      <c r="C820">
        <v>1074</v>
      </c>
      <c r="D820">
        <v>11</v>
      </c>
      <c r="E820" t="s">
        <v>4422</v>
      </c>
      <c r="F820" t="s">
        <v>4827</v>
      </c>
      <c r="H820" t="s">
        <v>1983</v>
      </c>
      <c r="J820" t="s">
        <v>9079</v>
      </c>
      <c r="L820">
        <f t="shared" si="24"/>
        <v>1</v>
      </c>
      <c r="M820" t="s">
        <v>4422</v>
      </c>
      <c r="N820" t="s">
        <v>6296</v>
      </c>
      <c r="O820" t="s">
        <v>104</v>
      </c>
      <c r="P820" t="s">
        <v>6297</v>
      </c>
      <c r="Q820">
        <v>474784</v>
      </c>
      <c r="R820" s="16" t="s">
        <v>6297</v>
      </c>
      <c r="S820" s="16" t="s">
        <v>8193</v>
      </c>
      <c r="T820" t="s">
        <v>7507</v>
      </c>
      <c r="U820">
        <v>1</v>
      </c>
      <c r="V820" t="s">
        <v>8656</v>
      </c>
      <c r="W820" t="s">
        <v>104</v>
      </c>
      <c r="X820" t="s">
        <v>8660</v>
      </c>
      <c r="Y820">
        <f t="shared" si="25"/>
        <v>1</v>
      </c>
    </row>
    <row r="821" spans="1:25" hidden="1">
      <c r="A821" t="s">
        <v>7435</v>
      </c>
      <c r="B821" t="s">
        <v>4465</v>
      </c>
      <c r="C821">
        <v>1145</v>
      </c>
      <c r="D821">
        <v>12</v>
      </c>
      <c r="E821" t="s">
        <v>4417</v>
      </c>
      <c r="F821" t="s">
        <v>4868</v>
      </c>
      <c r="H821" t="s">
        <v>1975</v>
      </c>
      <c r="J821" t="s">
        <v>8668</v>
      </c>
      <c r="L821">
        <f t="shared" si="24"/>
        <v>1</v>
      </c>
      <c r="M821" t="s">
        <v>4417</v>
      </c>
      <c r="N821" t="s">
        <v>6296</v>
      </c>
      <c r="O821" t="s">
        <v>104</v>
      </c>
      <c r="P821" t="s">
        <v>6297</v>
      </c>
      <c r="Q821">
        <v>474784</v>
      </c>
      <c r="R821" s="16" t="s">
        <v>6297</v>
      </c>
      <c r="S821" s="16" t="s">
        <v>8193</v>
      </c>
      <c r="T821" t="s">
        <v>7435</v>
      </c>
      <c r="U821">
        <v>0</v>
      </c>
      <c r="V821" t="s">
        <v>8654</v>
      </c>
      <c r="W821" t="s">
        <v>104</v>
      </c>
      <c r="X821" t="s">
        <v>8660</v>
      </c>
      <c r="Y821">
        <f t="shared" si="25"/>
        <v>1</v>
      </c>
    </row>
    <row r="822" spans="1:25" hidden="1">
      <c r="A822" t="s">
        <v>7479</v>
      </c>
      <c r="B822" t="s">
        <v>4847</v>
      </c>
      <c r="C822">
        <v>1140</v>
      </c>
      <c r="D822">
        <v>12</v>
      </c>
      <c r="E822" t="s">
        <v>4466</v>
      </c>
      <c r="F822" t="s">
        <v>4827</v>
      </c>
      <c r="H822" t="s">
        <v>1975</v>
      </c>
      <c r="J822" t="s">
        <v>9080</v>
      </c>
      <c r="L822">
        <f t="shared" si="24"/>
        <v>1</v>
      </c>
      <c r="M822" t="s">
        <v>6703</v>
      </c>
      <c r="N822" t="s">
        <v>6704</v>
      </c>
      <c r="O822" t="s">
        <v>104</v>
      </c>
      <c r="P822" t="s">
        <v>6705</v>
      </c>
      <c r="Q822" t="s">
        <v>6706</v>
      </c>
      <c r="R822" s="16" t="s">
        <v>8491</v>
      </c>
      <c r="S822" s="16" t="s">
        <v>8197</v>
      </c>
      <c r="T822" t="s">
        <v>7479</v>
      </c>
      <c r="U822">
        <v>1</v>
      </c>
      <c r="V822" t="s">
        <v>8656</v>
      </c>
      <c r="W822" t="s">
        <v>104</v>
      </c>
      <c r="X822" t="s">
        <v>8660</v>
      </c>
      <c r="Y822">
        <f t="shared" si="25"/>
        <v>1</v>
      </c>
    </row>
    <row r="823" spans="1:25" hidden="1">
      <c r="A823" t="s">
        <v>4905</v>
      </c>
      <c r="B823">
        <v>1144</v>
      </c>
      <c r="C823">
        <v>1144</v>
      </c>
      <c r="D823">
        <v>12</v>
      </c>
      <c r="E823" t="s">
        <v>4469</v>
      </c>
      <c r="F823" t="s">
        <v>4868</v>
      </c>
      <c r="H823" t="s">
        <v>4906</v>
      </c>
      <c r="J823" t="s">
        <v>8668</v>
      </c>
      <c r="L823">
        <f t="shared" si="24"/>
        <v>1</v>
      </c>
      <c r="M823" t="s">
        <v>4469</v>
      </c>
      <c r="N823" t="s">
        <v>6565</v>
      </c>
      <c r="O823" t="s">
        <v>104</v>
      </c>
      <c r="P823" t="s">
        <v>6781</v>
      </c>
      <c r="Q823" t="s">
        <v>6782</v>
      </c>
      <c r="R823" s="16" t="s">
        <v>8605</v>
      </c>
      <c r="S823" s="16" t="s">
        <v>8311</v>
      </c>
      <c r="T823" t="s">
        <v>4905</v>
      </c>
      <c r="U823">
        <v>0</v>
      </c>
      <c r="V823" t="s">
        <v>8654</v>
      </c>
      <c r="W823" t="s">
        <v>104</v>
      </c>
      <c r="X823" t="s">
        <v>8660</v>
      </c>
      <c r="Y823">
        <f t="shared" si="25"/>
        <v>1</v>
      </c>
    </row>
    <row r="824" spans="1:25" hidden="1">
      <c r="A824" t="s">
        <v>7635</v>
      </c>
      <c r="B824" t="s">
        <v>4484</v>
      </c>
      <c r="C824">
        <v>1162</v>
      </c>
      <c r="D824">
        <v>12</v>
      </c>
      <c r="E824" t="s">
        <v>1444</v>
      </c>
      <c r="F824" t="s">
        <v>4827</v>
      </c>
      <c r="H824" t="s">
        <v>1976</v>
      </c>
      <c r="J824" t="s">
        <v>8840</v>
      </c>
      <c r="L824">
        <f t="shared" si="24"/>
        <v>0</v>
      </c>
      <c r="R824" s="16" t="s">
        <v>8064</v>
      </c>
      <c r="S824" s="16" t="s">
        <v>8064</v>
      </c>
      <c r="T824" t="s">
        <v>7635</v>
      </c>
      <c r="U824">
        <v>1</v>
      </c>
      <c r="V824" t="s">
        <v>8655</v>
      </c>
      <c r="X824" t="s">
        <v>8660</v>
      </c>
      <c r="Y824">
        <f t="shared" si="25"/>
        <v>0</v>
      </c>
    </row>
    <row r="825" spans="1:25" hidden="1">
      <c r="A825" t="s">
        <v>7485</v>
      </c>
      <c r="B825" t="s">
        <v>4343</v>
      </c>
      <c r="C825">
        <v>1156</v>
      </c>
      <c r="D825">
        <v>12</v>
      </c>
      <c r="E825" t="s">
        <v>4366</v>
      </c>
      <c r="F825" t="s">
        <v>4827</v>
      </c>
      <c r="H825" t="s">
        <v>1977</v>
      </c>
      <c r="J825" t="s">
        <v>9081</v>
      </c>
      <c r="L825">
        <f t="shared" si="24"/>
        <v>1</v>
      </c>
      <c r="M825" t="s">
        <v>6646</v>
      </c>
      <c r="N825" t="s">
        <v>6647</v>
      </c>
      <c r="O825" t="s">
        <v>104</v>
      </c>
      <c r="P825" t="s">
        <v>6648</v>
      </c>
      <c r="Q825" t="s">
        <v>6649</v>
      </c>
      <c r="R825" s="16" t="s">
        <v>8485</v>
      </c>
      <c r="S825" s="16" t="s">
        <v>8189</v>
      </c>
      <c r="T825" t="s">
        <v>7855</v>
      </c>
      <c r="U825">
        <v>1</v>
      </c>
      <c r="V825" t="s">
        <v>8656</v>
      </c>
      <c r="W825" t="s">
        <v>104</v>
      </c>
      <c r="X825" t="s">
        <v>8660</v>
      </c>
      <c r="Y825">
        <f t="shared" si="25"/>
        <v>1</v>
      </c>
    </row>
    <row r="826" spans="1:25" hidden="1">
      <c r="A826" t="s">
        <v>7486</v>
      </c>
      <c r="B826" t="s">
        <v>4488</v>
      </c>
      <c r="C826">
        <v>1156</v>
      </c>
      <c r="D826">
        <v>12</v>
      </c>
      <c r="E826" t="s">
        <v>4366</v>
      </c>
      <c r="F826" t="s">
        <v>4827</v>
      </c>
      <c r="H826" t="s">
        <v>1977</v>
      </c>
      <c r="J826" t="s">
        <v>9082</v>
      </c>
      <c r="L826">
        <f t="shared" si="24"/>
        <v>1</v>
      </c>
      <c r="M826" t="s">
        <v>6646</v>
      </c>
      <c r="N826" t="s">
        <v>6647</v>
      </c>
      <c r="O826" t="s">
        <v>104</v>
      </c>
      <c r="P826" t="s">
        <v>6648</v>
      </c>
      <c r="Q826" t="s">
        <v>6649</v>
      </c>
      <c r="R826" s="16" t="s">
        <v>8485</v>
      </c>
      <c r="S826" s="16" t="s">
        <v>8189</v>
      </c>
      <c r="T826" t="s">
        <v>7856</v>
      </c>
      <c r="U826">
        <v>1</v>
      </c>
      <c r="V826" t="s">
        <v>8656</v>
      </c>
      <c r="W826" t="s">
        <v>104</v>
      </c>
      <c r="X826" t="s">
        <v>8660</v>
      </c>
      <c r="Y826">
        <f t="shared" si="25"/>
        <v>1</v>
      </c>
    </row>
    <row r="827" spans="1:25" hidden="1">
      <c r="A827" t="s">
        <v>7484</v>
      </c>
      <c r="B827" t="s">
        <v>4493</v>
      </c>
      <c r="C827">
        <v>1171</v>
      </c>
      <c r="D827">
        <v>12</v>
      </c>
      <c r="E827" t="s">
        <v>4366</v>
      </c>
      <c r="F827" t="s">
        <v>4827</v>
      </c>
      <c r="H827" t="s">
        <v>1977</v>
      </c>
      <c r="J827" t="s">
        <v>9081</v>
      </c>
      <c r="L827">
        <f t="shared" si="24"/>
        <v>1</v>
      </c>
      <c r="M827" t="s">
        <v>6646</v>
      </c>
      <c r="N827" t="s">
        <v>6647</v>
      </c>
      <c r="O827" t="s">
        <v>104</v>
      </c>
      <c r="P827" t="s">
        <v>6648</v>
      </c>
      <c r="Q827" t="s">
        <v>6649</v>
      </c>
      <c r="R827" s="16" t="s">
        <v>8485</v>
      </c>
      <c r="S827" s="16" t="s">
        <v>8189</v>
      </c>
      <c r="T827" t="s">
        <v>7855</v>
      </c>
      <c r="U827">
        <v>1</v>
      </c>
      <c r="V827" t="s">
        <v>8656</v>
      </c>
      <c r="W827" t="s">
        <v>104</v>
      </c>
      <c r="X827" t="s">
        <v>8660</v>
      </c>
      <c r="Y827">
        <f t="shared" si="25"/>
        <v>1</v>
      </c>
    </row>
    <row r="828" spans="1:25" hidden="1">
      <c r="A828" t="s">
        <v>7494</v>
      </c>
      <c r="B828" t="s">
        <v>4848</v>
      </c>
      <c r="C828">
        <v>1201</v>
      </c>
      <c r="D828">
        <v>13</v>
      </c>
      <c r="E828" t="s">
        <v>4400</v>
      </c>
      <c r="F828" t="s">
        <v>4827</v>
      </c>
      <c r="H828" t="s">
        <v>1981</v>
      </c>
      <c r="J828" t="s">
        <v>9083</v>
      </c>
      <c r="L828">
        <f t="shared" si="24"/>
        <v>1</v>
      </c>
      <c r="M828" t="s">
        <v>6600</v>
      </c>
      <c r="N828" t="s">
        <v>6601</v>
      </c>
      <c r="O828" t="s">
        <v>104</v>
      </c>
      <c r="P828" t="s">
        <v>6602</v>
      </c>
      <c r="Q828" t="s">
        <v>6603</v>
      </c>
      <c r="R828" s="16" t="s">
        <v>6602</v>
      </c>
      <c r="S828" s="16" t="s">
        <v>6603</v>
      </c>
      <c r="T828" t="s">
        <v>7859</v>
      </c>
      <c r="U828">
        <v>1</v>
      </c>
      <c r="V828" t="s">
        <v>8656</v>
      </c>
      <c r="W828" t="s">
        <v>104</v>
      </c>
      <c r="X828" t="s">
        <v>8660</v>
      </c>
      <c r="Y828">
        <f t="shared" si="25"/>
        <v>1</v>
      </c>
    </row>
    <row r="829" spans="1:25" hidden="1">
      <c r="A829" t="s">
        <v>7433</v>
      </c>
      <c r="B829" t="s">
        <v>4497</v>
      </c>
      <c r="C829">
        <v>1174</v>
      </c>
      <c r="D829">
        <v>12</v>
      </c>
      <c r="E829" t="s">
        <v>4498</v>
      </c>
      <c r="F829" t="s">
        <v>4868</v>
      </c>
      <c r="H829" t="s">
        <v>4907</v>
      </c>
      <c r="J829" t="s">
        <v>8668</v>
      </c>
      <c r="L829">
        <f t="shared" si="24"/>
        <v>1</v>
      </c>
      <c r="M829" t="s">
        <v>4498</v>
      </c>
      <c r="N829" t="s">
        <v>6395</v>
      </c>
      <c r="O829" t="s">
        <v>104</v>
      </c>
      <c r="P829">
        <v>11510</v>
      </c>
      <c r="Q829">
        <v>490230</v>
      </c>
      <c r="R829" s="16" t="s">
        <v>8487</v>
      </c>
      <c r="S829" s="16" t="s">
        <v>8192</v>
      </c>
      <c r="T829" t="s">
        <v>7433</v>
      </c>
      <c r="U829">
        <v>0</v>
      </c>
      <c r="V829" t="s">
        <v>8654</v>
      </c>
      <c r="W829" t="s">
        <v>104</v>
      </c>
      <c r="X829" t="s">
        <v>8660</v>
      </c>
      <c r="Y829">
        <f t="shared" si="25"/>
        <v>1</v>
      </c>
    </row>
    <row r="830" spans="1:25" hidden="1">
      <c r="A830" t="s">
        <v>7499</v>
      </c>
      <c r="B830" t="s">
        <v>4849</v>
      </c>
      <c r="C830">
        <v>1173</v>
      </c>
      <c r="D830">
        <v>12</v>
      </c>
      <c r="E830" t="s">
        <v>4361</v>
      </c>
      <c r="F830" t="s">
        <v>4827</v>
      </c>
      <c r="H830" t="s">
        <v>1979</v>
      </c>
      <c r="J830" t="s">
        <v>8668</v>
      </c>
      <c r="L830">
        <f t="shared" si="24"/>
        <v>1</v>
      </c>
      <c r="M830" t="s">
        <v>6424</v>
      </c>
      <c r="N830" t="s">
        <v>6401</v>
      </c>
      <c r="O830" t="s">
        <v>104</v>
      </c>
      <c r="P830" t="s">
        <v>6425</v>
      </c>
      <c r="Q830">
        <v>494260</v>
      </c>
      <c r="R830" s="16" t="s">
        <v>8486</v>
      </c>
      <c r="S830" s="16" t="s">
        <v>8190</v>
      </c>
      <c r="T830" t="s">
        <v>7499</v>
      </c>
      <c r="U830">
        <v>0</v>
      </c>
      <c r="V830" t="s">
        <v>8654</v>
      </c>
      <c r="W830" t="s">
        <v>104</v>
      </c>
      <c r="X830" t="s">
        <v>8660</v>
      </c>
      <c r="Y830">
        <f t="shared" si="25"/>
        <v>1</v>
      </c>
    </row>
    <row r="831" spans="1:25" hidden="1">
      <c r="A831" t="s">
        <v>7151</v>
      </c>
      <c r="B831" t="s">
        <v>477</v>
      </c>
      <c r="C831">
        <v>1212</v>
      </c>
      <c r="D831">
        <v>13</v>
      </c>
      <c r="E831" t="s">
        <v>45</v>
      </c>
      <c r="F831" t="s">
        <v>675</v>
      </c>
      <c r="G831" t="str">
        <f>VLOOKUP(TRIM(F831), [1]mss!$AA:$AA,1,0)</f>
        <v>BL I 634</v>
      </c>
      <c r="H831" t="s">
        <v>676</v>
      </c>
      <c r="J831" t="s">
        <v>8668</v>
      </c>
      <c r="L831">
        <f t="shared" si="24"/>
        <v>1</v>
      </c>
      <c r="M831" t="s">
        <v>6339</v>
      </c>
      <c r="N831" t="s">
        <v>6340</v>
      </c>
      <c r="O831" t="s">
        <v>12</v>
      </c>
      <c r="P831" t="s">
        <v>6341</v>
      </c>
      <c r="Q831">
        <v>522480</v>
      </c>
      <c r="R831" s="16" t="s">
        <v>8414</v>
      </c>
      <c r="S831" s="16" t="s">
        <v>8118</v>
      </c>
      <c r="T831" t="s">
        <v>7792</v>
      </c>
      <c r="U831">
        <v>0</v>
      </c>
      <c r="V831" t="s">
        <v>8654</v>
      </c>
      <c r="W831" t="s">
        <v>12</v>
      </c>
      <c r="X831" t="s">
        <v>8659</v>
      </c>
      <c r="Y831">
        <f t="shared" si="25"/>
        <v>1</v>
      </c>
    </row>
    <row r="832" spans="1:25" hidden="1">
      <c r="A832" t="s">
        <v>7455</v>
      </c>
      <c r="B832" t="s">
        <v>4405</v>
      </c>
      <c r="C832">
        <v>1063</v>
      </c>
      <c r="D832">
        <v>11</v>
      </c>
      <c r="E832" t="s">
        <v>4402</v>
      </c>
      <c r="F832" t="s">
        <v>4827</v>
      </c>
      <c r="H832" t="s">
        <v>1972</v>
      </c>
      <c r="J832" t="s">
        <v>8740</v>
      </c>
      <c r="L832">
        <f t="shared" si="24"/>
        <v>1</v>
      </c>
      <c r="M832" t="s">
        <v>4402</v>
      </c>
      <c r="N832" t="s">
        <v>6908</v>
      </c>
      <c r="O832" t="s">
        <v>104</v>
      </c>
      <c r="P832" t="s">
        <v>6909</v>
      </c>
      <c r="Q832" t="s">
        <v>6910</v>
      </c>
      <c r="R832" s="16" t="s">
        <v>8489</v>
      </c>
      <c r="S832" s="16" t="s">
        <v>8195</v>
      </c>
      <c r="T832" t="s">
        <v>7455</v>
      </c>
      <c r="U832">
        <v>1</v>
      </c>
      <c r="V832" t="s">
        <v>8654</v>
      </c>
      <c r="W832" t="s">
        <v>104</v>
      </c>
      <c r="X832" t="s">
        <v>8660</v>
      </c>
      <c r="Y832">
        <f t="shared" si="25"/>
        <v>1</v>
      </c>
    </row>
    <row r="833" spans="1:25" hidden="1">
      <c r="A833" t="s">
        <v>7495</v>
      </c>
      <c r="B833" t="s">
        <v>4406</v>
      </c>
      <c r="C833">
        <v>1052</v>
      </c>
      <c r="D833">
        <v>11</v>
      </c>
      <c r="E833" t="s">
        <v>4407</v>
      </c>
      <c r="F833" t="s">
        <v>4827</v>
      </c>
      <c r="H833" t="s">
        <v>1973</v>
      </c>
      <c r="J833" t="s">
        <v>8668</v>
      </c>
      <c r="L833">
        <f t="shared" si="24"/>
        <v>1</v>
      </c>
      <c r="M833" t="s">
        <v>4407</v>
      </c>
      <c r="N833" t="s">
        <v>6585</v>
      </c>
      <c r="O833" t="s">
        <v>104</v>
      </c>
      <c r="P833" t="s">
        <v>6586</v>
      </c>
      <c r="Q833" t="s">
        <v>6587</v>
      </c>
      <c r="R833" s="16" t="s">
        <v>8451</v>
      </c>
      <c r="S833" s="16" t="s">
        <v>8155</v>
      </c>
      <c r="T833" t="s">
        <v>7495</v>
      </c>
      <c r="U833">
        <v>0</v>
      </c>
      <c r="V833" t="s">
        <v>8654</v>
      </c>
      <c r="W833" t="s">
        <v>104</v>
      </c>
      <c r="X833" t="s">
        <v>8660</v>
      </c>
      <c r="Y833">
        <f t="shared" si="25"/>
        <v>1</v>
      </c>
    </row>
    <row r="834" spans="1:25" hidden="1">
      <c r="A834" t="s">
        <v>7509</v>
      </c>
      <c r="B834" t="s">
        <v>4850</v>
      </c>
      <c r="C834">
        <v>1052</v>
      </c>
      <c r="D834">
        <v>11</v>
      </c>
      <c r="E834" t="s">
        <v>4415</v>
      </c>
      <c r="F834" t="s">
        <v>4827</v>
      </c>
      <c r="H834" t="s">
        <v>1974</v>
      </c>
      <c r="J834" t="s">
        <v>8668</v>
      </c>
      <c r="K834" t="s">
        <v>8674</v>
      </c>
      <c r="L834">
        <f t="shared" ref="L834:L897" si="26">IF(M834&lt;&gt;"",1,0)</f>
        <v>1</v>
      </c>
      <c r="M834" t="s">
        <v>4415</v>
      </c>
      <c r="N834" t="s">
        <v>6296</v>
      </c>
      <c r="O834" t="s">
        <v>104</v>
      </c>
      <c r="P834" t="s">
        <v>6297</v>
      </c>
      <c r="Q834">
        <v>474784</v>
      </c>
      <c r="R834" s="16" t="s">
        <v>6297</v>
      </c>
      <c r="S834" s="16" t="s">
        <v>8193</v>
      </c>
      <c r="T834" t="s">
        <v>7509</v>
      </c>
      <c r="U834">
        <v>0</v>
      </c>
      <c r="V834" t="s">
        <v>8654</v>
      </c>
      <c r="W834" t="s">
        <v>104</v>
      </c>
      <c r="X834" t="s">
        <v>8660</v>
      </c>
      <c r="Y834">
        <f t="shared" ref="Y834:Y897" si="27">IF(OR(V834="Loc",V834="IIIF"),1,0)</f>
        <v>1</v>
      </c>
    </row>
    <row r="835" spans="1:25" hidden="1">
      <c r="A835" t="s">
        <v>7423</v>
      </c>
      <c r="B835" t="s">
        <v>4424</v>
      </c>
      <c r="C835">
        <v>1074</v>
      </c>
      <c r="D835">
        <v>11</v>
      </c>
      <c r="E835" t="s">
        <v>4425</v>
      </c>
      <c r="F835" t="s">
        <v>4868</v>
      </c>
      <c r="H835" t="s">
        <v>4912</v>
      </c>
      <c r="J835" t="s">
        <v>9062</v>
      </c>
      <c r="L835">
        <f t="shared" si="26"/>
        <v>1</v>
      </c>
      <c r="M835" t="s">
        <v>4425</v>
      </c>
      <c r="N835" t="s">
        <v>6315</v>
      </c>
      <c r="O835" t="s">
        <v>104</v>
      </c>
      <c r="P835">
        <v>10990</v>
      </c>
      <c r="Q835">
        <v>494430</v>
      </c>
      <c r="R835" s="16" t="s">
        <v>8453</v>
      </c>
      <c r="S835" s="16" t="s">
        <v>8157</v>
      </c>
      <c r="T835" t="s">
        <v>7423</v>
      </c>
      <c r="U835">
        <v>1</v>
      </c>
      <c r="V835" t="s">
        <v>8656</v>
      </c>
      <c r="W835" t="s">
        <v>104</v>
      </c>
      <c r="X835" t="s">
        <v>8660</v>
      </c>
      <c r="Y835">
        <f t="shared" si="27"/>
        <v>1</v>
      </c>
    </row>
    <row r="836" spans="1:25" hidden="1">
      <c r="A836" t="s">
        <v>7508</v>
      </c>
      <c r="B836" t="s">
        <v>4426</v>
      </c>
      <c r="C836">
        <v>1076</v>
      </c>
      <c r="D836">
        <v>11</v>
      </c>
      <c r="E836" t="s">
        <v>4422</v>
      </c>
      <c r="F836" t="s">
        <v>4827</v>
      </c>
      <c r="H836" t="s">
        <v>1990</v>
      </c>
      <c r="J836" t="s">
        <v>8668</v>
      </c>
      <c r="L836">
        <f t="shared" si="26"/>
        <v>1</v>
      </c>
      <c r="M836" t="s">
        <v>4422</v>
      </c>
      <c r="N836" t="s">
        <v>6296</v>
      </c>
      <c r="O836" t="s">
        <v>104</v>
      </c>
      <c r="P836" t="s">
        <v>6297</v>
      </c>
      <c r="Q836">
        <v>474784</v>
      </c>
      <c r="R836" s="16" t="s">
        <v>6297</v>
      </c>
      <c r="S836" s="16" t="s">
        <v>8193</v>
      </c>
      <c r="T836" t="s">
        <v>7508</v>
      </c>
      <c r="U836">
        <v>0</v>
      </c>
      <c r="V836" t="s">
        <v>8654</v>
      </c>
      <c r="W836" t="s">
        <v>104</v>
      </c>
      <c r="X836" t="s">
        <v>8660</v>
      </c>
      <c r="Y836">
        <f t="shared" si="27"/>
        <v>1</v>
      </c>
    </row>
    <row r="837" spans="1:25" hidden="1">
      <c r="A837" t="s">
        <v>7512</v>
      </c>
      <c r="B837" t="s">
        <v>4426</v>
      </c>
      <c r="C837">
        <v>1076</v>
      </c>
      <c r="D837">
        <v>11</v>
      </c>
      <c r="E837" t="s">
        <v>4417</v>
      </c>
      <c r="F837" t="s">
        <v>4827</v>
      </c>
      <c r="H837" t="s">
        <v>1990</v>
      </c>
      <c r="J837" t="s">
        <v>9084</v>
      </c>
      <c r="L837">
        <f t="shared" si="26"/>
        <v>1</v>
      </c>
      <c r="M837" t="s">
        <v>4417</v>
      </c>
      <c r="N837" t="s">
        <v>6296</v>
      </c>
      <c r="O837" t="s">
        <v>104</v>
      </c>
      <c r="P837" t="s">
        <v>6297</v>
      </c>
      <c r="Q837">
        <v>474784</v>
      </c>
      <c r="R837" s="16" t="s">
        <v>6297</v>
      </c>
      <c r="S837" s="16" t="s">
        <v>8193</v>
      </c>
      <c r="T837" t="s">
        <v>7512</v>
      </c>
      <c r="U837">
        <v>1</v>
      </c>
      <c r="V837" t="s">
        <v>8656</v>
      </c>
      <c r="W837" t="s">
        <v>104</v>
      </c>
      <c r="X837" t="s">
        <v>8660</v>
      </c>
      <c r="Y837">
        <f t="shared" si="27"/>
        <v>1</v>
      </c>
    </row>
    <row r="838" spans="1:25" hidden="1">
      <c r="A838" t="s">
        <v>7513</v>
      </c>
      <c r="B838" t="s">
        <v>4851</v>
      </c>
      <c r="C838">
        <v>1070</v>
      </c>
      <c r="D838">
        <v>11</v>
      </c>
      <c r="E838" t="s">
        <v>4417</v>
      </c>
      <c r="F838" t="s">
        <v>4827</v>
      </c>
      <c r="H838" t="s">
        <v>1991</v>
      </c>
      <c r="J838" t="s">
        <v>8668</v>
      </c>
      <c r="L838">
        <f t="shared" si="26"/>
        <v>1</v>
      </c>
      <c r="M838" t="s">
        <v>4417</v>
      </c>
      <c r="N838" t="s">
        <v>6296</v>
      </c>
      <c r="O838" t="s">
        <v>104</v>
      </c>
      <c r="P838" t="s">
        <v>6297</v>
      </c>
      <c r="Q838">
        <v>474784</v>
      </c>
      <c r="R838" s="16" t="s">
        <v>6297</v>
      </c>
      <c r="S838" s="16" t="s">
        <v>8193</v>
      </c>
      <c r="T838" t="s">
        <v>7513</v>
      </c>
      <c r="U838">
        <v>0</v>
      </c>
      <c r="V838" t="s">
        <v>8654</v>
      </c>
      <c r="W838" t="s">
        <v>104</v>
      </c>
      <c r="X838" t="s">
        <v>8660</v>
      </c>
      <c r="Y838">
        <f t="shared" si="27"/>
        <v>1</v>
      </c>
    </row>
    <row r="839" spans="1:25" hidden="1">
      <c r="A839" t="s">
        <v>7504</v>
      </c>
      <c r="B839" t="s">
        <v>46</v>
      </c>
      <c r="C839">
        <v>1075</v>
      </c>
      <c r="D839">
        <v>11</v>
      </c>
      <c r="E839" t="s">
        <v>4399</v>
      </c>
      <c r="F839" t="s">
        <v>4827</v>
      </c>
      <c r="H839" t="s">
        <v>1992</v>
      </c>
      <c r="J839" t="s">
        <v>8668</v>
      </c>
      <c r="L839">
        <f t="shared" si="26"/>
        <v>1</v>
      </c>
      <c r="M839" t="s">
        <v>6400</v>
      </c>
      <c r="N839" t="s">
        <v>6401</v>
      </c>
      <c r="O839" t="s">
        <v>104</v>
      </c>
      <c r="P839" t="s">
        <v>6402</v>
      </c>
      <c r="Q839">
        <v>497560</v>
      </c>
      <c r="R839" s="16" t="s">
        <v>8497</v>
      </c>
      <c r="S839" s="16" t="s">
        <v>8203</v>
      </c>
      <c r="T839" t="s">
        <v>7504</v>
      </c>
      <c r="U839">
        <v>0</v>
      </c>
      <c r="V839" t="s">
        <v>8654</v>
      </c>
      <c r="W839" t="s">
        <v>104</v>
      </c>
      <c r="X839" t="s">
        <v>8660</v>
      </c>
      <c r="Y839">
        <f t="shared" si="27"/>
        <v>1</v>
      </c>
    </row>
    <row r="840" spans="1:25" hidden="1">
      <c r="A840" t="s">
        <v>7128</v>
      </c>
      <c r="B840" t="s">
        <v>3887</v>
      </c>
      <c r="C840">
        <v>1214</v>
      </c>
      <c r="D840">
        <v>13</v>
      </c>
      <c r="E840" t="s">
        <v>4077</v>
      </c>
      <c r="F840" t="s">
        <v>677</v>
      </c>
      <c r="G840" t="str">
        <f>VLOOKUP(TRIM(F840), [1]mss!$AA:$AA,1,0)</f>
        <v>BL I 565</v>
      </c>
      <c r="H840" t="s">
        <v>678</v>
      </c>
      <c r="J840" t="s">
        <v>8721</v>
      </c>
      <c r="L840">
        <f t="shared" si="26"/>
        <v>1</v>
      </c>
      <c r="M840" t="s">
        <v>6497</v>
      </c>
      <c r="N840" t="s">
        <v>6385</v>
      </c>
      <c r="O840" t="s">
        <v>12</v>
      </c>
      <c r="P840">
        <v>-22210</v>
      </c>
      <c r="Q840">
        <v>521920</v>
      </c>
      <c r="R840" s="16" t="s">
        <v>8358</v>
      </c>
      <c r="S840" s="16" t="s">
        <v>8061</v>
      </c>
      <c r="T840" t="s">
        <v>7784</v>
      </c>
      <c r="U840">
        <v>1</v>
      </c>
      <c r="V840" t="s">
        <v>8654</v>
      </c>
      <c r="W840" t="s">
        <v>12</v>
      </c>
      <c r="X840" t="s">
        <v>8659</v>
      </c>
      <c r="Y840">
        <f t="shared" si="27"/>
        <v>1</v>
      </c>
    </row>
    <row r="841" spans="1:25" hidden="1">
      <c r="A841" t="s">
        <v>7465</v>
      </c>
      <c r="B841" t="s">
        <v>4429</v>
      </c>
      <c r="C841">
        <v>1083</v>
      </c>
      <c r="D841">
        <v>11</v>
      </c>
      <c r="E841" t="s">
        <v>4365</v>
      </c>
      <c r="F841" t="s">
        <v>4827</v>
      </c>
      <c r="H841" t="s">
        <v>1994</v>
      </c>
      <c r="J841" t="s">
        <v>8668</v>
      </c>
      <c r="L841">
        <f t="shared" si="26"/>
        <v>1</v>
      </c>
      <c r="M841" t="s">
        <v>6758</v>
      </c>
      <c r="N841" t="s">
        <v>6759</v>
      </c>
      <c r="O841" t="s">
        <v>104</v>
      </c>
      <c r="P841" t="s">
        <v>6760</v>
      </c>
      <c r="Q841" t="s">
        <v>6761</v>
      </c>
      <c r="R841" s="16" t="s">
        <v>8483</v>
      </c>
      <c r="S841" s="16" t="s">
        <v>8188</v>
      </c>
      <c r="T841" t="s">
        <v>7465</v>
      </c>
      <c r="U841">
        <v>0</v>
      </c>
      <c r="V841" t="s">
        <v>8654</v>
      </c>
      <c r="W841" t="s">
        <v>104</v>
      </c>
      <c r="X841" t="s">
        <v>8660</v>
      </c>
      <c r="Y841">
        <f t="shared" si="27"/>
        <v>1</v>
      </c>
    </row>
    <row r="842" spans="1:25" hidden="1">
      <c r="A842" t="s">
        <v>7506</v>
      </c>
      <c r="B842" t="s">
        <v>4340</v>
      </c>
      <c r="C842">
        <v>1088</v>
      </c>
      <c r="D842">
        <v>11</v>
      </c>
      <c r="E842" t="s">
        <v>4422</v>
      </c>
      <c r="F842" t="s">
        <v>4827</v>
      </c>
      <c r="H842" t="s">
        <v>1996</v>
      </c>
      <c r="J842" t="s">
        <v>8668</v>
      </c>
      <c r="L842">
        <f t="shared" si="26"/>
        <v>1</v>
      </c>
      <c r="M842" t="s">
        <v>4422</v>
      </c>
      <c r="N842" t="s">
        <v>6296</v>
      </c>
      <c r="O842" t="s">
        <v>104</v>
      </c>
      <c r="P842" t="s">
        <v>6297</v>
      </c>
      <c r="Q842">
        <v>474784</v>
      </c>
      <c r="R842" s="16" t="s">
        <v>6297</v>
      </c>
      <c r="S842" s="16" t="s">
        <v>8193</v>
      </c>
      <c r="T842" t="s">
        <v>7506</v>
      </c>
      <c r="U842">
        <v>0</v>
      </c>
      <c r="V842" t="s">
        <v>8654</v>
      </c>
      <c r="W842" t="s">
        <v>104</v>
      </c>
      <c r="X842" t="s">
        <v>8660</v>
      </c>
      <c r="Y842">
        <f t="shared" si="27"/>
        <v>1</v>
      </c>
    </row>
    <row r="843" spans="1:25" hidden="1">
      <c r="A843" t="s">
        <v>7477</v>
      </c>
      <c r="B843" t="s">
        <v>4427</v>
      </c>
      <c r="C843">
        <v>1085</v>
      </c>
      <c r="D843">
        <v>11</v>
      </c>
      <c r="E843" t="s">
        <v>4428</v>
      </c>
      <c r="F843" t="s">
        <v>4827</v>
      </c>
      <c r="H843" t="s">
        <v>1993</v>
      </c>
      <c r="J843" t="s">
        <v>9085</v>
      </c>
      <c r="L843">
        <f t="shared" si="26"/>
        <v>1</v>
      </c>
      <c r="M843" t="s">
        <v>4425</v>
      </c>
      <c r="N843" t="s">
        <v>6315</v>
      </c>
      <c r="O843" t="s">
        <v>104</v>
      </c>
      <c r="P843">
        <v>10990</v>
      </c>
      <c r="Q843">
        <v>494430</v>
      </c>
      <c r="R843" s="16" t="s">
        <v>8453</v>
      </c>
      <c r="S843" s="16" t="s">
        <v>8157</v>
      </c>
      <c r="T843" t="s">
        <v>7477</v>
      </c>
      <c r="U843">
        <v>1</v>
      </c>
      <c r="V843" t="s">
        <v>8656</v>
      </c>
      <c r="W843" t="s">
        <v>104</v>
      </c>
      <c r="X843" t="s">
        <v>8660</v>
      </c>
      <c r="Y843">
        <f t="shared" si="27"/>
        <v>1</v>
      </c>
    </row>
    <row r="844" spans="1:25" hidden="1">
      <c r="A844" t="s">
        <v>7497</v>
      </c>
      <c r="B844" t="s">
        <v>4852</v>
      </c>
      <c r="C844">
        <v>1086</v>
      </c>
      <c r="D844">
        <v>11</v>
      </c>
      <c r="E844" t="s">
        <v>4361</v>
      </c>
      <c r="F844" t="s">
        <v>4827</v>
      </c>
      <c r="H844" t="s">
        <v>1993</v>
      </c>
      <c r="J844" t="s">
        <v>8668</v>
      </c>
      <c r="L844">
        <f t="shared" si="26"/>
        <v>1</v>
      </c>
      <c r="M844" t="s">
        <v>6424</v>
      </c>
      <c r="N844" t="s">
        <v>6401</v>
      </c>
      <c r="O844" t="s">
        <v>104</v>
      </c>
      <c r="P844" t="s">
        <v>6425</v>
      </c>
      <c r="Q844">
        <v>494260</v>
      </c>
      <c r="R844" s="16" t="s">
        <v>8486</v>
      </c>
      <c r="S844" s="16" t="s">
        <v>8190</v>
      </c>
      <c r="T844" t="s">
        <v>7497</v>
      </c>
      <c r="U844">
        <v>0</v>
      </c>
      <c r="V844" t="s">
        <v>8654</v>
      </c>
      <c r="W844" t="s">
        <v>104</v>
      </c>
      <c r="X844" t="s">
        <v>8660</v>
      </c>
      <c r="Y844">
        <f t="shared" si="27"/>
        <v>1</v>
      </c>
    </row>
    <row r="845" spans="1:25" hidden="1">
      <c r="A845" t="s">
        <v>7483</v>
      </c>
      <c r="B845" t="s">
        <v>4430</v>
      </c>
      <c r="C845">
        <v>1087</v>
      </c>
      <c r="D845">
        <v>11</v>
      </c>
      <c r="E845" t="s">
        <v>4431</v>
      </c>
      <c r="F845" t="s">
        <v>4827</v>
      </c>
      <c r="H845" t="s">
        <v>1995</v>
      </c>
      <c r="J845" t="s">
        <v>8701</v>
      </c>
      <c r="L845">
        <f t="shared" si="26"/>
        <v>1</v>
      </c>
      <c r="M845" t="s">
        <v>6465</v>
      </c>
      <c r="N845" t="s">
        <v>6359</v>
      </c>
      <c r="O845" t="s">
        <v>104</v>
      </c>
      <c r="P845" t="s">
        <v>6466</v>
      </c>
      <c r="Q845">
        <v>483640</v>
      </c>
      <c r="R845" s="16" t="s">
        <v>8493</v>
      </c>
      <c r="S845" s="16" t="s">
        <v>8199</v>
      </c>
      <c r="T845" t="s">
        <v>7483</v>
      </c>
      <c r="U845">
        <v>1</v>
      </c>
      <c r="V845" t="s">
        <v>8654</v>
      </c>
      <c r="W845" t="s">
        <v>104</v>
      </c>
      <c r="X845" t="s">
        <v>8660</v>
      </c>
      <c r="Y845">
        <f t="shared" si="27"/>
        <v>1</v>
      </c>
    </row>
    <row r="846" spans="1:25" hidden="1">
      <c r="A846" t="s">
        <v>7493</v>
      </c>
      <c r="B846" t="s">
        <v>4432</v>
      </c>
      <c r="C846">
        <v>1090</v>
      </c>
      <c r="D846">
        <v>11</v>
      </c>
      <c r="E846" t="s">
        <v>4433</v>
      </c>
      <c r="F846" t="s">
        <v>4827</v>
      </c>
      <c r="H846" t="s">
        <v>1995</v>
      </c>
      <c r="J846" t="s">
        <v>9086</v>
      </c>
      <c r="L846">
        <f t="shared" si="26"/>
        <v>1</v>
      </c>
      <c r="M846" t="s">
        <v>4433</v>
      </c>
      <c r="N846" t="s">
        <v>6616</v>
      </c>
      <c r="O846" t="s">
        <v>104</v>
      </c>
      <c r="P846" t="s">
        <v>6617</v>
      </c>
      <c r="Q846" t="s">
        <v>6618</v>
      </c>
      <c r="R846" s="16" t="s">
        <v>8494</v>
      </c>
      <c r="S846" s="16" t="s">
        <v>8200</v>
      </c>
      <c r="T846" t="s">
        <v>7493</v>
      </c>
      <c r="U846">
        <v>1</v>
      </c>
      <c r="V846" t="s">
        <v>8656</v>
      </c>
      <c r="W846" t="s">
        <v>104</v>
      </c>
      <c r="X846" t="s">
        <v>8660</v>
      </c>
      <c r="Y846">
        <f t="shared" si="27"/>
        <v>1</v>
      </c>
    </row>
    <row r="847" spans="1:25" hidden="1">
      <c r="A847" t="s">
        <v>7627</v>
      </c>
      <c r="B847" t="s">
        <v>4351</v>
      </c>
      <c r="C847">
        <v>1093</v>
      </c>
      <c r="D847">
        <v>11</v>
      </c>
      <c r="E847" t="s">
        <v>1444</v>
      </c>
      <c r="F847" t="s">
        <v>4827</v>
      </c>
      <c r="H847" t="s">
        <v>1998</v>
      </c>
      <c r="J847" t="s">
        <v>8668</v>
      </c>
      <c r="L847">
        <f t="shared" si="26"/>
        <v>0</v>
      </c>
      <c r="R847" s="16" t="s">
        <v>8064</v>
      </c>
      <c r="S847" s="16" t="s">
        <v>8064</v>
      </c>
      <c r="T847" t="s">
        <v>7627</v>
      </c>
      <c r="U847">
        <v>0</v>
      </c>
      <c r="V847" t="s">
        <v>8655</v>
      </c>
      <c r="X847" t="s">
        <v>8660</v>
      </c>
      <c r="Y847">
        <f t="shared" si="27"/>
        <v>0</v>
      </c>
    </row>
    <row r="848" spans="1:25" hidden="1">
      <c r="A848" t="s">
        <v>7628</v>
      </c>
      <c r="B848" t="s">
        <v>4853</v>
      </c>
      <c r="C848">
        <v>1093</v>
      </c>
      <c r="D848">
        <v>11</v>
      </c>
      <c r="E848" t="s">
        <v>1444</v>
      </c>
      <c r="F848" t="s">
        <v>4827</v>
      </c>
      <c r="H848" t="s">
        <v>1998</v>
      </c>
      <c r="J848" t="s">
        <v>8668</v>
      </c>
      <c r="L848">
        <f t="shared" si="26"/>
        <v>0</v>
      </c>
      <c r="R848" s="16" t="s">
        <v>8064</v>
      </c>
      <c r="S848" s="16" t="s">
        <v>8064</v>
      </c>
      <c r="T848" t="s">
        <v>7628</v>
      </c>
      <c r="U848">
        <v>0</v>
      </c>
      <c r="V848" t="s">
        <v>8655</v>
      </c>
      <c r="X848" t="s">
        <v>8660</v>
      </c>
      <c r="Y848">
        <f t="shared" si="27"/>
        <v>0</v>
      </c>
    </row>
    <row r="849" spans="1:25" hidden="1">
      <c r="A849" t="s">
        <v>7460</v>
      </c>
      <c r="B849" t="s">
        <v>4854</v>
      </c>
      <c r="C849">
        <v>1109</v>
      </c>
      <c r="D849">
        <v>12</v>
      </c>
      <c r="E849" t="s">
        <v>4447</v>
      </c>
      <c r="F849" t="s">
        <v>4827</v>
      </c>
      <c r="H849" t="s">
        <v>1984</v>
      </c>
      <c r="J849" t="s">
        <v>8668</v>
      </c>
      <c r="L849">
        <f t="shared" si="26"/>
        <v>1</v>
      </c>
      <c r="M849" t="s">
        <v>4447</v>
      </c>
      <c r="N849" t="s">
        <v>6509</v>
      </c>
      <c r="O849" t="s">
        <v>104</v>
      </c>
      <c r="P849" t="s">
        <v>6766</v>
      </c>
      <c r="Q849" t="s">
        <v>6767</v>
      </c>
      <c r="R849" s="16" t="s">
        <v>8363</v>
      </c>
      <c r="S849" s="16" t="s">
        <v>8067</v>
      </c>
      <c r="T849" t="s">
        <v>7851</v>
      </c>
      <c r="U849">
        <v>0</v>
      </c>
      <c r="V849" t="s">
        <v>8654</v>
      </c>
      <c r="W849" t="s">
        <v>104</v>
      </c>
      <c r="X849" t="s">
        <v>8660</v>
      </c>
      <c r="Y849">
        <f t="shared" si="27"/>
        <v>1</v>
      </c>
    </row>
    <row r="850" spans="1:25" hidden="1">
      <c r="A850" t="s">
        <v>7459</v>
      </c>
      <c r="B850" t="s">
        <v>4342</v>
      </c>
      <c r="C850">
        <v>1128</v>
      </c>
      <c r="D850">
        <v>12</v>
      </c>
      <c r="E850" t="s">
        <v>4447</v>
      </c>
      <c r="F850" t="s">
        <v>4827</v>
      </c>
      <c r="H850" t="s">
        <v>1984</v>
      </c>
      <c r="J850" t="s">
        <v>8668</v>
      </c>
      <c r="L850">
        <f t="shared" si="26"/>
        <v>1</v>
      </c>
      <c r="M850" t="s">
        <v>4447</v>
      </c>
      <c r="N850" t="s">
        <v>6509</v>
      </c>
      <c r="O850" t="s">
        <v>104</v>
      </c>
      <c r="P850" t="s">
        <v>6766</v>
      </c>
      <c r="Q850" t="s">
        <v>6767</v>
      </c>
      <c r="R850" s="16" t="s">
        <v>8363</v>
      </c>
      <c r="S850" s="16" t="s">
        <v>8067</v>
      </c>
      <c r="T850" t="s">
        <v>7851</v>
      </c>
      <c r="U850">
        <v>0</v>
      </c>
      <c r="V850" t="s">
        <v>8654</v>
      </c>
      <c r="W850" t="s">
        <v>104</v>
      </c>
      <c r="X850" t="s">
        <v>8660</v>
      </c>
      <c r="Y850">
        <f t="shared" si="27"/>
        <v>1</v>
      </c>
    </row>
    <row r="851" spans="1:25" hidden="1">
      <c r="A851" t="s">
        <v>7458</v>
      </c>
      <c r="B851" t="s">
        <v>4452</v>
      </c>
      <c r="C851">
        <v>1125</v>
      </c>
      <c r="D851">
        <v>12</v>
      </c>
      <c r="E851" t="s">
        <v>4447</v>
      </c>
      <c r="F851" t="s">
        <v>4827</v>
      </c>
      <c r="H851" t="s">
        <v>1985</v>
      </c>
      <c r="J851" t="s">
        <v>8668</v>
      </c>
      <c r="L851">
        <f t="shared" si="26"/>
        <v>1</v>
      </c>
      <c r="M851" t="s">
        <v>4447</v>
      </c>
      <c r="N851" t="s">
        <v>6509</v>
      </c>
      <c r="O851" t="s">
        <v>104</v>
      </c>
      <c r="P851" t="s">
        <v>6766</v>
      </c>
      <c r="Q851" t="s">
        <v>6767</v>
      </c>
      <c r="R851" s="16" t="s">
        <v>8363</v>
      </c>
      <c r="S851" s="16" t="s">
        <v>8067</v>
      </c>
      <c r="T851" t="s">
        <v>7458</v>
      </c>
      <c r="U851">
        <v>0</v>
      </c>
      <c r="V851" t="s">
        <v>8654</v>
      </c>
      <c r="W851" t="s">
        <v>104</v>
      </c>
      <c r="X851" t="s">
        <v>8660</v>
      </c>
      <c r="Y851">
        <f t="shared" si="27"/>
        <v>1</v>
      </c>
    </row>
    <row r="852" spans="1:25" hidden="1">
      <c r="A852" t="s">
        <v>7461</v>
      </c>
      <c r="B852" t="s">
        <v>4452</v>
      </c>
      <c r="C852">
        <v>1125</v>
      </c>
      <c r="D852">
        <v>12</v>
      </c>
      <c r="E852" t="s">
        <v>4447</v>
      </c>
      <c r="F852" t="s">
        <v>4827</v>
      </c>
      <c r="H852" t="s">
        <v>1986</v>
      </c>
      <c r="J852" t="s">
        <v>8668</v>
      </c>
      <c r="L852">
        <f t="shared" si="26"/>
        <v>1</v>
      </c>
      <c r="M852" t="s">
        <v>4447</v>
      </c>
      <c r="N852" t="s">
        <v>6509</v>
      </c>
      <c r="O852" t="s">
        <v>104</v>
      </c>
      <c r="P852" t="s">
        <v>6766</v>
      </c>
      <c r="Q852" t="s">
        <v>6767</v>
      </c>
      <c r="R852" s="16" t="s">
        <v>8363</v>
      </c>
      <c r="S852" s="16" t="s">
        <v>8067</v>
      </c>
      <c r="T852" t="s">
        <v>7461</v>
      </c>
      <c r="U852">
        <v>0</v>
      </c>
      <c r="V852" t="s">
        <v>8654</v>
      </c>
      <c r="W852" t="s">
        <v>104</v>
      </c>
      <c r="X852" t="s">
        <v>8660</v>
      </c>
      <c r="Y852">
        <f t="shared" si="27"/>
        <v>1</v>
      </c>
    </row>
    <row r="853" spans="1:25" hidden="1">
      <c r="A853" t="s">
        <v>4924</v>
      </c>
      <c r="B853" t="s">
        <v>4925</v>
      </c>
      <c r="C853">
        <v>1120</v>
      </c>
      <c r="D853">
        <v>12</v>
      </c>
      <c r="E853" t="s">
        <v>4402</v>
      </c>
      <c r="F853" t="s">
        <v>4868</v>
      </c>
      <c r="H853" t="s">
        <v>4926</v>
      </c>
      <c r="J853" t="s">
        <v>8741</v>
      </c>
      <c r="L853">
        <f t="shared" si="26"/>
        <v>1</v>
      </c>
      <c r="M853" t="s">
        <v>4402</v>
      </c>
      <c r="N853" t="s">
        <v>6908</v>
      </c>
      <c r="O853" t="s">
        <v>104</v>
      </c>
      <c r="P853" t="s">
        <v>6909</v>
      </c>
      <c r="Q853" t="s">
        <v>6910</v>
      </c>
      <c r="R853" s="16" t="s">
        <v>8489</v>
      </c>
      <c r="S853" s="16" t="s">
        <v>8195</v>
      </c>
      <c r="T853" t="s">
        <v>4924</v>
      </c>
      <c r="U853">
        <v>1</v>
      </c>
      <c r="V853" t="s">
        <v>8654</v>
      </c>
      <c r="W853" t="s">
        <v>104</v>
      </c>
      <c r="X853" t="s">
        <v>8660</v>
      </c>
      <c r="Y853">
        <f t="shared" si="27"/>
        <v>1</v>
      </c>
    </row>
    <row r="854" spans="1:25" hidden="1">
      <c r="A854" t="s">
        <v>7462</v>
      </c>
      <c r="B854" t="s">
        <v>4342</v>
      </c>
      <c r="C854">
        <v>1128</v>
      </c>
      <c r="D854">
        <v>12</v>
      </c>
      <c r="E854" t="s">
        <v>4447</v>
      </c>
      <c r="F854" t="s">
        <v>4827</v>
      </c>
      <c r="H854" t="s">
        <v>1987</v>
      </c>
      <c r="J854" t="s">
        <v>8668</v>
      </c>
      <c r="L854">
        <f t="shared" si="26"/>
        <v>1</v>
      </c>
      <c r="M854" t="s">
        <v>4447</v>
      </c>
      <c r="N854" t="s">
        <v>6509</v>
      </c>
      <c r="O854" t="s">
        <v>104</v>
      </c>
      <c r="P854" t="s">
        <v>6766</v>
      </c>
      <c r="Q854" t="s">
        <v>6767</v>
      </c>
      <c r="R854" s="16" t="s">
        <v>8363</v>
      </c>
      <c r="S854" s="16" t="s">
        <v>8067</v>
      </c>
      <c r="T854" t="s">
        <v>7852</v>
      </c>
      <c r="U854">
        <v>0</v>
      </c>
      <c r="V854" t="s">
        <v>8654</v>
      </c>
      <c r="W854" t="s">
        <v>104</v>
      </c>
      <c r="X854" t="s">
        <v>8660</v>
      </c>
      <c r="Y854">
        <f t="shared" si="27"/>
        <v>1</v>
      </c>
    </row>
    <row r="855" spans="1:25" hidden="1">
      <c r="A855" t="s">
        <v>2150</v>
      </c>
      <c r="B855" t="s">
        <v>4342</v>
      </c>
      <c r="C855">
        <v>1128</v>
      </c>
      <c r="D855">
        <v>12</v>
      </c>
      <c r="E855" t="s">
        <v>4447</v>
      </c>
      <c r="F855" t="s">
        <v>4827</v>
      </c>
      <c r="H855" t="s">
        <v>1987</v>
      </c>
      <c r="J855" t="s">
        <v>9087</v>
      </c>
      <c r="L855">
        <f t="shared" si="26"/>
        <v>1</v>
      </c>
      <c r="M855" t="s">
        <v>4447</v>
      </c>
      <c r="N855" t="s">
        <v>6509</v>
      </c>
      <c r="O855" t="s">
        <v>104</v>
      </c>
      <c r="P855" t="s">
        <v>6766</v>
      </c>
      <c r="Q855" t="s">
        <v>6767</v>
      </c>
      <c r="R855" s="16" t="s">
        <v>8363</v>
      </c>
      <c r="S855" s="16" t="s">
        <v>8067</v>
      </c>
      <c r="T855" t="s">
        <v>8050</v>
      </c>
      <c r="U855">
        <v>1</v>
      </c>
      <c r="V855" t="s">
        <v>8656</v>
      </c>
      <c r="W855" t="s">
        <v>104</v>
      </c>
      <c r="X855" t="s">
        <v>8660</v>
      </c>
      <c r="Y855">
        <f t="shared" si="27"/>
        <v>1</v>
      </c>
    </row>
    <row r="856" spans="1:25" hidden="1">
      <c r="A856" t="s">
        <v>4946</v>
      </c>
      <c r="B856" t="s">
        <v>4459</v>
      </c>
      <c r="C856">
        <v>1130</v>
      </c>
      <c r="D856">
        <v>12</v>
      </c>
      <c r="E856" t="s">
        <v>4402</v>
      </c>
      <c r="F856" t="s">
        <v>4868</v>
      </c>
      <c r="H856" t="s">
        <v>4947</v>
      </c>
      <c r="J856" t="s">
        <v>8739</v>
      </c>
      <c r="L856">
        <f t="shared" si="26"/>
        <v>1</v>
      </c>
      <c r="M856" t="s">
        <v>4402</v>
      </c>
      <c r="N856" t="s">
        <v>6908</v>
      </c>
      <c r="O856" t="s">
        <v>104</v>
      </c>
      <c r="P856" t="s">
        <v>6909</v>
      </c>
      <c r="Q856" t="s">
        <v>6910</v>
      </c>
      <c r="R856" s="16" t="s">
        <v>8489</v>
      </c>
      <c r="S856" s="16" t="s">
        <v>8195</v>
      </c>
      <c r="T856" t="s">
        <v>4946</v>
      </c>
      <c r="U856">
        <v>1</v>
      </c>
      <c r="V856" t="s">
        <v>8654</v>
      </c>
      <c r="W856" t="s">
        <v>104</v>
      </c>
      <c r="X856" t="s">
        <v>8660</v>
      </c>
      <c r="Y856">
        <f t="shared" si="27"/>
        <v>1</v>
      </c>
    </row>
    <row r="857" spans="1:25" hidden="1">
      <c r="A857" t="s">
        <v>4869</v>
      </c>
      <c r="B857">
        <v>1149</v>
      </c>
      <c r="C857">
        <v>1149</v>
      </c>
      <c r="D857">
        <v>12</v>
      </c>
      <c r="E857" t="s">
        <v>4475</v>
      </c>
      <c r="F857" t="s">
        <v>8778</v>
      </c>
      <c r="H857" t="s">
        <v>8779</v>
      </c>
      <c r="J857" t="s">
        <v>8668</v>
      </c>
      <c r="L857">
        <f t="shared" si="26"/>
        <v>1</v>
      </c>
      <c r="M857" t="s">
        <v>4475</v>
      </c>
      <c r="N857" t="s">
        <v>6291</v>
      </c>
      <c r="O857" t="s">
        <v>3995</v>
      </c>
      <c r="P857" t="s">
        <v>6879</v>
      </c>
      <c r="Q857" t="s">
        <v>6880</v>
      </c>
      <c r="R857" s="16" t="s">
        <v>8612</v>
      </c>
      <c r="S857" s="16" t="s">
        <v>8318</v>
      </c>
      <c r="T857" t="s">
        <v>4869</v>
      </c>
      <c r="U857">
        <v>0</v>
      </c>
      <c r="V857" t="s">
        <v>8654</v>
      </c>
      <c r="W857" t="s">
        <v>3995</v>
      </c>
      <c r="X857" t="s">
        <v>8660</v>
      </c>
      <c r="Y857">
        <f t="shared" si="27"/>
        <v>1</v>
      </c>
    </row>
    <row r="858" spans="1:25" hidden="1">
      <c r="A858" s="4" t="s">
        <v>3006</v>
      </c>
      <c r="B858" s="4">
        <v>1298</v>
      </c>
      <c r="C858" s="4">
        <v>1298</v>
      </c>
      <c r="D858" s="4">
        <v>13</v>
      </c>
      <c r="E858" t="s">
        <v>1444</v>
      </c>
      <c r="F858" t="s">
        <v>3007</v>
      </c>
      <c r="H858" t="s">
        <v>3008</v>
      </c>
      <c r="J858" t="s">
        <v>8668</v>
      </c>
      <c r="L858">
        <f t="shared" si="26"/>
        <v>0</v>
      </c>
      <c r="R858" s="16" t="s">
        <v>8064</v>
      </c>
      <c r="S858" s="16" t="s">
        <v>8064</v>
      </c>
      <c r="T858" s="4" t="s">
        <v>3006</v>
      </c>
      <c r="U858">
        <v>0</v>
      </c>
      <c r="V858" t="s">
        <v>8655</v>
      </c>
      <c r="X858" t="s">
        <v>3092</v>
      </c>
      <c r="Y858">
        <f t="shared" si="27"/>
        <v>0</v>
      </c>
    </row>
    <row r="859" spans="1:25" hidden="1">
      <c r="A859" t="s">
        <v>7710</v>
      </c>
      <c r="B859">
        <v>1235</v>
      </c>
      <c r="C859">
        <v>1235</v>
      </c>
      <c r="D859">
        <v>13</v>
      </c>
      <c r="E859" t="s">
        <v>1444</v>
      </c>
      <c r="F859" t="s">
        <v>2860</v>
      </c>
      <c r="H859" t="s">
        <v>2861</v>
      </c>
      <c r="J859" t="s">
        <v>8668</v>
      </c>
      <c r="L859">
        <f t="shared" si="26"/>
        <v>0</v>
      </c>
      <c r="R859" s="16" t="s">
        <v>8064</v>
      </c>
      <c r="S859" s="16" t="s">
        <v>8064</v>
      </c>
      <c r="T859" t="s">
        <v>7710</v>
      </c>
      <c r="U859">
        <v>0</v>
      </c>
      <c r="V859" t="s">
        <v>8655</v>
      </c>
      <c r="X859" t="s">
        <v>3092</v>
      </c>
      <c r="Y859">
        <f t="shared" si="27"/>
        <v>0</v>
      </c>
    </row>
    <row r="860" spans="1:25" hidden="1">
      <c r="A860" t="s">
        <v>7711</v>
      </c>
      <c r="B860">
        <v>1104</v>
      </c>
      <c r="C860">
        <v>1104</v>
      </c>
      <c r="D860">
        <v>12</v>
      </c>
      <c r="E860" t="s">
        <v>1444</v>
      </c>
      <c r="F860" t="s">
        <v>2863</v>
      </c>
      <c r="H860" t="s">
        <v>2864</v>
      </c>
      <c r="J860" t="s">
        <v>8668</v>
      </c>
      <c r="L860">
        <f t="shared" si="26"/>
        <v>0</v>
      </c>
      <c r="R860" s="16" t="s">
        <v>8064</v>
      </c>
      <c r="S860" s="16" t="s">
        <v>8064</v>
      </c>
      <c r="T860" t="s">
        <v>7711</v>
      </c>
      <c r="U860">
        <v>0</v>
      </c>
      <c r="V860" t="s">
        <v>8655</v>
      </c>
      <c r="X860" t="s">
        <v>3092</v>
      </c>
      <c r="Y860">
        <f t="shared" si="27"/>
        <v>0</v>
      </c>
    </row>
    <row r="861" spans="1:25" hidden="1">
      <c r="A861" t="s">
        <v>2865</v>
      </c>
      <c r="B861">
        <v>1233</v>
      </c>
      <c r="C861">
        <v>1233</v>
      </c>
      <c r="D861">
        <v>13</v>
      </c>
      <c r="E861" t="s">
        <v>1444</v>
      </c>
      <c r="F861" t="s">
        <v>2866</v>
      </c>
      <c r="H861" t="s">
        <v>2867</v>
      </c>
      <c r="J861" t="s">
        <v>8668</v>
      </c>
      <c r="L861">
        <f t="shared" si="26"/>
        <v>0</v>
      </c>
      <c r="R861" s="16" t="s">
        <v>8064</v>
      </c>
      <c r="S861" s="16" t="s">
        <v>8064</v>
      </c>
      <c r="T861" t="s">
        <v>2865</v>
      </c>
      <c r="U861">
        <v>0</v>
      </c>
      <c r="V861" t="s">
        <v>8655</v>
      </c>
      <c r="X861" t="s">
        <v>3092</v>
      </c>
      <c r="Y861">
        <f t="shared" si="27"/>
        <v>0</v>
      </c>
    </row>
    <row r="862" spans="1:25" hidden="1">
      <c r="A862" t="s">
        <v>2868</v>
      </c>
      <c r="B862">
        <v>1278</v>
      </c>
      <c r="C862">
        <v>1278</v>
      </c>
      <c r="D862">
        <v>13</v>
      </c>
      <c r="E862" t="s">
        <v>2869</v>
      </c>
      <c r="F862" t="s">
        <v>2870</v>
      </c>
      <c r="H862" t="s">
        <v>2871</v>
      </c>
      <c r="J862">
        <v>0</v>
      </c>
      <c r="L862">
        <f t="shared" si="26"/>
        <v>1</v>
      </c>
      <c r="M862" t="s">
        <v>6690</v>
      </c>
      <c r="N862" t="s">
        <v>6329</v>
      </c>
      <c r="O862" t="s">
        <v>11</v>
      </c>
      <c r="P862" t="s">
        <v>6691</v>
      </c>
      <c r="Q862" t="s">
        <v>6692</v>
      </c>
      <c r="R862" s="16" t="s">
        <v>8607</v>
      </c>
      <c r="S862" s="16" t="s">
        <v>8313</v>
      </c>
      <c r="T862" t="s">
        <v>2868</v>
      </c>
      <c r="U862">
        <v>1</v>
      </c>
      <c r="V862" t="s">
        <v>8654</v>
      </c>
      <c r="W862" t="s">
        <v>11</v>
      </c>
      <c r="X862" t="s">
        <v>3092</v>
      </c>
      <c r="Y862">
        <f t="shared" si="27"/>
        <v>1</v>
      </c>
    </row>
    <row r="863" spans="1:25" hidden="1">
      <c r="A863" t="s">
        <v>2872</v>
      </c>
      <c r="B863">
        <v>1247</v>
      </c>
      <c r="C863">
        <v>1247</v>
      </c>
      <c r="D863">
        <v>13</v>
      </c>
      <c r="E863" t="s">
        <v>2873</v>
      </c>
      <c r="F863" t="s">
        <v>2875</v>
      </c>
      <c r="H863" t="s">
        <v>2876</v>
      </c>
      <c r="J863" t="s">
        <v>8668</v>
      </c>
      <c r="L863">
        <f t="shared" si="26"/>
        <v>0</v>
      </c>
      <c r="R863" s="16" t="s">
        <v>8064</v>
      </c>
      <c r="S863" s="16" t="s">
        <v>8064</v>
      </c>
      <c r="T863" t="s">
        <v>2872</v>
      </c>
      <c r="U863">
        <v>0</v>
      </c>
      <c r="V863" t="s">
        <v>8655</v>
      </c>
      <c r="X863" t="s">
        <v>3092</v>
      </c>
      <c r="Y863">
        <f t="shared" si="27"/>
        <v>0</v>
      </c>
    </row>
    <row r="864" spans="1:25" hidden="1">
      <c r="A864" t="s">
        <v>2880</v>
      </c>
      <c r="B864">
        <v>1293</v>
      </c>
      <c r="C864">
        <v>1293</v>
      </c>
      <c r="D864">
        <v>13</v>
      </c>
      <c r="E864" t="s">
        <v>2881</v>
      </c>
      <c r="F864" t="s">
        <v>2882</v>
      </c>
      <c r="H864" t="s">
        <v>2883</v>
      </c>
      <c r="J864" s="5" t="s">
        <v>9125</v>
      </c>
      <c r="L864">
        <f t="shared" si="26"/>
        <v>0</v>
      </c>
      <c r="R864" s="16" t="s">
        <v>8064</v>
      </c>
      <c r="S864" s="16" t="s">
        <v>8064</v>
      </c>
      <c r="T864" t="s">
        <v>2880</v>
      </c>
      <c r="U864">
        <v>1</v>
      </c>
      <c r="V864" t="s">
        <v>8655</v>
      </c>
      <c r="X864" t="s">
        <v>3092</v>
      </c>
      <c r="Y864">
        <f t="shared" si="27"/>
        <v>0</v>
      </c>
    </row>
    <row r="865" spans="1:25" hidden="1">
      <c r="A865" t="s">
        <v>2877</v>
      </c>
      <c r="B865">
        <v>1259</v>
      </c>
      <c r="C865">
        <v>1259</v>
      </c>
      <c r="D865">
        <v>13</v>
      </c>
      <c r="E865" t="s">
        <v>2878</v>
      </c>
      <c r="F865" t="s">
        <v>2874</v>
      </c>
      <c r="H865" t="s">
        <v>2879</v>
      </c>
      <c r="I865" t="s">
        <v>8928</v>
      </c>
      <c r="J865" t="s">
        <v>9088</v>
      </c>
      <c r="L865">
        <f t="shared" si="26"/>
        <v>1</v>
      </c>
      <c r="M865" t="s">
        <v>6342</v>
      </c>
      <c r="N865" t="s">
        <v>6343</v>
      </c>
      <c r="O865" t="s">
        <v>104</v>
      </c>
      <c r="P865" t="s">
        <v>6344</v>
      </c>
      <c r="Q865">
        <v>448470</v>
      </c>
      <c r="R865" s="16" t="s">
        <v>8604</v>
      </c>
      <c r="S865" s="16" t="s">
        <v>8310</v>
      </c>
      <c r="T865" t="s">
        <v>2877</v>
      </c>
      <c r="U865">
        <v>1</v>
      </c>
      <c r="V865" t="s">
        <v>8656</v>
      </c>
      <c r="W865" t="s">
        <v>104</v>
      </c>
      <c r="X865" t="s">
        <v>3092</v>
      </c>
      <c r="Y865">
        <f t="shared" si="27"/>
        <v>1</v>
      </c>
    </row>
    <row r="866" spans="1:25" hidden="1">
      <c r="A866" t="s">
        <v>2854</v>
      </c>
      <c r="B866" t="s">
        <v>2839</v>
      </c>
      <c r="C866">
        <v>1266</v>
      </c>
      <c r="D866">
        <v>13</v>
      </c>
      <c r="E866" t="s">
        <v>1444</v>
      </c>
      <c r="F866" t="s">
        <v>6168</v>
      </c>
      <c r="H866" t="s">
        <v>2844</v>
      </c>
      <c r="J866" t="s">
        <v>8668</v>
      </c>
      <c r="L866">
        <f t="shared" si="26"/>
        <v>0</v>
      </c>
      <c r="R866" s="16" t="s">
        <v>8064</v>
      </c>
      <c r="S866" s="16" t="s">
        <v>8064</v>
      </c>
      <c r="T866" t="s">
        <v>7986</v>
      </c>
      <c r="U866">
        <v>0</v>
      </c>
      <c r="V866" t="s">
        <v>8655</v>
      </c>
      <c r="X866" t="s">
        <v>3092</v>
      </c>
      <c r="Y866">
        <f t="shared" si="27"/>
        <v>0</v>
      </c>
    </row>
    <row r="867" spans="1:25" hidden="1">
      <c r="A867" t="s">
        <v>2855</v>
      </c>
      <c r="B867" t="s">
        <v>2839</v>
      </c>
      <c r="C867">
        <v>1266</v>
      </c>
      <c r="D867">
        <v>13</v>
      </c>
      <c r="E867" t="s">
        <v>1444</v>
      </c>
      <c r="F867" t="s">
        <v>6168</v>
      </c>
      <c r="H867" t="s">
        <v>2844</v>
      </c>
      <c r="J867" t="s">
        <v>8668</v>
      </c>
      <c r="L867">
        <f t="shared" si="26"/>
        <v>0</v>
      </c>
      <c r="R867" s="16" t="s">
        <v>8064</v>
      </c>
      <c r="S867" s="16" t="s">
        <v>8064</v>
      </c>
      <c r="T867" t="s">
        <v>7987</v>
      </c>
      <c r="U867">
        <v>0</v>
      </c>
      <c r="V867" t="s">
        <v>8655</v>
      </c>
      <c r="X867" t="s">
        <v>3092</v>
      </c>
      <c r="Y867">
        <f t="shared" si="27"/>
        <v>0</v>
      </c>
    </row>
    <row r="868" spans="1:25" hidden="1">
      <c r="A868" t="s">
        <v>2856</v>
      </c>
      <c r="B868" t="s">
        <v>2839</v>
      </c>
      <c r="C868">
        <v>1266</v>
      </c>
      <c r="D868">
        <v>13</v>
      </c>
      <c r="E868" t="s">
        <v>1444</v>
      </c>
      <c r="F868" t="s">
        <v>6168</v>
      </c>
      <c r="H868" t="s">
        <v>2844</v>
      </c>
      <c r="J868" t="s">
        <v>8668</v>
      </c>
      <c r="L868">
        <f t="shared" si="26"/>
        <v>0</v>
      </c>
      <c r="R868" s="16" t="s">
        <v>8064</v>
      </c>
      <c r="S868" s="16" t="s">
        <v>8064</v>
      </c>
      <c r="T868" t="s">
        <v>7988</v>
      </c>
      <c r="U868">
        <v>0</v>
      </c>
      <c r="V868" t="s">
        <v>8655</v>
      </c>
      <c r="X868" t="s">
        <v>3092</v>
      </c>
      <c r="Y868">
        <f t="shared" si="27"/>
        <v>0</v>
      </c>
    </row>
    <row r="869" spans="1:25" hidden="1">
      <c r="A869" t="s">
        <v>2857</v>
      </c>
      <c r="B869">
        <v>1294</v>
      </c>
      <c r="C869">
        <v>1294</v>
      </c>
      <c r="D869">
        <v>13</v>
      </c>
      <c r="E869" t="s">
        <v>1444</v>
      </c>
      <c r="F869" t="s">
        <v>2840</v>
      </c>
      <c r="H869" t="s">
        <v>2845</v>
      </c>
      <c r="J869" t="s">
        <v>8668</v>
      </c>
      <c r="L869">
        <f t="shared" si="26"/>
        <v>0</v>
      </c>
      <c r="R869" s="16" t="s">
        <v>8064</v>
      </c>
      <c r="S869" s="16" t="s">
        <v>8064</v>
      </c>
      <c r="T869" t="s">
        <v>2857</v>
      </c>
      <c r="U869">
        <v>0</v>
      </c>
      <c r="V869" t="s">
        <v>8655</v>
      </c>
      <c r="X869" t="s">
        <v>3092</v>
      </c>
      <c r="Y869">
        <f t="shared" si="27"/>
        <v>0</v>
      </c>
    </row>
    <row r="870" spans="1:25" hidden="1">
      <c r="A870" t="s">
        <v>2853</v>
      </c>
      <c r="B870">
        <v>1259</v>
      </c>
      <c r="C870">
        <v>1259</v>
      </c>
      <c r="D870">
        <v>13</v>
      </c>
      <c r="E870" t="s">
        <v>2838</v>
      </c>
      <c r="F870" t="s">
        <v>2841</v>
      </c>
      <c r="H870" t="s">
        <v>2843</v>
      </c>
      <c r="J870" t="s">
        <v>8668</v>
      </c>
      <c r="L870">
        <f t="shared" si="26"/>
        <v>1</v>
      </c>
      <c r="M870" t="s">
        <v>2838</v>
      </c>
      <c r="N870" t="s">
        <v>6329</v>
      </c>
      <c r="O870" t="s">
        <v>11</v>
      </c>
      <c r="P870">
        <v>104010</v>
      </c>
      <c r="Q870">
        <v>437220</v>
      </c>
      <c r="R870" s="16" t="s">
        <v>8608</v>
      </c>
      <c r="S870" s="16" t="s">
        <v>8314</v>
      </c>
      <c r="T870" t="s">
        <v>7989</v>
      </c>
      <c r="U870">
        <v>0</v>
      </c>
      <c r="V870" t="s">
        <v>8654</v>
      </c>
      <c r="W870" t="s">
        <v>11</v>
      </c>
      <c r="X870" t="s">
        <v>3092</v>
      </c>
      <c r="Y870">
        <f t="shared" si="27"/>
        <v>1</v>
      </c>
    </row>
    <row r="871" spans="1:25" hidden="1">
      <c r="A871" t="s">
        <v>2959</v>
      </c>
      <c r="B871">
        <v>1296</v>
      </c>
      <c r="C871">
        <v>1296</v>
      </c>
      <c r="D871">
        <v>13</v>
      </c>
      <c r="E871" t="s">
        <v>1444</v>
      </c>
      <c r="F871" t="s">
        <v>2960</v>
      </c>
      <c r="H871" t="s">
        <v>2961</v>
      </c>
      <c r="J871" t="s">
        <v>8668</v>
      </c>
      <c r="L871">
        <f t="shared" si="26"/>
        <v>0</v>
      </c>
      <c r="R871" s="16" t="s">
        <v>8064</v>
      </c>
      <c r="S871" s="16" t="s">
        <v>8064</v>
      </c>
      <c r="T871" t="s">
        <v>2959</v>
      </c>
      <c r="U871">
        <v>0</v>
      </c>
      <c r="V871" t="s">
        <v>8655</v>
      </c>
      <c r="X871" t="s">
        <v>3092</v>
      </c>
      <c r="Y871">
        <f t="shared" si="27"/>
        <v>0</v>
      </c>
    </row>
    <row r="872" spans="1:25" hidden="1">
      <c r="A872" t="s">
        <v>2956</v>
      </c>
      <c r="B872">
        <v>1298</v>
      </c>
      <c r="C872">
        <v>1298</v>
      </c>
      <c r="D872">
        <v>13</v>
      </c>
      <c r="E872" t="s">
        <v>1444</v>
      </c>
      <c r="F872" t="s">
        <v>2957</v>
      </c>
      <c r="H872" t="s">
        <v>2958</v>
      </c>
      <c r="J872" t="s">
        <v>8668</v>
      </c>
      <c r="L872">
        <f t="shared" si="26"/>
        <v>0</v>
      </c>
      <c r="R872" s="16" t="s">
        <v>8064</v>
      </c>
      <c r="S872" s="16" t="s">
        <v>8064</v>
      </c>
      <c r="T872" t="s">
        <v>2956</v>
      </c>
      <c r="U872">
        <v>0</v>
      </c>
      <c r="V872" t="s">
        <v>8655</v>
      </c>
      <c r="X872" t="s">
        <v>3092</v>
      </c>
      <c r="Y872">
        <f t="shared" si="27"/>
        <v>0</v>
      </c>
    </row>
    <row r="873" spans="1:25" hidden="1">
      <c r="A873" t="s">
        <v>2952</v>
      </c>
      <c r="B873">
        <v>1075</v>
      </c>
      <c r="C873">
        <v>1075</v>
      </c>
      <c r="D873">
        <v>11</v>
      </c>
      <c r="E873" t="s">
        <v>2953</v>
      </c>
      <c r="F873" t="s">
        <v>2954</v>
      </c>
      <c r="H873" t="s">
        <v>2955</v>
      </c>
      <c r="J873" t="s">
        <v>8668</v>
      </c>
      <c r="L873">
        <f t="shared" si="26"/>
        <v>0</v>
      </c>
      <c r="R873" s="16" t="s">
        <v>8064</v>
      </c>
      <c r="S873" s="16" t="s">
        <v>8064</v>
      </c>
      <c r="T873" t="s">
        <v>2952</v>
      </c>
      <c r="U873">
        <v>0</v>
      </c>
      <c r="V873" t="s">
        <v>8655</v>
      </c>
      <c r="X873" t="s">
        <v>3092</v>
      </c>
      <c r="Y873">
        <f t="shared" si="27"/>
        <v>0</v>
      </c>
    </row>
    <row r="874" spans="1:25" hidden="1">
      <c r="A874" t="s">
        <v>2945</v>
      </c>
      <c r="B874">
        <v>1181</v>
      </c>
      <c r="C874">
        <v>1181</v>
      </c>
      <c r="D874">
        <v>12</v>
      </c>
      <c r="E874" t="s">
        <v>2946</v>
      </c>
      <c r="F874" t="s">
        <v>2947</v>
      </c>
      <c r="H874" t="s">
        <v>2948</v>
      </c>
      <c r="J874" t="s">
        <v>8668</v>
      </c>
      <c r="L874">
        <f t="shared" si="26"/>
        <v>0</v>
      </c>
      <c r="R874" s="16" t="s">
        <v>8064</v>
      </c>
      <c r="S874" s="16" t="s">
        <v>8064</v>
      </c>
      <c r="T874" t="s">
        <v>2945</v>
      </c>
      <c r="U874">
        <v>0</v>
      </c>
      <c r="V874" t="s">
        <v>8655</v>
      </c>
      <c r="X874" t="s">
        <v>3092</v>
      </c>
      <c r="Y874">
        <f t="shared" si="27"/>
        <v>0</v>
      </c>
    </row>
    <row r="875" spans="1:25" hidden="1">
      <c r="A875" t="s">
        <v>2949</v>
      </c>
      <c r="B875">
        <v>1284</v>
      </c>
      <c r="C875">
        <v>1284</v>
      </c>
      <c r="D875">
        <v>13</v>
      </c>
      <c r="E875" t="s">
        <v>1444</v>
      </c>
      <c r="F875" t="s">
        <v>2950</v>
      </c>
      <c r="H875" t="s">
        <v>2951</v>
      </c>
      <c r="J875" t="s">
        <v>8668</v>
      </c>
      <c r="L875">
        <f t="shared" si="26"/>
        <v>0</v>
      </c>
      <c r="R875" s="16" t="s">
        <v>8064</v>
      </c>
      <c r="S875" s="16" t="s">
        <v>8064</v>
      </c>
      <c r="T875" t="s">
        <v>2949</v>
      </c>
      <c r="U875">
        <v>0</v>
      </c>
      <c r="V875" t="s">
        <v>8655</v>
      </c>
      <c r="X875" t="s">
        <v>3092</v>
      </c>
      <c r="Y875">
        <f t="shared" si="27"/>
        <v>0</v>
      </c>
    </row>
    <row r="876" spans="1:25" hidden="1">
      <c r="A876" t="s">
        <v>2941</v>
      </c>
      <c r="B876">
        <v>1290</v>
      </c>
      <c r="C876">
        <v>1290</v>
      </c>
      <c r="D876">
        <v>13</v>
      </c>
      <c r="E876" t="s">
        <v>2942</v>
      </c>
      <c r="F876" t="s">
        <v>2943</v>
      </c>
      <c r="H876" t="s">
        <v>2944</v>
      </c>
      <c r="J876" t="s">
        <v>8668</v>
      </c>
      <c r="L876">
        <f t="shared" si="26"/>
        <v>1</v>
      </c>
      <c r="M876" t="s">
        <v>6472</v>
      </c>
      <c r="N876" t="s">
        <v>6473</v>
      </c>
      <c r="O876" t="s">
        <v>11</v>
      </c>
      <c r="P876">
        <v>118760</v>
      </c>
      <c r="Q876">
        <v>454060</v>
      </c>
      <c r="R876" s="16" t="s">
        <v>8609</v>
      </c>
      <c r="S876" s="16" t="s">
        <v>8315</v>
      </c>
      <c r="T876" t="s">
        <v>2941</v>
      </c>
      <c r="U876">
        <v>0</v>
      </c>
      <c r="V876" t="s">
        <v>8654</v>
      </c>
      <c r="W876" t="s">
        <v>11</v>
      </c>
      <c r="X876" t="s">
        <v>3092</v>
      </c>
      <c r="Y876">
        <f t="shared" si="27"/>
        <v>1</v>
      </c>
    </row>
    <row r="877" spans="1:25" hidden="1">
      <c r="A877" t="s">
        <v>2933</v>
      </c>
      <c r="B877">
        <v>1170</v>
      </c>
      <c r="C877">
        <v>1170</v>
      </c>
      <c r="D877">
        <v>12</v>
      </c>
      <c r="E877" t="s">
        <v>2934</v>
      </c>
      <c r="F877" t="s">
        <v>2935</v>
      </c>
      <c r="H877" t="s">
        <v>2936</v>
      </c>
      <c r="J877" t="s">
        <v>8668</v>
      </c>
      <c r="L877">
        <f t="shared" si="26"/>
        <v>1</v>
      </c>
      <c r="M877" t="s">
        <v>6472</v>
      </c>
      <c r="N877" t="s">
        <v>6473</v>
      </c>
      <c r="O877" t="s">
        <v>11</v>
      </c>
      <c r="P877">
        <v>118760</v>
      </c>
      <c r="Q877">
        <v>454060</v>
      </c>
      <c r="R877" s="16" t="s">
        <v>8609</v>
      </c>
      <c r="S877" s="16" t="s">
        <v>8315</v>
      </c>
      <c r="T877" t="s">
        <v>2933</v>
      </c>
      <c r="U877">
        <v>0</v>
      </c>
      <c r="V877" t="s">
        <v>8654</v>
      </c>
      <c r="W877" t="s">
        <v>11</v>
      </c>
      <c r="X877" t="s">
        <v>3092</v>
      </c>
      <c r="Y877">
        <f t="shared" si="27"/>
        <v>1</v>
      </c>
    </row>
    <row r="878" spans="1:25" hidden="1">
      <c r="A878" t="s">
        <v>2937</v>
      </c>
      <c r="B878">
        <v>1259</v>
      </c>
      <c r="C878">
        <v>1259</v>
      </c>
      <c r="D878">
        <v>13</v>
      </c>
      <c r="E878" t="s">
        <v>2938</v>
      </c>
      <c r="F878" t="s">
        <v>2939</v>
      </c>
      <c r="H878" t="s">
        <v>2940</v>
      </c>
      <c r="J878" t="s">
        <v>8668</v>
      </c>
      <c r="L878">
        <f t="shared" si="26"/>
        <v>1</v>
      </c>
      <c r="M878" t="s">
        <v>6472</v>
      </c>
      <c r="N878" t="s">
        <v>6473</v>
      </c>
      <c r="O878" t="s">
        <v>11</v>
      </c>
      <c r="P878">
        <v>118760</v>
      </c>
      <c r="Q878">
        <v>454060</v>
      </c>
      <c r="R878" s="16" t="s">
        <v>8609</v>
      </c>
      <c r="S878" s="16" t="s">
        <v>8315</v>
      </c>
      <c r="T878" t="s">
        <v>2937</v>
      </c>
      <c r="U878">
        <v>0</v>
      </c>
      <c r="V878" t="s">
        <v>8654</v>
      </c>
      <c r="W878" t="s">
        <v>11</v>
      </c>
      <c r="X878" t="s">
        <v>3092</v>
      </c>
      <c r="Y878">
        <f t="shared" si="27"/>
        <v>1</v>
      </c>
    </row>
    <row r="879" spans="1:25" hidden="1">
      <c r="A879" t="s">
        <v>2918</v>
      </c>
      <c r="B879">
        <v>1224</v>
      </c>
      <c r="C879">
        <v>1224</v>
      </c>
      <c r="D879">
        <v>13</v>
      </c>
      <c r="E879" t="s">
        <v>2919</v>
      </c>
      <c r="F879" t="s">
        <v>2920</v>
      </c>
      <c r="H879" t="s">
        <v>2921</v>
      </c>
      <c r="J879" t="s">
        <v>8668</v>
      </c>
      <c r="L879">
        <f t="shared" si="26"/>
        <v>0</v>
      </c>
      <c r="R879" s="16" t="s">
        <v>8064</v>
      </c>
      <c r="S879" s="16" t="s">
        <v>8064</v>
      </c>
      <c r="T879" t="s">
        <v>2918</v>
      </c>
      <c r="U879">
        <v>0</v>
      </c>
      <c r="V879" t="s">
        <v>8655</v>
      </c>
      <c r="X879" t="s">
        <v>3092</v>
      </c>
      <c r="Y879">
        <f t="shared" si="27"/>
        <v>0</v>
      </c>
    </row>
    <row r="880" spans="1:25" hidden="1">
      <c r="A880" t="s">
        <v>2922</v>
      </c>
      <c r="B880">
        <v>1259</v>
      </c>
      <c r="C880">
        <v>1259</v>
      </c>
      <c r="D880">
        <v>13</v>
      </c>
      <c r="E880" t="s">
        <v>2923</v>
      </c>
      <c r="F880" t="s">
        <v>2924</v>
      </c>
      <c r="H880" t="s">
        <v>2925</v>
      </c>
      <c r="J880" t="s">
        <v>8668</v>
      </c>
      <c r="L880">
        <f t="shared" si="26"/>
        <v>0</v>
      </c>
      <c r="R880" s="16" t="s">
        <v>8064</v>
      </c>
      <c r="S880" s="16" t="s">
        <v>8064</v>
      </c>
      <c r="T880" t="s">
        <v>2922</v>
      </c>
      <c r="U880">
        <v>0</v>
      </c>
      <c r="V880" t="s">
        <v>8655</v>
      </c>
      <c r="X880" t="s">
        <v>3092</v>
      </c>
      <c r="Y880">
        <f t="shared" si="27"/>
        <v>0</v>
      </c>
    </row>
    <row r="881" spans="1:25" hidden="1">
      <c r="A881" t="s">
        <v>2848</v>
      </c>
      <c r="B881">
        <v>1248</v>
      </c>
      <c r="C881">
        <v>1248</v>
      </c>
      <c r="D881">
        <v>13</v>
      </c>
      <c r="E881" t="s">
        <v>1444</v>
      </c>
      <c r="F881" t="s">
        <v>2847</v>
      </c>
      <c r="H881" t="s">
        <v>2851</v>
      </c>
      <c r="J881" t="s">
        <v>8668</v>
      </c>
      <c r="L881">
        <f t="shared" si="26"/>
        <v>0</v>
      </c>
      <c r="R881" s="16" t="s">
        <v>8064</v>
      </c>
      <c r="S881" s="16" t="s">
        <v>8064</v>
      </c>
      <c r="T881" t="s">
        <v>2848</v>
      </c>
      <c r="U881">
        <v>0</v>
      </c>
      <c r="V881" t="s">
        <v>8655</v>
      </c>
      <c r="X881" t="s">
        <v>3092</v>
      </c>
      <c r="Y881">
        <f t="shared" si="27"/>
        <v>0</v>
      </c>
    </row>
    <row r="882" spans="1:25" hidden="1">
      <c r="A882" t="s">
        <v>2849</v>
      </c>
      <c r="B882">
        <v>1281</v>
      </c>
      <c r="C882">
        <v>1281</v>
      </c>
      <c r="D882">
        <v>13</v>
      </c>
      <c r="E882" t="s">
        <v>1444</v>
      </c>
      <c r="F882" t="s">
        <v>2850</v>
      </c>
      <c r="H882" t="s">
        <v>2852</v>
      </c>
      <c r="J882" t="s">
        <v>8668</v>
      </c>
      <c r="L882">
        <f t="shared" si="26"/>
        <v>0</v>
      </c>
      <c r="R882" s="16" t="s">
        <v>8064</v>
      </c>
      <c r="S882" s="16" t="s">
        <v>8064</v>
      </c>
      <c r="T882" t="s">
        <v>2849</v>
      </c>
      <c r="U882">
        <v>0</v>
      </c>
      <c r="V882" t="s">
        <v>8655</v>
      </c>
      <c r="X882" t="s">
        <v>3092</v>
      </c>
      <c r="Y882">
        <f t="shared" si="27"/>
        <v>0</v>
      </c>
    </row>
    <row r="883" spans="1:25" hidden="1">
      <c r="A883" t="s">
        <v>2913</v>
      </c>
      <c r="B883">
        <v>1283</v>
      </c>
      <c r="C883">
        <v>1283</v>
      </c>
      <c r="D883">
        <v>13</v>
      </c>
      <c r="E883" t="s">
        <v>1444</v>
      </c>
      <c r="F883" t="s">
        <v>2911</v>
      </c>
      <c r="H883" t="s">
        <v>2912</v>
      </c>
      <c r="J883" t="s">
        <v>8668</v>
      </c>
      <c r="L883">
        <f t="shared" si="26"/>
        <v>0</v>
      </c>
      <c r="R883" s="16" t="s">
        <v>8064</v>
      </c>
      <c r="S883" s="16" t="s">
        <v>8064</v>
      </c>
      <c r="T883" t="s">
        <v>2913</v>
      </c>
      <c r="U883">
        <v>0</v>
      </c>
      <c r="V883" t="s">
        <v>8655</v>
      </c>
      <c r="X883" t="s">
        <v>3092</v>
      </c>
      <c r="Y883">
        <f t="shared" si="27"/>
        <v>0</v>
      </c>
    </row>
    <row r="884" spans="1:25" hidden="1">
      <c r="A884" t="s">
        <v>2907</v>
      </c>
      <c r="B884">
        <v>1293</v>
      </c>
      <c r="C884">
        <v>1293</v>
      </c>
      <c r="D884">
        <v>13</v>
      </c>
      <c r="E884" t="s">
        <v>2908</v>
      </c>
      <c r="F884" t="s">
        <v>2909</v>
      </c>
      <c r="H884" t="s">
        <v>2910</v>
      </c>
      <c r="J884" t="s">
        <v>8668</v>
      </c>
      <c r="L884">
        <f t="shared" si="26"/>
        <v>0</v>
      </c>
      <c r="R884" s="16" t="s">
        <v>8064</v>
      </c>
      <c r="S884" s="16" t="s">
        <v>8064</v>
      </c>
      <c r="T884" t="s">
        <v>2907</v>
      </c>
      <c r="U884">
        <v>0</v>
      </c>
      <c r="V884" t="s">
        <v>8655</v>
      </c>
      <c r="X884" t="s">
        <v>3092</v>
      </c>
      <c r="Y884">
        <f t="shared" si="27"/>
        <v>0</v>
      </c>
    </row>
    <row r="885" spans="1:25" hidden="1">
      <c r="A885" t="s">
        <v>2906</v>
      </c>
      <c r="B885">
        <v>1264</v>
      </c>
      <c r="C885">
        <v>1264</v>
      </c>
      <c r="D885">
        <v>13</v>
      </c>
      <c r="E885" t="s">
        <v>2903</v>
      </c>
      <c r="F885" t="s">
        <v>2904</v>
      </c>
      <c r="H885" t="s">
        <v>2905</v>
      </c>
      <c r="J885" t="s">
        <v>8668</v>
      </c>
      <c r="L885">
        <f t="shared" si="26"/>
        <v>0</v>
      </c>
      <c r="R885" s="16" t="s">
        <v>8064</v>
      </c>
      <c r="S885" s="16" t="s">
        <v>8064</v>
      </c>
      <c r="T885" t="s">
        <v>2906</v>
      </c>
      <c r="U885">
        <v>0</v>
      </c>
      <c r="V885" t="s">
        <v>8655</v>
      </c>
      <c r="X885" t="s">
        <v>3092</v>
      </c>
      <c r="Y885">
        <f t="shared" si="27"/>
        <v>0</v>
      </c>
    </row>
    <row r="886" spans="1:25" hidden="1">
      <c r="A886" t="s">
        <v>2900</v>
      </c>
      <c r="B886">
        <v>1202</v>
      </c>
      <c r="C886">
        <v>1202</v>
      </c>
      <c r="D886">
        <v>13</v>
      </c>
      <c r="E886" t="s">
        <v>1444</v>
      </c>
      <c r="F886" t="s">
        <v>2901</v>
      </c>
      <c r="H886" t="s">
        <v>2902</v>
      </c>
      <c r="J886" t="s">
        <v>8668</v>
      </c>
      <c r="L886">
        <f t="shared" si="26"/>
        <v>0</v>
      </c>
      <c r="R886" s="16" t="s">
        <v>8064</v>
      </c>
      <c r="S886" s="16" t="s">
        <v>8064</v>
      </c>
      <c r="T886" t="s">
        <v>2900</v>
      </c>
      <c r="U886">
        <v>0</v>
      </c>
      <c r="V886" t="s">
        <v>8655</v>
      </c>
      <c r="X886" t="s">
        <v>3092</v>
      </c>
      <c r="Y886">
        <f t="shared" si="27"/>
        <v>0</v>
      </c>
    </row>
    <row r="887" spans="1:25" hidden="1">
      <c r="A887" t="s">
        <v>2892</v>
      </c>
      <c r="B887">
        <v>1296</v>
      </c>
      <c r="C887">
        <v>1296</v>
      </c>
      <c r="D887">
        <v>13</v>
      </c>
      <c r="E887" t="s">
        <v>2893</v>
      </c>
      <c r="F887" t="s">
        <v>2894</v>
      </c>
      <c r="H887" t="s">
        <v>2895</v>
      </c>
      <c r="J887" t="s">
        <v>8668</v>
      </c>
      <c r="L887">
        <f t="shared" si="26"/>
        <v>0</v>
      </c>
      <c r="R887" s="16" t="s">
        <v>8064</v>
      </c>
      <c r="S887" s="16" t="s">
        <v>8064</v>
      </c>
      <c r="T887" t="s">
        <v>2892</v>
      </c>
      <c r="U887">
        <v>0</v>
      </c>
      <c r="V887" t="s">
        <v>8655</v>
      </c>
      <c r="X887" t="s">
        <v>3092</v>
      </c>
      <c r="Y887">
        <f t="shared" si="27"/>
        <v>0</v>
      </c>
    </row>
    <row r="888" spans="1:25" hidden="1">
      <c r="A888" t="s">
        <v>2896</v>
      </c>
      <c r="B888">
        <v>1297</v>
      </c>
      <c r="C888">
        <v>1297</v>
      </c>
      <c r="D888">
        <v>13</v>
      </c>
      <c r="E888" t="s">
        <v>2897</v>
      </c>
      <c r="F888" t="s">
        <v>2898</v>
      </c>
      <c r="H888" t="s">
        <v>2899</v>
      </c>
      <c r="J888" t="s">
        <v>8668</v>
      </c>
      <c r="L888">
        <f t="shared" si="26"/>
        <v>1</v>
      </c>
      <c r="M888" t="s">
        <v>2897</v>
      </c>
      <c r="N888" t="s">
        <v>6326</v>
      </c>
      <c r="O888" t="s">
        <v>11</v>
      </c>
      <c r="P888">
        <v>113500</v>
      </c>
      <c r="Q888">
        <v>464970</v>
      </c>
      <c r="R888" s="16" t="s">
        <v>8610</v>
      </c>
      <c r="S888" s="16" t="s">
        <v>8316</v>
      </c>
      <c r="T888" t="s">
        <v>2896</v>
      </c>
      <c r="U888">
        <v>0</v>
      </c>
      <c r="V888" t="s">
        <v>8654</v>
      </c>
      <c r="W888" t="s">
        <v>11</v>
      </c>
      <c r="X888" t="s">
        <v>3092</v>
      </c>
      <c r="Y888">
        <f t="shared" si="27"/>
        <v>1</v>
      </c>
    </row>
    <row r="889" spans="1:25" hidden="1">
      <c r="A889" t="s">
        <v>2889</v>
      </c>
      <c r="B889">
        <v>1285</v>
      </c>
      <c r="C889">
        <v>1285</v>
      </c>
      <c r="D889">
        <v>13</v>
      </c>
      <c r="E889" t="s">
        <v>1444</v>
      </c>
      <c r="F889" t="s">
        <v>2890</v>
      </c>
      <c r="H889" t="s">
        <v>2891</v>
      </c>
      <c r="J889" t="s">
        <v>8668</v>
      </c>
      <c r="L889">
        <f t="shared" si="26"/>
        <v>0</v>
      </c>
      <c r="R889" s="16" t="s">
        <v>8064</v>
      </c>
      <c r="S889" s="16" t="s">
        <v>8064</v>
      </c>
      <c r="T889" t="s">
        <v>2889</v>
      </c>
      <c r="U889">
        <v>0</v>
      </c>
      <c r="V889" t="s">
        <v>8655</v>
      </c>
      <c r="X889" t="s">
        <v>3092</v>
      </c>
      <c r="Y889">
        <f t="shared" si="27"/>
        <v>0</v>
      </c>
    </row>
    <row r="890" spans="1:25" hidden="1">
      <c r="A890" s="4" t="s">
        <v>7712</v>
      </c>
      <c r="B890" s="4">
        <v>1250</v>
      </c>
      <c r="C890" s="4">
        <v>1250</v>
      </c>
      <c r="D890" s="4">
        <v>13</v>
      </c>
      <c r="E890" t="s">
        <v>2962</v>
      </c>
      <c r="F890" t="s">
        <v>2973</v>
      </c>
      <c r="H890" t="s">
        <v>2974</v>
      </c>
      <c r="J890" t="s">
        <v>8668</v>
      </c>
      <c r="L890">
        <f t="shared" si="26"/>
        <v>1</v>
      </c>
      <c r="M890" t="s">
        <v>2962</v>
      </c>
      <c r="N890" t="s">
        <v>6473</v>
      </c>
      <c r="O890" t="s">
        <v>11</v>
      </c>
      <c r="P890" t="s">
        <v>6920</v>
      </c>
      <c r="Q890" t="s">
        <v>6921</v>
      </c>
      <c r="R890" s="16" t="s">
        <v>8377</v>
      </c>
      <c r="S890" s="16" t="s">
        <v>8081</v>
      </c>
      <c r="T890" s="4" t="s">
        <v>7712</v>
      </c>
      <c r="U890">
        <v>0</v>
      </c>
      <c r="V890" t="s">
        <v>8654</v>
      </c>
      <c r="W890" t="s">
        <v>11</v>
      </c>
      <c r="X890" t="s">
        <v>3092</v>
      </c>
      <c r="Y890">
        <f t="shared" si="27"/>
        <v>1</v>
      </c>
    </row>
    <row r="891" spans="1:25" hidden="1">
      <c r="A891" s="4" t="s">
        <v>7713</v>
      </c>
      <c r="B891" s="4">
        <v>1251</v>
      </c>
      <c r="C891" s="4">
        <v>1251</v>
      </c>
      <c r="D891" s="4">
        <v>13</v>
      </c>
      <c r="E891" t="s">
        <v>2962</v>
      </c>
      <c r="F891" t="s">
        <v>2975</v>
      </c>
      <c r="H891" t="s">
        <v>2976</v>
      </c>
      <c r="J891" t="s">
        <v>8668</v>
      </c>
      <c r="L891">
        <f t="shared" si="26"/>
        <v>1</v>
      </c>
      <c r="M891" t="s">
        <v>2962</v>
      </c>
      <c r="N891" t="s">
        <v>6473</v>
      </c>
      <c r="O891" t="s">
        <v>11</v>
      </c>
      <c r="P891" t="s">
        <v>6920</v>
      </c>
      <c r="Q891" t="s">
        <v>6921</v>
      </c>
      <c r="R891" s="16" t="s">
        <v>8377</v>
      </c>
      <c r="S891" s="16" t="s">
        <v>8081</v>
      </c>
      <c r="T891" s="4" t="s">
        <v>7713</v>
      </c>
      <c r="U891">
        <v>0</v>
      </c>
      <c r="V891" t="s">
        <v>8654</v>
      </c>
      <c r="W891" t="s">
        <v>11</v>
      </c>
      <c r="X891" t="s">
        <v>3092</v>
      </c>
      <c r="Y891">
        <f t="shared" si="27"/>
        <v>1</v>
      </c>
    </row>
    <row r="892" spans="1:25" hidden="1">
      <c r="A892" s="4" t="s">
        <v>7715</v>
      </c>
      <c r="B892" s="4">
        <v>1252</v>
      </c>
      <c r="C892" s="4">
        <v>1252</v>
      </c>
      <c r="D892" s="4">
        <v>13</v>
      </c>
      <c r="E892" t="s">
        <v>2962</v>
      </c>
      <c r="F892" t="s">
        <v>2979</v>
      </c>
      <c r="H892" t="s">
        <v>2980</v>
      </c>
      <c r="J892" t="s">
        <v>8668</v>
      </c>
      <c r="L892">
        <f t="shared" si="26"/>
        <v>1</v>
      </c>
      <c r="M892" t="s">
        <v>2962</v>
      </c>
      <c r="N892" t="s">
        <v>6473</v>
      </c>
      <c r="O892" t="s">
        <v>11</v>
      </c>
      <c r="P892" t="s">
        <v>6920</v>
      </c>
      <c r="Q892" t="s">
        <v>6921</v>
      </c>
      <c r="R892" s="16" t="s">
        <v>8377</v>
      </c>
      <c r="S892" s="16" t="s">
        <v>8081</v>
      </c>
      <c r="T892" s="4" t="s">
        <v>7715</v>
      </c>
      <c r="U892">
        <v>0</v>
      </c>
      <c r="V892" t="s">
        <v>8654</v>
      </c>
      <c r="W892" t="s">
        <v>11</v>
      </c>
      <c r="X892" t="s">
        <v>3092</v>
      </c>
      <c r="Y892">
        <f t="shared" si="27"/>
        <v>1</v>
      </c>
    </row>
    <row r="893" spans="1:25" hidden="1">
      <c r="A893" s="4" t="s">
        <v>7714</v>
      </c>
      <c r="B893" s="4">
        <v>1252</v>
      </c>
      <c r="C893" s="4">
        <v>1252</v>
      </c>
      <c r="D893" s="4">
        <v>13</v>
      </c>
      <c r="E893" t="s">
        <v>2962</v>
      </c>
      <c r="F893" t="s">
        <v>2977</v>
      </c>
      <c r="H893" t="s">
        <v>2978</v>
      </c>
      <c r="J893" t="s">
        <v>8668</v>
      </c>
      <c r="L893">
        <f t="shared" si="26"/>
        <v>1</v>
      </c>
      <c r="M893" t="s">
        <v>2962</v>
      </c>
      <c r="N893" t="s">
        <v>6473</v>
      </c>
      <c r="O893" t="s">
        <v>11</v>
      </c>
      <c r="P893" t="s">
        <v>6920</v>
      </c>
      <c r="Q893" t="s">
        <v>6921</v>
      </c>
      <c r="R893" s="16" t="s">
        <v>8377</v>
      </c>
      <c r="S893" s="16" t="s">
        <v>8081</v>
      </c>
      <c r="T893" s="4" t="s">
        <v>7714</v>
      </c>
      <c r="U893">
        <v>0</v>
      </c>
      <c r="V893" t="s">
        <v>8654</v>
      </c>
      <c r="W893" t="s">
        <v>11</v>
      </c>
      <c r="X893" t="s">
        <v>3092</v>
      </c>
      <c r="Y893">
        <f t="shared" si="27"/>
        <v>1</v>
      </c>
    </row>
    <row r="894" spans="1:25" hidden="1">
      <c r="A894" s="4" t="s">
        <v>7717</v>
      </c>
      <c r="B894" s="4">
        <v>1293</v>
      </c>
      <c r="C894" s="4">
        <v>1293</v>
      </c>
      <c r="D894" s="4">
        <v>13</v>
      </c>
      <c r="E894" t="s">
        <v>2762</v>
      </c>
      <c r="F894" t="s">
        <v>2983</v>
      </c>
      <c r="H894" t="s">
        <v>2984</v>
      </c>
      <c r="J894" t="s">
        <v>8668</v>
      </c>
      <c r="L894">
        <f t="shared" si="26"/>
        <v>1</v>
      </c>
      <c r="M894" t="s">
        <v>2762</v>
      </c>
      <c r="N894" t="s">
        <v>6324</v>
      </c>
      <c r="O894" t="s">
        <v>11</v>
      </c>
      <c r="P894">
        <v>113410</v>
      </c>
      <c r="Q894">
        <v>444940</v>
      </c>
      <c r="R894" s="16" t="s">
        <v>8378</v>
      </c>
      <c r="S894" s="16" t="s">
        <v>8082</v>
      </c>
      <c r="T894" s="4" t="s">
        <v>7717</v>
      </c>
      <c r="U894">
        <v>0</v>
      </c>
      <c r="V894" t="s">
        <v>8654</v>
      </c>
      <c r="W894" t="s">
        <v>11</v>
      </c>
      <c r="X894" t="s">
        <v>3092</v>
      </c>
      <c r="Y894">
        <f t="shared" si="27"/>
        <v>1</v>
      </c>
    </row>
    <row r="895" spans="1:25" hidden="1">
      <c r="A895" s="4" t="s">
        <v>2963</v>
      </c>
      <c r="B895" s="4">
        <v>1174</v>
      </c>
      <c r="C895" s="4">
        <v>1174</v>
      </c>
      <c r="D895" s="4">
        <v>12</v>
      </c>
      <c r="E895" t="s">
        <v>1444</v>
      </c>
      <c r="F895" t="s">
        <v>2972</v>
      </c>
      <c r="H895" t="s">
        <v>2971</v>
      </c>
      <c r="J895" t="s">
        <v>8668</v>
      </c>
      <c r="L895">
        <f t="shared" si="26"/>
        <v>0</v>
      </c>
      <c r="R895" s="16" t="s">
        <v>8064</v>
      </c>
      <c r="S895" s="16" t="s">
        <v>8064</v>
      </c>
      <c r="T895" s="4" t="s">
        <v>2963</v>
      </c>
      <c r="U895">
        <v>0</v>
      </c>
      <c r="V895" t="s">
        <v>8655</v>
      </c>
      <c r="X895" t="s">
        <v>3092</v>
      </c>
      <c r="Y895">
        <f t="shared" si="27"/>
        <v>0</v>
      </c>
    </row>
    <row r="896" spans="1:25" hidden="1">
      <c r="A896" s="4" t="s">
        <v>7716</v>
      </c>
      <c r="B896" s="4">
        <v>1287</v>
      </c>
      <c r="C896" s="4">
        <v>1287</v>
      </c>
      <c r="D896" s="4">
        <v>13</v>
      </c>
      <c r="E896" t="s">
        <v>1444</v>
      </c>
      <c r="F896" t="s">
        <v>2981</v>
      </c>
      <c r="H896" t="s">
        <v>2982</v>
      </c>
      <c r="J896" t="s">
        <v>8668</v>
      </c>
      <c r="L896">
        <f t="shared" si="26"/>
        <v>0</v>
      </c>
      <c r="R896" s="16" t="s">
        <v>8064</v>
      </c>
      <c r="S896" s="16" t="s">
        <v>8064</v>
      </c>
      <c r="T896" s="4" t="s">
        <v>7716</v>
      </c>
      <c r="U896">
        <v>0</v>
      </c>
      <c r="V896" t="s">
        <v>8655</v>
      </c>
      <c r="X896" t="s">
        <v>3092</v>
      </c>
      <c r="Y896">
        <f t="shared" si="27"/>
        <v>0</v>
      </c>
    </row>
    <row r="897" spans="1:25" hidden="1">
      <c r="A897" t="s">
        <v>2986</v>
      </c>
      <c r="B897" s="4">
        <v>1271</v>
      </c>
      <c r="C897" s="4">
        <v>1271</v>
      </c>
      <c r="D897" s="4">
        <v>13</v>
      </c>
      <c r="E897" t="s">
        <v>2988</v>
      </c>
      <c r="F897" t="s">
        <v>2990</v>
      </c>
      <c r="H897" t="s">
        <v>2993</v>
      </c>
      <c r="J897" t="s">
        <v>8668</v>
      </c>
      <c r="L897">
        <f t="shared" si="26"/>
        <v>0</v>
      </c>
      <c r="R897" s="16" t="s">
        <v>8064</v>
      </c>
      <c r="S897" s="16" t="s">
        <v>8064</v>
      </c>
      <c r="T897" t="s">
        <v>2986</v>
      </c>
      <c r="U897">
        <v>0</v>
      </c>
      <c r="V897" t="s">
        <v>8655</v>
      </c>
      <c r="X897" t="s">
        <v>3092</v>
      </c>
      <c r="Y897">
        <f t="shared" si="27"/>
        <v>0</v>
      </c>
    </row>
    <row r="898" spans="1:25" hidden="1">
      <c r="A898" s="4" t="s">
        <v>2985</v>
      </c>
      <c r="B898" s="4">
        <v>1244</v>
      </c>
      <c r="C898" s="4">
        <v>1244</v>
      </c>
      <c r="D898" s="4">
        <v>13</v>
      </c>
      <c r="E898" t="s">
        <v>2970</v>
      </c>
      <c r="F898" t="s">
        <v>2989</v>
      </c>
      <c r="H898" t="s">
        <v>2992</v>
      </c>
      <c r="J898" t="s">
        <v>8668</v>
      </c>
      <c r="L898">
        <f t="shared" ref="L898:L961" si="28">IF(M898&lt;&gt;"",1,0)</f>
        <v>0</v>
      </c>
      <c r="R898" s="16" t="s">
        <v>8064</v>
      </c>
      <c r="S898" s="16" t="s">
        <v>8064</v>
      </c>
      <c r="T898" s="4" t="s">
        <v>2985</v>
      </c>
      <c r="U898">
        <v>0</v>
      </c>
      <c r="V898" t="s">
        <v>8655</v>
      </c>
      <c r="X898" t="s">
        <v>3092</v>
      </c>
      <c r="Y898">
        <f t="shared" ref="Y898:Y961" si="29">IF(OR(V898="Loc",V898="IIIF"),1,0)</f>
        <v>0</v>
      </c>
    </row>
    <row r="899" spans="1:25" hidden="1">
      <c r="A899" t="s">
        <v>2987</v>
      </c>
      <c r="B899" s="4">
        <v>1285</v>
      </c>
      <c r="C899" s="4">
        <v>1285</v>
      </c>
      <c r="D899" s="4">
        <v>13</v>
      </c>
      <c r="E899" t="s">
        <v>1444</v>
      </c>
      <c r="F899" t="s">
        <v>2991</v>
      </c>
      <c r="H899" t="s">
        <v>2994</v>
      </c>
      <c r="J899" t="s">
        <v>8668</v>
      </c>
      <c r="L899">
        <f t="shared" si="28"/>
        <v>0</v>
      </c>
      <c r="R899" s="16" t="s">
        <v>8064</v>
      </c>
      <c r="S899" s="16" t="s">
        <v>8064</v>
      </c>
      <c r="T899" t="s">
        <v>2987</v>
      </c>
      <c r="U899">
        <v>0</v>
      </c>
      <c r="V899" t="s">
        <v>8655</v>
      </c>
      <c r="X899" t="s">
        <v>3092</v>
      </c>
      <c r="Y899">
        <f t="shared" si="29"/>
        <v>0</v>
      </c>
    </row>
    <row r="900" spans="1:25" hidden="1">
      <c r="A900" s="4" t="s">
        <v>2995</v>
      </c>
      <c r="B900" s="4">
        <v>1125</v>
      </c>
      <c r="C900" s="4">
        <v>1125</v>
      </c>
      <c r="D900" s="4">
        <v>12</v>
      </c>
      <c r="E900" t="s">
        <v>1444</v>
      </c>
      <c r="F900" t="s">
        <v>2996</v>
      </c>
      <c r="H900" t="s">
        <v>2997</v>
      </c>
      <c r="J900" t="s">
        <v>8668</v>
      </c>
      <c r="L900">
        <f t="shared" si="28"/>
        <v>0</v>
      </c>
      <c r="R900" s="16" t="s">
        <v>8064</v>
      </c>
      <c r="S900" s="16" t="s">
        <v>8064</v>
      </c>
      <c r="T900" s="4" t="s">
        <v>2995</v>
      </c>
      <c r="U900">
        <v>0</v>
      </c>
      <c r="V900" t="s">
        <v>8655</v>
      </c>
      <c r="X900" t="s">
        <v>3092</v>
      </c>
      <c r="Y900">
        <f t="shared" si="29"/>
        <v>0</v>
      </c>
    </row>
    <row r="901" spans="1:25" hidden="1">
      <c r="A901" s="4" t="s">
        <v>2998</v>
      </c>
      <c r="B901" s="4">
        <v>1297</v>
      </c>
      <c r="C901" s="4">
        <v>1297</v>
      </c>
      <c r="D901" s="4">
        <v>13</v>
      </c>
      <c r="E901" t="s">
        <v>2999</v>
      </c>
      <c r="F901" t="s">
        <v>3000</v>
      </c>
      <c r="H901" t="s">
        <v>3001</v>
      </c>
      <c r="J901" t="s">
        <v>8668</v>
      </c>
      <c r="L901">
        <f t="shared" si="28"/>
        <v>0</v>
      </c>
      <c r="R901" s="16" t="s">
        <v>8064</v>
      </c>
      <c r="S901" s="16" t="s">
        <v>8064</v>
      </c>
      <c r="T901" s="4" t="s">
        <v>2998</v>
      </c>
      <c r="U901">
        <v>0</v>
      </c>
      <c r="V901" t="s">
        <v>8655</v>
      </c>
      <c r="X901" t="s">
        <v>3092</v>
      </c>
      <c r="Y901">
        <f t="shared" si="29"/>
        <v>0</v>
      </c>
    </row>
    <row r="902" spans="1:25" hidden="1">
      <c r="A902" s="4" t="s">
        <v>8843</v>
      </c>
      <c r="B902" s="4">
        <v>1235</v>
      </c>
      <c r="C902" s="4">
        <v>1235</v>
      </c>
      <c r="D902" s="4">
        <v>13</v>
      </c>
      <c r="E902" t="s">
        <v>3002</v>
      </c>
      <c r="F902" t="s">
        <v>3004</v>
      </c>
      <c r="H902" t="s">
        <v>3005</v>
      </c>
      <c r="J902" t="s">
        <v>8668</v>
      </c>
      <c r="L902">
        <f t="shared" si="28"/>
        <v>0</v>
      </c>
      <c r="R902" s="16" t="s">
        <v>8064</v>
      </c>
      <c r="S902" s="16" t="s">
        <v>8064</v>
      </c>
      <c r="T902" s="4" t="s">
        <v>3003</v>
      </c>
      <c r="U902">
        <v>0</v>
      </c>
      <c r="V902" t="s">
        <v>8655</v>
      </c>
      <c r="X902" t="s">
        <v>3092</v>
      </c>
      <c r="Y902">
        <f t="shared" si="29"/>
        <v>0</v>
      </c>
    </row>
    <row r="903" spans="1:25" hidden="1">
      <c r="A903" t="s">
        <v>2884</v>
      </c>
      <c r="B903">
        <v>1224</v>
      </c>
      <c r="C903">
        <v>1224</v>
      </c>
      <c r="D903">
        <v>13</v>
      </c>
      <c r="E903" t="s">
        <v>1444</v>
      </c>
      <c r="F903" t="s">
        <v>6167</v>
      </c>
      <c r="H903" t="s">
        <v>2885</v>
      </c>
      <c r="J903" t="s">
        <v>8668</v>
      </c>
      <c r="L903">
        <f t="shared" si="28"/>
        <v>0</v>
      </c>
      <c r="R903" s="16" t="s">
        <v>8064</v>
      </c>
      <c r="S903" s="16" t="s">
        <v>8064</v>
      </c>
      <c r="T903" t="s">
        <v>2884</v>
      </c>
      <c r="U903">
        <v>0</v>
      </c>
      <c r="V903" t="s">
        <v>8655</v>
      </c>
      <c r="X903" t="s">
        <v>3092</v>
      </c>
      <c r="Y903">
        <f t="shared" si="29"/>
        <v>0</v>
      </c>
    </row>
    <row r="904" spans="1:25" hidden="1">
      <c r="A904" t="s">
        <v>2887</v>
      </c>
      <c r="B904">
        <v>1283</v>
      </c>
      <c r="C904">
        <v>1283</v>
      </c>
      <c r="D904">
        <v>13</v>
      </c>
      <c r="E904" t="s">
        <v>2888</v>
      </c>
      <c r="F904" t="s">
        <v>6167</v>
      </c>
      <c r="H904" t="s">
        <v>2886</v>
      </c>
      <c r="J904" t="s">
        <v>8668</v>
      </c>
      <c r="L904">
        <f t="shared" si="28"/>
        <v>1</v>
      </c>
      <c r="M904" t="s">
        <v>2888</v>
      </c>
      <c r="N904" t="s">
        <v>6324</v>
      </c>
      <c r="O904" t="s">
        <v>11</v>
      </c>
      <c r="P904">
        <v>118840</v>
      </c>
      <c r="Q904">
        <v>442870</v>
      </c>
      <c r="R904" s="16" t="s">
        <v>8611</v>
      </c>
      <c r="S904" s="16" t="s">
        <v>8317</v>
      </c>
      <c r="T904" t="s">
        <v>2887</v>
      </c>
      <c r="U904">
        <v>0</v>
      </c>
      <c r="V904" t="s">
        <v>8654</v>
      </c>
      <c r="W904" t="s">
        <v>11</v>
      </c>
      <c r="X904" t="s">
        <v>3092</v>
      </c>
      <c r="Y904">
        <f t="shared" si="29"/>
        <v>1</v>
      </c>
    </row>
    <row r="905" spans="1:25" hidden="1">
      <c r="A905" t="s">
        <v>7646</v>
      </c>
      <c r="B905" t="s">
        <v>1151</v>
      </c>
      <c r="C905">
        <v>1149</v>
      </c>
      <c r="D905">
        <v>12</v>
      </c>
      <c r="E905" t="s">
        <v>3995</v>
      </c>
      <c r="F905" t="s">
        <v>1152</v>
      </c>
      <c r="H905" t="s">
        <v>1153</v>
      </c>
      <c r="J905" t="s">
        <v>8668</v>
      </c>
      <c r="L905">
        <f t="shared" si="28"/>
        <v>1</v>
      </c>
      <c r="M905" t="s">
        <v>3995</v>
      </c>
      <c r="N905" t="s">
        <v>3995</v>
      </c>
      <c r="O905" t="s">
        <v>3995</v>
      </c>
      <c r="P905" t="s">
        <v>6556</v>
      </c>
      <c r="Q905" t="s">
        <v>6557</v>
      </c>
      <c r="R905" s="16" t="s">
        <v>6556</v>
      </c>
      <c r="S905" s="16" t="s">
        <v>6557</v>
      </c>
      <c r="T905" t="s">
        <v>7866</v>
      </c>
      <c r="U905">
        <v>0</v>
      </c>
      <c r="V905" t="s">
        <v>8654</v>
      </c>
      <c r="W905" t="s">
        <v>3995</v>
      </c>
      <c r="X905" t="s">
        <v>8661</v>
      </c>
      <c r="Y905">
        <f t="shared" si="29"/>
        <v>1</v>
      </c>
    </row>
    <row r="906" spans="1:25" hidden="1">
      <c r="A906" t="s">
        <v>7219</v>
      </c>
      <c r="B906" t="s">
        <v>978</v>
      </c>
      <c r="C906">
        <v>1216</v>
      </c>
      <c r="D906">
        <v>13</v>
      </c>
      <c r="E906" t="s">
        <v>252</v>
      </c>
      <c r="F906" t="s">
        <v>979</v>
      </c>
      <c r="G906" t="str">
        <f>VLOOKUP(TRIM(F906), [1]mss!$AA:$AA,1,0)</f>
        <v>Ca I 166</v>
      </c>
      <c r="H906" t="s">
        <v>980</v>
      </c>
      <c r="I906" t="s">
        <v>8928</v>
      </c>
      <c r="J906" t="s">
        <v>8969</v>
      </c>
      <c r="L906">
        <f t="shared" si="28"/>
        <v>1</v>
      </c>
      <c r="M906" t="s">
        <v>6439</v>
      </c>
      <c r="N906" t="s">
        <v>6331</v>
      </c>
      <c r="O906" t="s">
        <v>12</v>
      </c>
      <c r="P906" t="s">
        <v>6440</v>
      </c>
      <c r="Q906">
        <v>532300</v>
      </c>
      <c r="R906" s="16" t="s">
        <v>8454</v>
      </c>
      <c r="S906" s="16" t="s">
        <v>8158</v>
      </c>
      <c r="T906" t="s">
        <v>7219</v>
      </c>
      <c r="U906">
        <v>1</v>
      </c>
      <c r="V906" t="s">
        <v>8656</v>
      </c>
      <c r="W906" t="s">
        <v>12</v>
      </c>
      <c r="X906" t="s">
        <v>3012</v>
      </c>
      <c r="Y906">
        <f t="shared" si="29"/>
        <v>1</v>
      </c>
    </row>
    <row r="907" spans="1:25" hidden="1">
      <c r="A907" t="s">
        <v>7656</v>
      </c>
      <c r="B907" t="s">
        <v>251</v>
      </c>
      <c r="C907">
        <v>1219</v>
      </c>
      <c r="D907">
        <v>13</v>
      </c>
      <c r="E907" t="s">
        <v>252</v>
      </c>
      <c r="F907" t="s">
        <v>1171</v>
      </c>
      <c r="G907" t="str">
        <f>VLOOKUP(TRIM(F907), [1]mss!$AA:$AA,1,0)</f>
        <v>Lo I 66</v>
      </c>
      <c r="H907" t="s">
        <v>1172</v>
      </c>
      <c r="J907" t="s">
        <v>8668</v>
      </c>
      <c r="L907">
        <f t="shared" si="28"/>
        <v>1</v>
      </c>
      <c r="M907" t="s">
        <v>6439</v>
      </c>
      <c r="N907" t="s">
        <v>6331</v>
      </c>
      <c r="O907" t="s">
        <v>12</v>
      </c>
      <c r="P907" t="s">
        <v>6440</v>
      </c>
      <c r="Q907">
        <v>532300</v>
      </c>
      <c r="R907" s="16" t="s">
        <v>8454</v>
      </c>
      <c r="S907" s="16" t="s">
        <v>8158</v>
      </c>
      <c r="T907" t="s">
        <v>7656</v>
      </c>
      <c r="U907">
        <v>0</v>
      </c>
      <c r="V907" t="s">
        <v>8654</v>
      </c>
      <c r="W907" t="s">
        <v>12</v>
      </c>
      <c r="X907" t="s">
        <v>8661</v>
      </c>
      <c r="Y907">
        <f t="shared" si="29"/>
        <v>1</v>
      </c>
    </row>
    <row r="908" spans="1:25" hidden="1">
      <c r="A908" t="s">
        <v>7118</v>
      </c>
      <c r="B908" t="s">
        <v>385</v>
      </c>
      <c r="C908">
        <v>1221</v>
      </c>
      <c r="D908">
        <v>13</v>
      </c>
      <c r="E908" t="s">
        <v>4124</v>
      </c>
      <c r="F908" t="s">
        <v>686</v>
      </c>
      <c r="G908" t="str">
        <f>VLOOKUP(TRIM(F908), [1]mss!$AA:$AA,1,0)</f>
        <v>BL I 554</v>
      </c>
      <c r="H908" t="s">
        <v>687</v>
      </c>
      <c r="I908" t="s">
        <v>8928</v>
      </c>
      <c r="J908" t="s">
        <v>8937</v>
      </c>
      <c r="L908">
        <f t="shared" si="28"/>
        <v>1</v>
      </c>
      <c r="M908" t="s">
        <v>6391</v>
      </c>
      <c r="N908" t="s">
        <v>6346</v>
      </c>
      <c r="O908" t="s">
        <v>12</v>
      </c>
      <c r="P908" t="s">
        <v>6392</v>
      </c>
      <c r="Q908">
        <v>523970</v>
      </c>
      <c r="R908" s="16" t="s">
        <v>8419</v>
      </c>
      <c r="S908" s="16" t="s">
        <v>8123</v>
      </c>
      <c r="T908" t="s">
        <v>7777</v>
      </c>
      <c r="U908">
        <v>1</v>
      </c>
      <c r="V908" t="s">
        <v>8656</v>
      </c>
      <c r="W908" t="s">
        <v>12</v>
      </c>
      <c r="X908" t="s">
        <v>8659</v>
      </c>
      <c r="Y908">
        <f t="shared" si="29"/>
        <v>1</v>
      </c>
    </row>
    <row r="909" spans="1:25" hidden="1">
      <c r="A909" t="s">
        <v>7560</v>
      </c>
      <c r="B909" t="s">
        <v>94</v>
      </c>
      <c r="C909">
        <v>1225</v>
      </c>
      <c r="D909">
        <v>13</v>
      </c>
      <c r="E909" t="s">
        <v>95</v>
      </c>
      <c r="F909" t="s">
        <v>1105</v>
      </c>
      <c r="H909" t="s">
        <v>335</v>
      </c>
      <c r="J909" t="s">
        <v>8668</v>
      </c>
      <c r="L909">
        <f t="shared" si="28"/>
        <v>1</v>
      </c>
      <c r="M909" t="s">
        <v>6387</v>
      </c>
      <c r="N909" t="s">
        <v>6388</v>
      </c>
      <c r="O909" t="s">
        <v>12</v>
      </c>
      <c r="P909">
        <v>-15770</v>
      </c>
      <c r="Q909">
        <v>547750</v>
      </c>
      <c r="R909" s="16" t="s">
        <v>8398</v>
      </c>
      <c r="S909" s="16" t="s">
        <v>8102</v>
      </c>
      <c r="T909" t="s">
        <v>7560</v>
      </c>
      <c r="U909">
        <v>0</v>
      </c>
      <c r="V909" t="s">
        <v>8654</v>
      </c>
      <c r="W909" t="s">
        <v>12</v>
      </c>
      <c r="X909" t="s">
        <v>8663</v>
      </c>
      <c r="Y909">
        <f t="shared" si="29"/>
        <v>1</v>
      </c>
    </row>
    <row r="910" spans="1:25" hidden="1">
      <c r="A910" t="s">
        <v>7650</v>
      </c>
      <c r="B910" t="s">
        <v>234</v>
      </c>
      <c r="C910">
        <v>1226</v>
      </c>
      <c r="D910">
        <v>13</v>
      </c>
      <c r="E910" t="s">
        <v>235</v>
      </c>
      <c r="F910" t="s">
        <v>1173</v>
      </c>
      <c r="H910" t="s">
        <v>1174</v>
      </c>
      <c r="J910" t="s">
        <v>8668</v>
      </c>
      <c r="L910">
        <f t="shared" si="28"/>
        <v>1</v>
      </c>
      <c r="M910" t="s">
        <v>6362</v>
      </c>
      <c r="N910" t="s">
        <v>6363</v>
      </c>
      <c r="O910" t="s">
        <v>12</v>
      </c>
      <c r="P910">
        <v>-28920</v>
      </c>
      <c r="Q910">
        <v>531910</v>
      </c>
      <c r="R910" s="16" t="s">
        <v>8499</v>
      </c>
      <c r="S910" s="16" t="s">
        <v>8205</v>
      </c>
      <c r="T910" t="s">
        <v>7869</v>
      </c>
      <c r="U910">
        <v>0</v>
      </c>
      <c r="V910" t="s">
        <v>8654</v>
      </c>
      <c r="W910" t="s">
        <v>12</v>
      </c>
      <c r="X910" t="s">
        <v>8661</v>
      </c>
      <c r="Y910">
        <f t="shared" si="29"/>
        <v>1</v>
      </c>
    </row>
    <row r="911" spans="1:25" hidden="1">
      <c r="A911" t="s">
        <v>7660</v>
      </c>
      <c r="B911" t="s">
        <v>227</v>
      </c>
      <c r="C911">
        <v>1228</v>
      </c>
      <c r="D911">
        <v>13</v>
      </c>
      <c r="E911" t="s">
        <v>228</v>
      </c>
      <c r="F911" t="s">
        <v>1178</v>
      </c>
      <c r="H911" t="s">
        <v>1179</v>
      </c>
      <c r="J911" t="s">
        <v>8668</v>
      </c>
      <c r="L911">
        <f t="shared" si="28"/>
        <v>1</v>
      </c>
      <c r="M911" t="s">
        <v>6311</v>
      </c>
      <c r="N911" t="s">
        <v>6983</v>
      </c>
      <c r="O911" t="s">
        <v>6984</v>
      </c>
      <c r="P911" t="s">
        <v>6985</v>
      </c>
      <c r="Q911">
        <v>524545</v>
      </c>
      <c r="R911" s="16" t="s">
        <v>8441</v>
      </c>
      <c r="S911" s="16" t="s">
        <v>8145</v>
      </c>
      <c r="T911" t="s">
        <v>7868</v>
      </c>
      <c r="U911">
        <v>0</v>
      </c>
      <c r="V911" t="s">
        <v>8654</v>
      </c>
      <c r="W911" t="s">
        <v>6984</v>
      </c>
      <c r="X911" t="s">
        <v>8661</v>
      </c>
      <c r="Y911">
        <f t="shared" si="29"/>
        <v>1</v>
      </c>
    </row>
    <row r="912" spans="1:25" hidden="1">
      <c r="A912" t="s">
        <v>7139</v>
      </c>
      <c r="B912" t="s">
        <v>390</v>
      </c>
      <c r="C912">
        <v>1230</v>
      </c>
      <c r="D912">
        <v>13</v>
      </c>
      <c r="E912" t="s">
        <v>4153</v>
      </c>
      <c r="F912" t="s">
        <v>698</v>
      </c>
      <c r="H912" t="s">
        <v>699</v>
      </c>
      <c r="J912" t="s">
        <v>8668</v>
      </c>
      <c r="L912">
        <f t="shared" si="28"/>
        <v>1</v>
      </c>
      <c r="M912" t="s">
        <v>6351</v>
      </c>
      <c r="N912" t="s">
        <v>6352</v>
      </c>
      <c r="O912" t="s">
        <v>12</v>
      </c>
      <c r="P912" t="s">
        <v>6353</v>
      </c>
      <c r="Q912">
        <v>519420</v>
      </c>
      <c r="R912" s="16" t="s">
        <v>8428</v>
      </c>
      <c r="S912" s="16" t="s">
        <v>8132</v>
      </c>
      <c r="T912" t="s">
        <v>7139</v>
      </c>
      <c r="U912">
        <v>0</v>
      </c>
      <c r="V912" t="s">
        <v>8654</v>
      </c>
      <c r="W912" t="s">
        <v>12</v>
      </c>
      <c r="X912" t="s">
        <v>8659</v>
      </c>
      <c r="Y912">
        <f t="shared" si="29"/>
        <v>1</v>
      </c>
    </row>
    <row r="913" spans="1:25">
      <c r="A913" t="s">
        <v>7643</v>
      </c>
      <c r="B913" t="s">
        <v>1168</v>
      </c>
      <c r="C913">
        <v>1218</v>
      </c>
      <c r="D913">
        <v>13</v>
      </c>
      <c r="E913" t="s">
        <v>12</v>
      </c>
      <c r="F913" t="s">
        <v>1169</v>
      </c>
      <c r="G913" t="str">
        <f>VLOOKUP(TRIM(F913),[1]mss!$AA:$AA,1,0)</f>
        <v>Lo I 148</v>
      </c>
      <c r="H913" t="s">
        <v>1170</v>
      </c>
      <c r="J913" t="s">
        <v>8668</v>
      </c>
      <c r="L913">
        <f t="shared" si="28"/>
        <v>0</v>
      </c>
      <c r="R913" s="16" t="s">
        <v>8064</v>
      </c>
      <c r="S913" s="16" t="s">
        <v>8064</v>
      </c>
      <c r="T913" t="s">
        <v>7864</v>
      </c>
      <c r="U913">
        <v>0</v>
      </c>
      <c r="V913" t="s">
        <v>8655</v>
      </c>
      <c r="X913" t="s">
        <v>8661</v>
      </c>
      <c r="Y913">
        <f t="shared" si="29"/>
        <v>0</v>
      </c>
    </row>
    <row r="914" spans="1:25" hidden="1">
      <c r="A914" t="s">
        <v>7191</v>
      </c>
      <c r="B914" t="s">
        <v>700</v>
      </c>
      <c r="C914">
        <v>1231</v>
      </c>
      <c r="D914">
        <v>13</v>
      </c>
      <c r="E914" t="s">
        <v>4106</v>
      </c>
      <c r="F914" t="s">
        <v>701</v>
      </c>
      <c r="H914" t="s">
        <v>702</v>
      </c>
      <c r="J914" t="s">
        <v>8668</v>
      </c>
      <c r="L914">
        <f t="shared" si="28"/>
        <v>1</v>
      </c>
      <c r="M914" t="s">
        <v>6497</v>
      </c>
      <c r="N914" t="s">
        <v>6385</v>
      </c>
      <c r="O914" t="s">
        <v>12</v>
      </c>
      <c r="P914">
        <v>-22210</v>
      </c>
      <c r="Q914">
        <v>521920</v>
      </c>
      <c r="R914" s="16" t="s">
        <v>8358</v>
      </c>
      <c r="S914" s="16" t="s">
        <v>8061</v>
      </c>
      <c r="T914" t="s">
        <v>7191</v>
      </c>
      <c r="U914">
        <v>0</v>
      </c>
      <c r="V914" t="s">
        <v>8654</v>
      </c>
      <c r="W914" t="s">
        <v>12</v>
      </c>
      <c r="X914" t="s">
        <v>8659</v>
      </c>
      <c r="Y914">
        <f t="shared" si="29"/>
        <v>1</v>
      </c>
    </row>
    <row r="915" spans="1:25" hidden="1">
      <c r="A915" t="s">
        <v>7642</v>
      </c>
      <c r="B915" t="s">
        <v>1175</v>
      </c>
      <c r="C915">
        <v>1235</v>
      </c>
      <c r="D915">
        <v>13</v>
      </c>
      <c r="E915" t="s">
        <v>3989</v>
      </c>
      <c r="F915" t="s">
        <v>1176</v>
      </c>
      <c r="H915" t="s">
        <v>1177</v>
      </c>
      <c r="J915" t="s">
        <v>8668</v>
      </c>
      <c r="L915">
        <f t="shared" si="28"/>
        <v>1</v>
      </c>
      <c r="M915" t="s">
        <v>6478</v>
      </c>
      <c r="N915" t="s">
        <v>6451</v>
      </c>
      <c r="O915" t="s">
        <v>12</v>
      </c>
      <c r="P915">
        <v>-17930</v>
      </c>
      <c r="Q915">
        <v>510680</v>
      </c>
      <c r="R915" s="16" t="s">
        <v>8444</v>
      </c>
      <c r="S915" s="16" t="s">
        <v>8148</v>
      </c>
      <c r="T915" t="s">
        <v>7642</v>
      </c>
      <c r="U915">
        <v>0</v>
      </c>
      <c r="V915" t="s">
        <v>8654</v>
      </c>
      <c r="W915" t="s">
        <v>12</v>
      </c>
      <c r="X915" t="s">
        <v>8661</v>
      </c>
      <c r="Y915">
        <f t="shared" si="29"/>
        <v>1</v>
      </c>
    </row>
    <row r="916" spans="1:25" hidden="1">
      <c r="A916" t="s">
        <v>7144</v>
      </c>
      <c r="B916" t="s">
        <v>392</v>
      </c>
      <c r="C916">
        <v>1244</v>
      </c>
      <c r="D916">
        <v>13</v>
      </c>
      <c r="E916" t="s">
        <v>4161</v>
      </c>
      <c r="F916" t="s">
        <v>710</v>
      </c>
      <c r="H916" t="s">
        <v>711</v>
      </c>
      <c r="J916" t="s">
        <v>8668</v>
      </c>
      <c r="L916">
        <f t="shared" si="28"/>
        <v>1</v>
      </c>
      <c r="M916" t="s">
        <v>6523</v>
      </c>
      <c r="N916" t="s">
        <v>6413</v>
      </c>
      <c r="O916" t="s">
        <v>12</v>
      </c>
      <c r="P916" t="s">
        <v>6524</v>
      </c>
      <c r="Q916" t="s">
        <v>6525</v>
      </c>
      <c r="R916" s="16" t="s">
        <v>8431</v>
      </c>
      <c r="S916" s="16" t="s">
        <v>8135</v>
      </c>
      <c r="T916" t="s">
        <v>7144</v>
      </c>
      <c r="U916">
        <v>0</v>
      </c>
      <c r="V916" t="s">
        <v>8654</v>
      </c>
      <c r="W916" t="s">
        <v>12</v>
      </c>
      <c r="X916" t="s">
        <v>8659</v>
      </c>
      <c r="Y916">
        <f t="shared" si="29"/>
        <v>1</v>
      </c>
    </row>
    <row r="917" spans="1:25" hidden="1">
      <c r="A917" t="s">
        <v>7085</v>
      </c>
      <c r="B917" t="s">
        <v>393</v>
      </c>
      <c r="C917">
        <v>1246</v>
      </c>
      <c r="D917">
        <v>13</v>
      </c>
      <c r="E917" t="s">
        <v>4075</v>
      </c>
      <c r="F917" t="s">
        <v>712</v>
      </c>
      <c r="H917" t="s">
        <v>713</v>
      </c>
      <c r="J917" t="s">
        <v>8668</v>
      </c>
      <c r="L917">
        <f t="shared" si="28"/>
        <v>1</v>
      </c>
      <c r="M917" t="s">
        <v>6497</v>
      </c>
      <c r="N917" t="s">
        <v>6385</v>
      </c>
      <c r="O917" t="s">
        <v>12</v>
      </c>
      <c r="P917">
        <v>-22210</v>
      </c>
      <c r="Q917">
        <v>521920</v>
      </c>
      <c r="R917" s="16" t="s">
        <v>8358</v>
      </c>
      <c r="S917" s="16" t="s">
        <v>8061</v>
      </c>
      <c r="T917" t="s">
        <v>7749</v>
      </c>
      <c r="U917">
        <v>0</v>
      </c>
      <c r="V917" t="s">
        <v>8654</v>
      </c>
      <c r="W917" t="s">
        <v>12</v>
      </c>
      <c r="X917" t="s">
        <v>8659</v>
      </c>
      <c r="Y917">
        <f t="shared" si="29"/>
        <v>1</v>
      </c>
    </row>
    <row r="918" spans="1:25" hidden="1">
      <c r="A918" t="s">
        <v>5560</v>
      </c>
      <c r="B918" t="s">
        <v>990</v>
      </c>
      <c r="C918">
        <v>1246</v>
      </c>
      <c r="D918">
        <v>13</v>
      </c>
      <c r="E918" t="s">
        <v>27</v>
      </c>
      <c r="F918" t="s">
        <v>991</v>
      </c>
      <c r="H918" t="s">
        <v>992</v>
      </c>
      <c r="J918" t="s">
        <v>8668</v>
      </c>
      <c r="L918">
        <f t="shared" si="28"/>
        <v>1</v>
      </c>
      <c r="M918" t="s">
        <v>6486</v>
      </c>
      <c r="N918" t="s">
        <v>6487</v>
      </c>
      <c r="O918" t="s">
        <v>12</v>
      </c>
      <c r="P918" t="s">
        <v>6488</v>
      </c>
      <c r="Q918">
        <v>517520</v>
      </c>
      <c r="R918" s="16" t="s">
        <v>8357</v>
      </c>
      <c r="S918" s="16" t="s">
        <v>8060</v>
      </c>
      <c r="T918" t="s">
        <v>5560</v>
      </c>
      <c r="U918">
        <v>0</v>
      </c>
      <c r="V918" t="s">
        <v>8654</v>
      </c>
      <c r="W918" t="s">
        <v>12</v>
      </c>
      <c r="X918" t="s">
        <v>3012</v>
      </c>
      <c r="Y918">
        <f t="shared" si="29"/>
        <v>1</v>
      </c>
    </row>
    <row r="919" spans="1:25" hidden="1">
      <c r="A919" t="s">
        <v>7129</v>
      </c>
      <c r="B919" t="s">
        <v>391</v>
      </c>
      <c r="C919">
        <v>1249</v>
      </c>
      <c r="D919">
        <v>13</v>
      </c>
      <c r="E919" t="s">
        <v>29</v>
      </c>
      <c r="F919" t="s">
        <v>703</v>
      </c>
      <c r="H919" t="s">
        <v>704</v>
      </c>
      <c r="J919" t="s">
        <v>8668</v>
      </c>
      <c r="L919">
        <f t="shared" si="28"/>
        <v>1</v>
      </c>
      <c r="M919" t="s">
        <v>6729</v>
      </c>
      <c r="N919" t="s">
        <v>6730</v>
      </c>
      <c r="O919" t="s">
        <v>12</v>
      </c>
      <c r="P919" t="s">
        <v>6731</v>
      </c>
      <c r="Q919" t="s">
        <v>6732</v>
      </c>
      <c r="R919" s="16" t="s">
        <v>8422</v>
      </c>
      <c r="S919" s="16" t="s">
        <v>8126</v>
      </c>
      <c r="T919" t="s">
        <v>7785</v>
      </c>
      <c r="U919">
        <v>0</v>
      </c>
      <c r="V919" t="s">
        <v>8654</v>
      </c>
      <c r="W919" t="s">
        <v>12</v>
      </c>
      <c r="X919" t="s">
        <v>8659</v>
      </c>
      <c r="Y919">
        <f t="shared" si="29"/>
        <v>1</v>
      </c>
    </row>
    <row r="920" spans="1:25" hidden="1">
      <c r="A920" t="s">
        <v>7198</v>
      </c>
      <c r="B920" t="s">
        <v>984</v>
      </c>
      <c r="C920">
        <v>1249</v>
      </c>
      <c r="D920">
        <v>13</v>
      </c>
      <c r="E920" t="s">
        <v>27</v>
      </c>
      <c r="F920" t="s">
        <v>985</v>
      </c>
      <c r="H920" t="s">
        <v>986</v>
      </c>
      <c r="I920" t="s">
        <v>8928</v>
      </c>
      <c r="J920" t="s">
        <v>8952</v>
      </c>
      <c r="L920">
        <f t="shared" si="28"/>
        <v>1</v>
      </c>
      <c r="M920" t="s">
        <v>6486</v>
      </c>
      <c r="N920" t="s">
        <v>6487</v>
      </c>
      <c r="O920" t="s">
        <v>12</v>
      </c>
      <c r="P920" t="s">
        <v>6488</v>
      </c>
      <c r="Q920">
        <v>517520</v>
      </c>
      <c r="R920" s="16" t="s">
        <v>8357</v>
      </c>
      <c r="S920" s="16" t="s">
        <v>8060</v>
      </c>
      <c r="T920" t="s">
        <v>7198</v>
      </c>
      <c r="U920">
        <v>1</v>
      </c>
      <c r="V920" t="s">
        <v>8656</v>
      </c>
      <c r="W920" t="s">
        <v>12</v>
      </c>
      <c r="X920" t="s">
        <v>3012</v>
      </c>
      <c r="Y920">
        <f t="shared" si="29"/>
        <v>1</v>
      </c>
    </row>
    <row r="921" spans="1:25" hidden="1">
      <c r="A921" t="s">
        <v>7199</v>
      </c>
      <c r="B921" t="s">
        <v>984</v>
      </c>
      <c r="C921">
        <v>1249</v>
      </c>
      <c r="D921">
        <v>13</v>
      </c>
      <c r="E921" t="s">
        <v>27</v>
      </c>
      <c r="F921" t="s">
        <v>985</v>
      </c>
      <c r="H921" t="s">
        <v>986</v>
      </c>
      <c r="I921" t="s">
        <v>8928</v>
      </c>
      <c r="J921" t="s">
        <v>8953</v>
      </c>
      <c r="L921">
        <f t="shared" si="28"/>
        <v>1</v>
      </c>
      <c r="M921" t="s">
        <v>6486</v>
      </c>
      <c r="N921" t="s">
        <v>6487</v>
      </c>
      <c r="O921" t="s">
        <v>12</v>
      </c>
      <c r="P921" t="s">
        <v>6488</v>
      </c>
      <c r="Q921">
        <v>517520</v>
      </c>
      <c r="R921" s="16" t="s">
        <v>8357</v>
      </c>
      <c r="S921" s="16" t="s">
        <v>8060</v>
      </c>
      <c r="T921" t="s">
        <v>7199</v>
      </c>
      <c r="U921">
        <v>1</v>
      </c>
      <c r="V921" t="s">
        <v>8656</v>
      </c>
      <c r="W921" t="s">
        <v>12</v>
      </c>
      <c r="X921" t="s">
        <v>3012</v>
      </c>
      <c r="Y921">
        <f t="shared" si="29"/>
        <v>1</v>
      </c>
    </row>
    <row r="922" spans="1:25">
      <c r="A922" t="s">
        <v>7638</v>
      </c>
      <c r="B922" t="s">
        <v>262</v>
      </c>
      <c r="C922">
        <v>1289</v>
      </c>
      <c r="D922">
        <v>13</v>
      </c>
      <c r="E922" t="s">
        <v>12</v>
      </c>
      <c r="F922" t="s">
        <v>1189</v>
      </c>
      <c r="G922" t="e">
        <f>VLOOKUP(TRIM(F922),[1]mss!$AA:$AA,1,0)</f>
        <v>#N/A</v>
      </c>
      <c r="H922" t="s">
        <v>1190</v>
      </c>
      <c r="J922" t="s">
        <v>8668</v>
      </c>
      <c r="L922">
        <f t="shared" si="28"/>
        <v>0</v>
      </c>
      <c r="R922" s="16" t="s">
        <v>8064</v>
      </c>
      <c r="S922" s="16" t="s">
        <v>8064</v>
      </c>
      <c r="T922" t="s">
        <v>7863</v>
      </c>
      <c r="U922">
        <v>0</v>
      </c>
      <c r="V922" t="s">
        <v>8655</v>
      </c>
      <c r="X922" t="s">
        <v>8661</v>
      </c>
      <c r="Y922">
        <f t="shared" si="29"/>
        <v>0</v>
      </c>
    </row>
    <row r="923" spans="1:25" hidden="1">
      <c r="A923" t="s">
        <v>7155</v>
      </c>
      <c r="B923" t="s">
        <v>482</v>
      </c>
      <c r="C923">
        <v>1250</v>
      </c>
      <c r="D923">
        <v>13</v>
      </c>
      <c r="E923" t="s">
        <v>29</v>
      </c>
      <c r="F923" t="s">
        <v>705</v>
      </c>
      <c r="H923" t="s">
        <v>706</v>
      </c>
      <c r="J923" t="s">
        <v>8668</v>
      </c>
      <c r="L923">
        <f t="shared" si="28"/>
        <v>1</v>
      </c>
      <c r="M923" t="s">
        <v>6729</v>
      </c>
      <c r="N923" t="s">
        <v>6730</v>
      </c>
      <c r="O923" t="s">
        <v>12</v>
      </c>
      <c r="P923" t="s">
        <v>6731</v>
      </c>
      <c r="Q923" t="s">
        <v>6732</v>
      </c>
      <c r="R923" s="16" t="s">
        <v>8422</v>
      </c>
      <c r="S923" s="16" t="s">
        <v>8126</v>
      </c>
      <c r="T923" t="s">
        <v>7795</v>
      </c>
      <c r="U923">
        <v>0</v>
      </c>
      <c r="V923" t="s">
        <v>8654</v>
      </c>
      <c r="W923" t="s">
        <v>12</v>
      </c>
      <c r="X923" t="s">
        <v>8659</v>
      </c>
      <c r="Y923">
        <f t="shared" si="29"/>
        <v>1</v>
      </c>
    </row>
    <row r="924" spans="1:25">
      <c r="A924" t="s">
        <v>7639</v>
      </c>
      <c r="B924" t="s">
        <v>264</v>
      </c>
      <c r="C924">
        <v>1287</v>
      </c>
      <c r="D924">
        <v>13</v>
      </c>
      <c r="E924" t="s">
        <v>12</v>
      </c>
      <c r="F924" t="s">
        <v>1193</v>
      </c>
      <c r="G924" t="e">
        <f>VLOOKUP(TRIM(F924),[1]mss!$AA:$AA,1,0)</f>
        <v>#N/A</v>
      </c>
      <c r="H924" t="s">
        <v>1194</v>
      </c>
      <c r="J924" t="s">
        <v>8668</v>
      </c>
      <c r="L924">
        <f t="shared" si="28"/>
        <v>0</v>
      </c>
      <c r="R924" s="16" t="s">
        <v>8064</v>
      </c>
      <c r="S924" s="16" t="s">
        <v>8064</v>
      </c>
      <c r="T924" t="s">
        <v>7639</v>
      </c>
      <c r="U924">
        <v>0</v>
      </c>
      <c r="V924" t="s">
        <v>8655</v>
      </c>
      <c r="X924" t="s">
        <v>8661</v>
      </c>
      <c r="Y924">
        <f t="shared" si="29"/>
        <v>0</v>
      </c>
    </row>
    <row r="925" spans="1:25" hidden="1">
      <c r="A925" t="s">
        <v>5563</v>
      </c>
      <c r="B925" t="s">
        <v>987</v>
      </c>
      <c r="C925">
        <v>1250</v>
      </c>
      <c r="D925">
        <v>13</v>
      </c>
      <c r="E925" t="s">
        <v>27</v>
      </c>
      <c r="F925" t="s">
        <v>988</v>
      </c>
      <c r="H925" t="s">
        <v>989</v>
      </c>
      <c r="I925" t="s">
        <v>8928</v>
      </c>
      <c r="J925" t="s">
        <v>8973</v>
      </c>
      <c r="L925">
        <f t="shared" si="28"/>
        <v>1</v>
      </c>
      <c r="M925" t="s">
        <v>6486</v>
      </c>
      <c r="N925" t="s">
        <v>6487</v>
      </c>
      <c r="O925" t="s">
        <v>12</v>
      </c>
      <c r="P925" t="s">
        <v>6488</v>
      </c>
      <c r="Q925">
        <v>517520</v>
      </c>
      <c r="R925" s="16" t="s">
        <v>8357</v>
      </c>
      <c r="S925" s="16" t="s">
        <v>8060</v>
      </c>
      <c r="T925" t="s">
        <v>5563</v>
      </c>
      <c r="U925">
        <v>1</v>
      </c>
      <c r="V925" t="s">
        <v>8656</v>
      </c>
      <c r="W925" t="s">
        <v>12</v>
      </c>
      <c r="X925" t="s">
        <v>3012</v>
      </c>
      <c r="Y925">
        <f t="shared" si="29"/>
        <v>1</v>
      </c>
    </row>
    <row r="926" spans="1:25">
      <c r="A926" t="s">
        <v>5447</v>
      </c>
      <c r="B926" t="s">
        <v>239</v>
      </c>
      <c r="C926">
        <v>1290</v>
      </c>
      <c r="D926">
        <v>13</v>
      </c>
      <c r="E926" t="s">
        <v>12</v>
      </c>
      <c r="F926" t="s">
        <v>1197</v>
      </c>
      <c r="G926" t="e">
        <f>VLOOKUP(TRIM(F926),[1]mss!$AA:$AA,1,0)</f>
        <v>#N/A</v>
      </c>
      <c r="H926" t="s">
        <v>1198</v>
      </c>
      <c r="J926" t="s">
        <v>8668</v>
      </c>
      <c r="L926">
        <f t="shared" si="28"/>
        <v>0</v>
      </c>
      <c r="R926" s="16" t="s">
        <v>8064</v>
      </c>
      <c r="S926" s="16" t="s">
        <v>8064</v>
      </c>
      <c r="T926" t="s">
        <v>5447</v>
      </c>
      <c r="U926">
        <v>0</v>
      </c>
      <c r="V926" t="s">
        <v>8655</v>
      </c>
      <c r="X926" t="s">
        <v>8661</v>
      </c>
      <c r="Y926">
        <f t="shared" si="29"/>
        <v>0</v>
      </c>
    </row>
    <row r="927" spans="1:25" hidden="1">
      <c r="A927" t="s">
        <v>7236</v>
      </c>
      <c r="B927" t="s">
        <v>993</v>
      </c>
      <c r="C927">
        <v>1250</v>
      </c>
      <c r="D927">
        <v>13</v>
      </c>
      <c r="E927" t="s">
        <v>4311</v>
      </c>
      <c r="F927" t="s">
        <v>994</v>
      </c>
      <c r="H927" t="s">
        <v>995</v>
      </c>
      <c r="J927" t="s">
        <v>8668</v>
      </c>
      <c r="L927">
        <f t="shared" si="28"/>
        <v>1</v>
      </c>
      <c r="M927" t="s">
        <v>4232</v>
      </c>
      <c r="N927" t="s">
        <v>6346</v>
      </c>
      <c r="O927" t="s">
        <v>12</v>
      </c>
      <c r="P927" t="s">
        <v>6347</v>
      </c>
      <c r="Q927">
        <v>522053</v>
      </c>
      <c r="R927" s="16" t="s">
        <v>6347</v>
      </c>
      <c r="S927" s="16" t="s">
        <v>8161</v>
      </c>
      <c r="T927" t="s">
        <v>7808</v>
      </c>
      <c r="U927">
        <v>0</v>
      </c>
      <c r="V927" t="s">
        <v>8654</v>
      </c>
      <c r="W927" t="s">
        <v>12</v>
      </c>
      <c r="X927" t="s">
        <v>3012</v>
      </c>
      <c r="Y927">
        <f t="shared" si="29"/>
        <v>1</v>
      </c>
    </row>
    <row r="928" spans="1:25" hidden="1">
      <c r="A928" t="s">
        <v>7651</v>
      </c>
      <c r="B928" t="s">
        <v>237</v>
      </c>
      <c r="C928">
        <v>1298</v>
      </c>
      <c r="D928">
        <v>13</v>
      </c>
      <c r="E928" t="s">
        <v>11</v>
      </c>
      <c r="F928" t="s">
        <v>1203</v>
      </c>
      <c r="H928" t="s">
        <v>1204</v>
      </c>
      <c r="J928" t="s">
        <v>8668</v>
      </c>
      <c r="L928">
        <f t="shared" si="28"/>
        <v>0</v>
      </c>
      <c r="R928" s="16" t="s">
        <v>8064</v>
      </c>
      <c r="S928" s="16" t="s">
        <v>8064</v>
      </c>
      <c r="T928" t="s">
        <v>7651</v>
      </c>
      <c r="U928">
        <v>0</v>
      </c>
      <c r="V928" t="s">
        <v>8655</v>
      </c>
      <c r="X928" t="s">
        <v>8661</v>
      </c>
      <c r="Y928">
        <f t="shared" si="29"/>
        <v>0</v>
      </c>
    </row>
    <row r="929" spans="1:25">
      <c r="A929" t="s">
        <v>5497</v>
      </c>
      <c r="B929" t="s">
        <v>1205</v>
      </c>
      <c r="C929">
        <v>1291</v>
      </c>
      <c r="D929">
        <v>13</v>
      </c>
      <c r="E929" t="s">
        <v>12</v>
      </c>
      <c r="F929" t="s">
        <v>1206</v>
      </c>
      <c r="G929" t="e">
        <f>VLOOKUP(TRIM(F929),[1]mss!$AA:$AA,1,0)</f>
        <v>#N/A</v>
      </c>
      <c r="H929" t="s">
        <v>1207</v>
      </c>
      <c r="J929" t="s">
        <v>8668</v>
      </c>
      <c r="L929">
        <f t="shared" si="28"/>
        <v>0</v>
      </c>
      <c r="R929" s="16" t="s">
        <v>8064</v>
      </c>
      <c r="S929" s="16" t="s">
        <v>8064</v>
      </c>
      <c r="T929" t="s">
        <v>8052</v>
      </c>
      <c r="U929">
        <v>0</v>
      </c>
      <c r="V929" t="s">
        <v>8655</v>
      </c>
      <c r="X929" t="s">
        <v>8661</v>
      </c>
      <c r="Y929">
        <f t="shared" si="29"/>
        <v>0</v>
      </c>
    </row>
    <row r="930" spans="1:25" hidden="1">
      <c r="A930" t="s">
        <v>7647</v>
      </c>
      <c r="B930">
        <v>1294</v>
      </c>
      <c r="C930">
        <v>1294</v>
      </c>
      <c r="D930">
        <v>13</v>
      </c>
      <c r="E930" t="s">
        <v>104</v>
      </c>
      <c r="F930" t="s">
        <v>1208</v>
      </c>
      <c r="H930" t="s">
        <v>1209</v>
      </c>
      <c r="J930" t="s">
        <v>8668</v>
      </c>
      <c r="L930">
        <f t="shared" si="28"/>
        <v>0</v>
      </c>
      <c r="R930" s="16" t="s">
        <v>8064</v>
      </c>
      <c r="S930" s="16" t="s">
        <v>8064</v>
      </c>
      <c r="T930" t="s">
        <v>7867</v>
      </c>
      <c r="U930">
        <v>0</v>
      </c>
      <c r="V930" t="s">
        <v>8655</v>
      </c>
      <c r="X930" t="s">
        <v>8661</v>
      </c>
      <c r="Y930">
        <f t="shared" si="29"/>
        <v>0</v>
      </c>
    </row>
    <row r="931" spans="1:25">
      <c r="A931" t="s">
        <v>7641</v>
      </c>
      <c r="B931" t="s">
        <v>1144</v>
      </c>
      <c r="C931">
        <v>1087</v>
      </c>
      <c r="D931">
        <v>11</v>
      </c>
      <c r="E931" t="s">
        <v>12</v>
      </c>
      <c r="F931" t="s">
        <v>1145</v>
      </c>
      <c r="G931" t="str">
        <f>VLOOKUP(TRIM(F931),[1]mss!$AA:$AA,1,0)</f>
        <v>Lo I 126</v>
      </c>
      <c r="H931" t="s">
        <v>1146</v>
      </c>
      <c r="J931" t="s">
        <v>8668</v>
      </c>
      <c r="L931">
        <f t="shared" si="28"/>
        <v>0</v>
      </c>
      <c r="R931" s="16" t="s">
        <v>8064</v>
      </c>
      <c r="S931" s="16" t="s">
        <v>8064</v>
      </c>
      <c r="T931" t="s">
        <v>7641</v>
      </c>
      <c r="U931">
        <v>0</v>
      </c>
      <c r="V931" t="s">
        <v>8655</v>
      </c>
      <c r="X931" t="s">
        <v>8661</v>
      </c>
      <c r="Y931">
        <f t="shared" si="29"/>
        <v>0</v>
      </c>
    </row>
    <row r="932" spans="1:25" hidden="1">
      <c r="A932" t="s">
        <v>7111</v>
      </c>
      <c r="B932" t="s">
        <v>396</v>
      </c>
      <c r="C932">
        <v>1251</v>
      </c>
      <c r="D932">
        <v>13</v>
      </c>
      <c r="E932" t="s">
        <v>27</v>
      </c>
      <c r="F932" t="s">
        <v>722</v>
      </c>
      <c r="H932" t="s">
        <v>723</v>
      </c>
      <c r="J932" t="s">
        <v>8668</v>
      </c>
      <c r="L932">
        <f t="shared" si="28"/>
        <v>1</v>
      </c>
      <c r="M932" t="s">
        <v>6486</v>
      </c>
      <c r="N932" t="s">
        <v>6487</v>
      </c>
      <c r="O932" t="s">
        <v>12</v>
      </c>
      <c r="P932" t="s">
        <v>6488</v>
      </c>
      <c r="Q932">
        <v>517520</v>
      </c>
      <c r="R932" s="16" t="s">
        <v>8357</v>
      </c>
      <c r="S932" s="16" t="s">
        <v>8060</v>
      </c>
      <c r="T932" t="s">
        <v>7771</v>
      </c>
      <c r="U932">
        <v>0</v>
      </c>
      <c r="V932" t="s">
        <v>8654</v>
      </c>
      <c r="W932" t="s">
        <v>12</v>
      </c>
      <c r="X932" t="s">
        <v>8659</v>
      </c>
      <c r="Y932">
        <f t="shared" si="29"/>
        <v>1</v>
      </c>
    </row>
    <row r="933" spans="1:25" hidden="1">
      <c r="A933" t="s">
        <v>8864</v>
      </c>
      <c r="B933" t="s">
        <v>2691</v>
      </c>
      <c r="C933">
        <v>1266</v>
      </c>
      <c r="D933">
        <v>13</v>
      </c>
      <c r="E933" t="s">
        <v>1444</v>
      </c>
      <c r="F933" t="s">
        <v>4855</v>
      </c>
      <c r="H933" t="s">
        <v>2748</v>
      </c>
      <c r="J933" t="s">
        <v>8668</v>
      </c>
      <c r="L933">
        <f t="shared" si="28"/>
        <v>0</v>
      </c>
      <c r="R933" s="16" t="s">
        <v>8064</v>
      </c>
      <c r="S933" s="16" t="s">
        <v>8064</v>
      </c>
      <c r="T933" t="s">
        <v>2666</v>
      </c>
      <c r="U933">
        <v>0</v>
      </c>
      <c r="V933" t="s">
        <v>8655</v>
      </c>
      <c r="X933" t="s">
        <v>8667</v>
      </c>
      <c r="Y933">
        <f t="shared" si="29"/>
        <v>0</v>
      </c>
    </row>
    <row r="934" spans="1:25" hidden="1">
      <c r="A934" t="s">
        <v>2667</v>
      </c>
      <c r="B934" t="s">
        <v>2692</v>
      </c>
      <c r="C934">
        <v>1269</v>
      </c>
      <c r="D934">
        <v>13</v>
      </c>
      <c r="E934" t="s">
        <v>2704</v>
      </c>
      <c r="F934" t="s">
        <v>4855</v>
      </c>
      <c r="H934" t="s">
        <v>2749</v>
      </c>
      <c r="J934" t="s">
        <v>8668</v>
      </c>
      <c r="L934">
        <f t="shared" si="28"/>
        <v>1</v>
      </c>
      <c r="M934" t="s">
        <v>2704</v>
      </c>
      <c r="N934" t="s">
        <v>6607</v>
      </c>
      <c r="O934" t="s">
        <v>104</v>
      </c>
      <c r="P934" t="s">
        <v>6608</v>
      </c>
      <c r="Q934" t="s">
        <v>6609</v>
      </c>
      <c r="R934" s="16" t="s">
        <v>8616</v>
      </c>
      <c r="S934" s="16" t="s">
        <v>8275</v>
      </c>
      <c r="T934" t="s">
        <v>2667</v>
      </c>
      <c r="U934">
        <v>0</v>
      </c>
      <c r="V934" t="s">
        <v>8654</v>
      </c>
      <c r="W934" t="s">
        <v>104</v>
      </c>
      <c r="X934" t="s">
        <v>8667</v>
      </c>
      <c r="Y934">
        <f t="shared" si="29"/>
        <v>1</v>
      </c>
    </row>
    <row r="935" spans="1:25" hidden="1">
      <c r="A935" t="s">
        <v>2668</v>
      </c>
      <c r="B935" t="s">
        <v>773</v>
      </c>
      <c r="C935">
        <v>1284</v>
      </c>
      <c r="D935">
        <v>13</v>
      </c>
      <c r="E935" t="s">
        <v>2698</v>
      </c>
      <c r="F935" t="s">
        <v>4855</v>
      </c>
      <c r="H935" t="s">
        <v>2715</v>
      </c>
      <c r="J935" t="s">
        <v>8668</v>
      </c>
      <c r="L935">
        <f t="shared" si="28"/>
        <v>1</v>
      </c>
      <c r="M935" t="s">
        <v>4507</v>
      </c>
      <c r="N935" t="s">
        <v>6485</v>
      </c>
      <c r="O935" t="s">
        <v>104</v>
      </c>
      <c r="P935">
        <v>32960</v>
      </c>
      <c r="Q935">
        <v>493810</v>
      </c>
      <c r="R935" s="16" t="s">
        <v>8580</v>
      </c>
      <c r="S935" s="16" t="s">
        <v>8285</v>
      </c>
      <c r="T935" t="s">
        <v>2668</v>
      </c>
      <c r="U935">
        <v>0</v>
      </c>
      <c r="V935" t="s">
        <v>8654</v>
      </c>
      <c r="W935" t="s">
        <v>104</v>
      </c>
      <c r="X935" t="s">
        <v>8667</v>
      </c>
      <c r="Y935">
        <f t="shared" si="29"/>
        <v>1</v>
      </c>
    </row>
    <row r="936" spans="1:25" hidden="1">
      <c r="A936" t="s">
        <v>8861</v>
      </c>
      <c r="B936" t="s">
        <v>4717</v>
      </c>
      <c r="C936">
        <v>1289</v>
      </c>
      <c r="D936">
        <v>13</v>
      </c>
      <c r="E936" t="s">
        <v>1444</v>
      </c>
      <c r="F936" t="s">
        <v>4855</v>
      </c>
      <c r="H936" t="s">
        <v>2716</v>
      </c>
      <c r="J936" t="s">
        <v>8668</v>
      </c>
      <c r="L936">
        <f t="shared" si="28"/>
        <v>0</v>
      </c>
      <c r="R936" s="16" t="s">
        <v>8064</v>
      </c>
      <c r="S936" s="16" t="s">
        <v>8064</v>
      </c>
      <c r="T936" t="s">
        <v>7998</v>
      </c>
      <c r="U936">
        <v>0</v>
      </c>
      <c r="V936" t="s">
        <v>8655</v>
      </c>
      <c r="X936" t="s">
        <v>8667</v>
      </c>
      <c r="Y936">
        <f t="shared" si="29"/>
        <v>0</v>
      </c>
    </row>
    <row r="937" spans="1:25" hidden="1">
      <c r="A937" t="s">
        <v>8859</v>
      </c>
      <c r="B937" t="s">
        <v>2693</v>
      </c>
      <c r="C937">
        <v>1294</v>
      </c>
      <c r="D937">
        <v>13</v>
      </c>
      <c r="E937" t="s">
        <v>1444</v>
      </c>
      <c r="F937" t="s">
        <v>4855</v>
      </c>
      <c r="H937" t="s">
        <v>2750</v>
      </c>
      <c r="J937" t="s">
        <v>8668</v>
      </c>
      <c r="L937">
        <f t="shared" si="28"/>
        <v>0</v>
      </c>
      <c r="R937" s="16" t="s">
        <v>8064</v>
      </c>
      <c r="S937" s="16" t="s">
        <v>8064</v>
      </c>
      <c r="T937" t="s">
        <v>2626</v>
      </c>
      <c r="U937">
        <v>0</v>
      </c>
      <c r="V937" t="s">
        <v>8655</v>
      </c>
      <c r="X937" t="s">
        <v>8667</v>
      </c>
      <c r="Y937">
        <f t="shared" si="29"/>
        <v>0</v>
      </c>
    </row>
    <row r="938" spans="1:25" hidden="1">
      <c r="A938" t="s">
        <v>2669</v>
      </c>
      <c r="B938" t="s">
        <v>2694</v>
      </c>
      <c r="C938">
        <v>1291</v>
      </c>
      <c r="D938">
        <v>13</v>
      </c>
      <c r="E938" t="s">
        <v>2705</v>
      </c>
      <c r="F938" t="s">
        <v>4855</v>
      </c>
      <c r="H938" t="s">
        <v>2751</v>
      </c>
      <c r="J938" t="s">
        <v>8733</v>
      </c>
      <c r="L938">
        <f t="shared" si="28"/>
        <v>1</v>
      </c>
      <c r="M938" t="s">
        <v>4507</v>
      </c>
      <c r="N938" t="s">
        <v>6485</v>
      </c>
      <c r="O938" t="s">
        <v>104</v>
      </c>
      <c r="P938">
        <v>32960</v>
      </c>
      <c r="Q938">
        <v>493810</v>
      </c>
      <c r="R938" s="16" t="s">
        <v>8580</v>
      </c>
      <c r="S938" s="16" t="s">
        <v>8285</v>
      </c>
      <c r="T938" t="s">
        <v>2669</v>
      </c>
      <c r="U938">
        <v>1</v>
      </c>
      <c r="V938" t="s">
        <v>8654</v>
      </c>
      <c r="W938" t="s">
        <v>104</v>
      </c>
      <c r="X938" t="s">
        <v>8667</v>
      </c>
      <c r="Y938">
        <f t="shared" si="29"/>
        <v>1</v>
      </c>
    </row>
    <row r="939" spans="1:25" hidden="1">
      <c r="A939" t="s">
        <v>2670</v>
      </c>
      <c r="B939" t="s">
        <v>2695</v>
      </c>
      <c r="C939">
        <v>1291</v>
      </c>
      <c r="D939">
        <v>13</v>
      </c>
      <c r="E939" t="s">
        <v>2678</v>
      </c>
      <c r="F939" t="s">
        <v>4855</v>
      </c>
      <c r="H939" t="s">
        <v>2752</v>
      </c>
      <c r="J939" t="s">
        <v>8735</v>
      </c>
      <c r="L939">
        <f t="shared" si="28"/>
        <v>1</v>
      </c>
      <c r="M939" t="s">
        <v>2678</v>
      </c>
      <c r="N939" t="s">
        <v>6305</v>
      </c>
      <c r="O939" t="s">
        <v>104</v>
      </c>
      <c r="P939">
        <v>36240</v>
      </c>
      <c r="Q939">
        <v>495640</v>
      </c>
      <c r="R939" s="16" t="s">
        <v>8617</v>
      </c>
      <c r="S939" s="16" t="s">
        <v>8323</v>
      </c>
      <c r="T939" t="s">
        <v>2670</v>
      </c>
      <c r="U939">
        <v>1</v>
      </c>
      <c r="V939" t="s">
        <v>8654</v>
      </c>
      <c r="W939" t="s">
        <v>104</v>
      </c>
      <c r="X939" t="s">
        <v>8667</v>
      </c>
      <c r="Y939">
        <f t="shared" si="29"/>
        <v>1</v>
      </c>
    </row>
    <row r="940" spans="1:25" hidden="1">
      <c r="A940" t="s">
        <v>2627</v>
      </c>
      <c r="B940" t="s">
        <v>2623</v>
      </c>
      <c r="C940">
        <v>1137</v>
      </c>
      <c r="D940">
        <v>12</v>
      </c>
      <c r="E940" t="s">
        <v>2624</v>
      </c>
      <c r="F940" t="s">
        <v>4855</v>
      </c>
      <c r="H940" t="s">
        <v>2707</v>
      </c>
      <c r="J940" t="s">
        <v>8668</v>
      </c>
      <c r="L940">
        <f t="shared" si="28"/>
        <v>1</v>
      </c>
      <c r="M940" t="s">
        <v>2678</v>
      </c>
      <c r="N940" t="s">
        <v>6305</v>
      </c>
      <c r="O940" t="s">
        <v>104</v>
      </c>
      <c r="P940">
        <v>36240</v>
      </c>
      <c r="Q940">
        <v>495640</v>
      </c>
      <c r="R940" s="16" t="s">
        <v>8617</v>
      </c>
      <c r="S940" s="16" t="s">
        <v>8323</v>
      </c>
      <c r="T940" t="s">
        <v>7995</v>
      </c>
      <c r="U940">
        <v>0</v>
      </c>
      <c r="V940" t="s">
        <v>8654</v>
      </c>
      <c r="W940" t="s">
        <v>104</v>
      </c>
      <c r="X940" t="s">
        <v>8667</v>
      </c>
      <c r="Y940">
        <f t="shared" si="29"/>
        <v>1</v>
      </c>
    </row>
    <row r="941" spans="1:25" hidden="1">
      <c r="A941" t="s">
        <v>8857</v>
      </c>
      <c r="B941" t="s">
        <v>4856</v>
      </c>
      <c r="C941">
        <v>1137</v>
      </c>
      <c r="D941">
        <v>12</v>
      </c>
      <c r="E941" t="s">
        <v>1444</v>
      </c>
      <c r="F941" t="s">
        <v>4855</v>
      </c>
      <c r="H941" t="s">
        <v>2708</v>
      </c>
      <c r="J941" t="s">
        <v>8668</v>
      </c>
      <c r="L941">
        <f t="shared" si="28"/>
        <v>0</v>
      </c>
      <c r="R941" s="16" t="s">
        <v>8064</v>
      </c>
      <c r="S941" s="16" t="s">
        <v>8064</v>
      </c>
      <c r="T941" t="s">
        <v>2633</v>
      </c>
      <c r="U941">
        <v>0</v>
      </c>
      <c r="V941" t="s">
        <v>8655</v>
      </c>
      <c r="X941" t="s">
        <v>8667</v>
      </c>
      <c r="Y941">
        <f t="shared" si="29"/>
        <v>0</v>
      </c>
    </row>
    <row r="942" spans="1:25" hidden="1">
      <c r="A942" t="s">
        <v>2634</v>
      </c>
      <c r="B942" t="s">
        <v>589</v>
      </c>
      <c r="C942">
        <v>1136</v>
      </c>
      <c r="D942">
        <v>12</v>
      </c>
      <c r="E942" t="s">
        <v>2624</v>
      </c>
      <c r="F942" t="s">
        <v>4855</v>
      </c>
      <c r="H942" t="s">
        <v>2709</v>
      </c>
      <c r="J942" t="s">
        <v>8668</v>
      </c>
      <c r="L942">
        <f t="shared" si="28"/>
        <v>1</v>
      </c>
      <c r="M942" t="s">
        <v>2678</v>
      </c>
      <c r="N942" t="s">
        <v>6305</v>
      </c>
      <c r="O942" t="s">
        <v>104</v>
      </c>
      <c r="P942">
        <v>36240</v>
      </c>
      <c r="Q942">
        <v>495640</v>
      </c>
      <c r="R942" s="16" t="s">
        <v>8617</v>
      </c>
      <c r="S942" s="16" t="s">
        <v>8323</v>
      </c>
      <c r="T942" t="s">
        <v>2634</v>
      </c>
      <c r="U942">
        <v>0</v>
      </c>
      <c r="V942" t="s">
        <v>8654</v>
      </c>
      <c r="W942" t="s">
        <v>104</v>
      </c>
      <c r="X942" t="s">
        <v>8667</v>
      </c>
      <c r="Y942">
        <f t="shared" si="29"/>
        <v>1</v>
      </c>
    </row>
    <row r="943" spans="1:25" hidden="1">
      <c r="A943" t="s">
        <v>2635</v>
      </c>
      <c r="B943" t="s">
        <v>2671</v>
      </c>
      <c r="C943">
        <v>1137</v>
      </c>
      <c r="D943">
        <v>12</v>
      </c>
      <c r="E943" t="s">
        <v>2700</v>
      </c>
      <c r="F943" t="s">
        <v>4855</v>
      </c>
      <c r="H943" t="s">
        <v>2719</v>
      </c>
      <c r="J943" t="s">
        <v>8668</v>
      </c>
      <c r="L943">
        <f t="shared" si="28"/>
        <v>1</v>
      </c>
      <c r="M943" t="s">
        <v>2700</v>
      </c>
      <c r="N943" t="s">
        <v>6571</v>
      </c>
      <c r="O943" t="s">
        <v>104</v>
      </c>
      <c r="P943" t="s">
        <v>6801</v>
      </c>
      <c r="Q943" t="s">
        <v>6802</v>
      </c>
      <c r="R943" s="16" t="s">
        <v>8614</v>
      </c>
      <c r="S943" s="16" t="s">
        <v>8320</v>
      </c>
      <c r="T943" t="s">
        <v>7994</v>
      </c>
      <c r="U943">
        <v>0</v>
      </c>
      <c r="V943" t="s">
        <v>8654</v>
      </c>
      <c r="W943" t="s">
        <v>104</v>
      </c>
      <c r="X943" t="s">
        <v>8667</v>
      </c>
      <c r="Y943">
        <f t="shared" si="29"/>
        <v>1</v>
      </c>
    </row>
    <row r="944" spans="1:25" hidden="1">
      <c r="A944" t="s">
        <v>2636</v>
      </c>
      <c r="B944" t="s">
        <v>4857</v>
      </c>
      <c r="C944">
        <v>1139</v>
      </c>
      <c r="D944">
        <v>12</v>
      </c>
      <c r="E944" t="s">
        <v>2697</v>
      </c>
      <c r="F944" t="s">
        <v>4855</v>
      </c>
      <c r="H944" t="s">
        <v>2710</v>
      </c>
      <c r="J944" t="s">
        <v>8668</v>
      </c>
      <c r="L944">
        <f t="shared" si="28"/>
        <v>1</v>
      </c>
      <c r="M944" t="s">
        <v>2697</v>
      </c>
      <c r="N944" t="s">
        <v>6318</v>
      </c>
      <c r="O944" t="s">
        <v>104</v>
      </c>
      <c r="P944" t="s">
        <v>6588</v>
      </c>
      <c r="Q944" t="s">
        <v>6589</v>
      </c>
      <c r="R944" s="16" t="s">
        <v>6588</v>
      </c>
      <c r="S944" s="16" t="s">
        <v>8163</v>
      </c>
      <c r="T944" t="s">
        <v>2636</v>
      </c>
      <c r="U944">
        <v>0</v>
      </c>
      <c r="V944" t="s">
        <v>8654</v>
      </c>
      <c r="W944" t="s">
        <v>104</v>
      </c>
      <c r="X944" t="s">
        <v>8667</v>
      </c>
      <c r="Y944">
        <f t="shared" si="29"/>
        <v>1</v>
      </c>
    </row>
    <row r="945" spans="1:25" hidden="1">
      <c r="A945" t="s">
        <v>2637</v>
      </c>
      <c r="B945" t="s">
        <v>2672</v>
      </c>
      <c r="C945">
        <v>1157</v>
      </c>
      <c r="D945">
        <v>12</v>
      </c>
      <c r="E945" t="s">
        <v>2699</v>
      </c>
      <c r="F945" t="s">
        <v>4855</v>
      </c>
      <c r="H945" t="s">
        <v>2720</v>
      </c>
      <c r="J945" t="s">
        <v>8668</v>
      </c>
      <c r="L945">
        <f t="shared" si="28"/>
        <v>1</v>
      </c>
      <c r="M945" t="s">
        <v>2699</v>
      </c>
      <c r="N945" t="s">
        <v>6658</v>
      </c>
      <c r="O945" t="s">
        <v>104</v>
      </c>
      <c r="P945" t="s">
        <v>6903</v>
      </c>
      <c r="Q945" t="s">
        <v>6904</v>
      </c>
      <c r="R945" s="16" t="s">
        <v>8613</v>
      </c>
      <c r="S945" s="16" t="s">
        <v>8319</v>
      </c>
      <c r="T945" t="s">
        <v>2637</v>
      </c>
      <c r="U945">
        <v>0</v>
      </c>
      <c r="V945" t="s">
        <v>8654</v>
      </c>
      <c r="W945" t="s">
        <v>104</v>
      </c>
      <c r="X945" t="s">
        <v>8667</v>
      </c>
      <c r="Y945">
        <f t="shared" si="29"/>
        <v>1</v>
      </c>
    </row>
    <row r="946" spans="1:25" hidden="1">
      <c r="A946" t="s">
        <v>8853</v>
      </c>
      <c r="B946" t="s">
        <v>2673</v>
      </c>
      <c r="C946">
        <v>1157</v>
      </c>
      <c r="D946">
        <v>12</v>
      </c>
      <c r="E946" t="s">
        <v>1444</v>
      </c>
      <c r="F946" t="s">
        <v>4855</v>
      </c>
      <c r="H946" t="s">
        <v>2721</v>
      </c>
      <c r="J946" t="s">
        <v>8668</v>
      </c>
      <c r="L946">
        <f t="shared" si="28"/>
        <v>0</v>
      </c>
      <c r="R946" s="16" t="s">
        <v>8064</v>
      </c>
      <c r="S946" s="16" t="s">
        <v>8064</v>
      </c>
      <c r="T946" t="s">
        <v>2638</v>
      </c>
      <c r="U946">
        <v>0</v>
      </c>
      <c r="V946" t="s">
        <v>8655</v>
      </c>
      <c r="X946" t="s">
        <v>8667</v>
      </c>
      <c r="Y946">
        <f t="shared" si="29"/>
        <v>0</v>
      </c>
    </row>
    <row r="947" spans="1:25" hidden="1">
      <c r="A947" t="s">
        <v>2632</v>
      </c>
      <c r="B947" t="s">
        <v>2674</v>
      </c>
      <c r="C947">
        <v>1147</v>
      </c>
      <c r="D947">
        <v>12</v>
      </c>
      <c r="E947" t="s">
        <v>1444</v>
      </c>
      <c r="F947" t="s">
        <v>4855</v>
      </c>
      <c r="H947" t="s">
        <v>2722</v>
      </c>
      <c r="J947" t="s">
        <v>8668</v>
      </c>
      <c r="L947">
        <f t="shared" si="28"/>
        <v>0</v>
      </c>
      <c r="R947" s="16" t="s">
        <v>8064</v>
      </c>
      <c r="S947" s="16" t="s">
        <v>8064</v>
      </c>
      <c r="T947" t="s">
        <v>8001</v>
      </c>
      <c r="U947">
        <v>0</v>
      </c>
      <c r="V947" t="s">
        <v>8655</v>
      </c>
      <c r="X947" t="s">
        <v>8667</v>
      </c>
      <c r="Y947">
        <f t="shared" si="29"/>
        <v>0</v>
      </c>
    </row>
    <row r="948" spans="1:25" hidden="1">
      <c r="A948" t="s">
        <v>8847</v>
      </c>
      <c r="B948" t="s">
        <v>2631</v>
      </c>
      <c r="C948">
        <v>1148</v>
      </c>
      <c r="D948">
        <v>12</v>
      </c>
      <c r="E948" t="s">
        <v>1444</v>
      </c>
      <c r="F948" t="s">
        <v>4855</v>
      </c>
      <c r="H948" t="s">
        <v>2723</v>
      </c>
      <c r="J948" t="s">
        <v>8668</v>
      </c>
      <c r="L948">
        <f t="shared" si="28"/>
        <v>0</v>
      </c>
      <c r="R948" s="16" t="s">
        <v>8064</v>
      </c>
      <c r="S948" s="16" t="s">
        <v>8064</v>
      </c>
      <c r="T948" t="s">
        <v>2628</v>
      </c>
      <c r="U948">
        <v>0</v>
      </c>
      <c r="V948" t="s">
        <v>8655</v>
      </c>
      <c r="X948" t="s">
        <v>8667</v>
      </c>
      <c r="Y948">
        <f t="shared" si="29"/>
        <v>0</v>
      </c>
    </row>
    <row r="949" spans="1:25" hidden="1">
      <c r="A949" t="s">
        <v>8860</v>
      </c>
      <c r="B949" t="s">
        <v>2706</v>
      </c>
      <c r="C949">
        <v>1160</v>
      </c>
      <c r="D949">
        <v>12</v>
      </c>
      <c r="E949" t="s">
        <v>1444</v>
      </c>
      <c r="F949" t="s">
        <v>4855</v>
      </c>
      <c r="H949" t="s">
        <v>2724</v>
      </c>
      <c r="J949" t="s">
        <v>8668</v>
      </c>
      <c r="L949">
        <f t="shared" si="28"/>
        <v>0</v>
      </c>
      <c r="R949" s="16" t="s">
        <v>8064</v>
      </c>
      <c r="S949" s="16" t="s">
        <v>8064</v>
      </c>
      <c r="T949" t="s">
        <v>2639</v>
      </c>
      <c r="U949">
        <v>0</v>
      </c>
      <c r="V949" t="s">
        <v>8655</v>
      </c>
      <c r="X949" t="s">
        <v>8667</v>
      </c>
      <c r="Y949">
        <f t="shared" si="29"/>
        <v>0</v>
      </c>
    </row>
    <row r="950" spans="1:25" hidden="1">
      <c r="A950" t="s">
        <v>2640</v>
      </c>
      <c r="B950" t="s">
        <v>4858</v>
      </c>
      <c r="C950">
        <v>1166</v>
      </c>
      <c r="D950">
        <v>12</v>
      </c>
      <c r="E950" t="s">
        <v>2699</v>
      </c>
      <c r="F950" t="s">
        <v>4855</v>
      </c>
      <c r="H950" t="s">
        <v>2725</v>
      </c>
      <c r="J950" t="s">
        <v>8668</v>
      </c>
      <c r="L950">
        <f t="shared" si="28"/>
        <v>1</v>
      </c>
      <c r="M950" t="s">
        <v>2699</v>
      </c>
      <c r="N950" t="s">
        <v>6658</v>
      </c>
      <c r="O950" t="s">
        <v>104</v>
      </c>
      <c r="P950" t="s">
        <v>6903</v>
      </c>
      <c r="Q950" t="s">
        <v>6904</v>
      </c>
      <c r="R950" s="16" t="s">
        <v>8613</v>
      </c>
      <c r="S950" s="16" t="s">
        <v>8319</v>
      </c>
      <c r="T950" t="s">
        <v>2640</v>
      </c>
      <c r="U950">
        <v>0</v>
      </c>
      <c r="V950" t="s">
        <v>8654</v>
      </c>
      <c r="W950" t="s">
        <v>104</v>
      </c>
      <c r="X950" t="s">
        <v>8667</v>
      </c>
      <c r="Y950">
        <f t="shared" si="29"/>
        <v>1</v>
      </c>
    </row>
    <row r="951" spans="1:25" hidden="1">
      <c r="A951" t="s">
        <v>2641</v>
      </c>
      <c r="B951" t="s">
        <v>4859</v>
      </c>
      <c r="C951">
        <v>1168</v>
      </c>
      <c r="D951">
        <v>12</v>
      </c>
      <c r="E951" t="s">
        <v>2624</v>
      </c>
      <c r="F951" t="s">
        <v>4855</v>
      </c>
      <c r="H951" t="s">
        <v>2711</v>
      </c>
      <c r="J951" t="s">
        <v>8731</v>
      </c>
      <c r="L951">
        <f t="shared" si="28"/>
        <v>1</v>
      </c>
      <c r="M951" t="s">
        <v>2678</v>
      </c>
      <c r="N951" t="s">
        <v>6305</v>
      </c>
      <c r="O951" t="s">
        <v>104</v>
      </c>
      <c r="P951">
        <v>36240</v>
      </c>
      <c r="Q951">
        <v>495640</v>
      </c>
      <c r="R951" s="16" t="s">
        <v>8617</v>
      </c>
      <c r="S951" s="16" t="s">
        <v>8323</v>
      </c>
      <c r="T951" t="s">
        <v>2641</v>
      </c>
      <c r="U951">
        <v>1</v>
      </c>
      <c r="V951" t="s">
        <v>8654</v>
      </c>
      <c r="W951" t="s">
        <v>104</v>
      </c>
      <c r="X951" t="s">
        <v>8667</v>
      </c>
      <c r="Y951">
        <f t="shared" si="29"/>
        <v>1</v>
      </c>
    </row>
    <row r="952" spans="1:25" hidden="1">
      <c r="A952" t="s">
        <v>8865</v>
      </c>
      <c r="B952" t="s">
        <v>4860</v>
      </c>
      <c r="C952">
        <v>1169</v>
      </c>
      <c r="D952">
        <v>12</v>
      </c>
      <c r="E952" t="s">
        <v>1444</v>
      </c>
      <c r="F952" t="s">
        <v>4855</v>
      </c>
      <c r="H952" t="s">
        <v>2712</v>
      </c>
      <c r="J952" t="s">
        <v>8668</v>
      </c>
      <c r="L952">
        <f t="shared" si="28"/>
        <v>0</v>
      </c>
      <c r="R952" s="16" t="s">
        <v>8064</v>
      </c>
      <c r="S952" s="16" t="s">
        <v>8064</v>
      </c>
      <c r="T952" t="s">
        <v>8000</v>
      </c>
      <c r="U952">
        <v>0</v>
      </c>
      <c r="V952" t="s">
        <v>8655</v>
      </c>
      <c r="X952" t="s">
        <v>8667</v>
      </c>
      <c r="Y952">
        <f t="shared" si="29"/>
        <v>0</v>
      </c>
    </row>
    <row r="953" spans="1:25" hidden="1">
      <c r="A953" t="s">
        <v>8862</v>
      </c>
      <c r="B953" t="s">
        <v>631</v>
      </c>
      <c r="C953">
        <v>1172</v>
      </c>
      <c r="D953">
        <v>12</v>
      </c>
      <c r="E953" t="s">
        <v>1444</v>
      </c>
      <c r="F953" t="s">
        <v>4855</v>
      </c>
      <c r="H953" t="s">
        <v>2713</v>
      </c>
      <c r="J953" t="s">
        <v>8668</v>
      </c>
      <c r="L953">
        <f t="shared" si="28"/>
        <v>0</v>
      </c>
      <c r="R953" s="16" t="s">
        <v>8064</v>
      </c>
      <c r="S953" s="16" t="s">
        <v>8064</v>
      </c>
      <c r="T953" t="s">
        <v>7999</v>
      </c>
      <c r="U953">
        <v>0</v>
      </c>
      <c r="V953" t="s">
        <v>8655</v>
      </c>
      <c r="X953" t="s">
        <v>8667</v>
      </c>
      <c r="Y953">
        <f t="shared" si="29"/>
        <v>0</v>
      </c>
    </row>
    <row r="954" spans="1:25" hidden="1">
      <c r="A954" t="s">
        <v>2644</v>
      </c>
      <c r="B954" t="s">
        <v>2675</v>
      </c>
      <c r="C954">
        <v>1178</v>
      </c>
      <c r="D954">
        <v>12</v>
      </c>
      <c r="E954" t="s">
        <v>1444</v>
      </c>
      <c r="F954" t="s">
        <v>4855</v>
      </c>
      <c r="H954" t="s">
        <v>2726</v>
      </c>
      <c r="J954" t="s">
        <v>8868</v>
      </c>
      <c r="L954">
        <f t="shared" si="28"/>
        <v>0</v>
      </c>
      <c r="R954" s="16" t="s">
        <v>8064</v>
      </c>
      <c r="S954" s="16" t="s">
        <v>8064</v>
      </c>
      <c r="T954" t="s">
        <v>8002</v>
      </c>
      <c r="U954">
        <v>1</v>
      </c>
      <c r="V954" t="s">
        <v>8655</v>
      </c>
      <c r="X954" t="s">
        <v>8667</v>
      </c>
      <c r="Y954">
        <f t="shared" si="29"/>
        <v>0</v>
      </c>
    </row>
    <row r="955" spans="1:25" hidden="1">
      <c r="A955" t="s">
        <v>8845</v>
      </c>
      <c r="B955" t="s">
        <v>4759</v>
      </c>
      <c r="C955">
        <v>1179</v>
      </c>
      <c r="D955">
        <v>12</v>
      </c>
      <c r="E955" t="s">
        <v>1444</v>
      </c>
      <c r="F955" t="s">
        <v>4855</v>
      </c>
      <c r="H955" t="s">
        <v>2714</v>
      </c>
      <c r="J955" t="s">
        <v>8668</v>
      </c>
      <c r="L955">
        <f t="shared" si="28"/>
        <v>0</v>
      </c>
      <c r="R955" s="16" t="s">
        <v>8064</v>
      </c>
      <c r="S955" s="16" t="s">
        <v>8064</v>
      </c>
      <c r="T955" t="s">
        <v>7996</v>
      </c>
      <c r="U955">
        <v>0</v>
      </c>
      <c r="V955" t="s">
        <v>8655</v>
      </c>
      <c r="X955" t="s">
        <v>8667</v>
      </c>
      <c r="Y955">
        <f t="shared" si="29"/>
        <v>0</v>
      </c>
    </row>
    <row r="956" spans="1:25" hidden="1">
      <c r="A956" t="s">
        <v>8856</v>
      </c>
      <c r="B956" t="s">
        <v>2677</v>
      </c>
      <c r="C956">
        <v>1190</v>
      </c>
      <c r="D956">
        <v>12</v>
      </c>
      <c r="E956" t="s">
        <v>1444</v>
      </c>
      <c r="F956" t="s">
        <v>4855</v>
      </c>
      <c r="H956" t="s">
        <v>2727</v>
      </c>
      <c r="J956" t="s">
        <v>8866</v>
      </c>
      <c r="L956">
        <f t="shared" si="28"/>
        <v>0</v>
      </c>
      <c r="R956" s="16" t="s">
        <v>8064</v>
      </c>
      <c r="S956" s="16" t="s">
        <v>8064</v>
      </c>
      <c r="T956" t="s">
        <v>2647</v>
      </c>
      <c r="U956">
        <v>1</v>
      </c>
      <c r="V956" t="s">
        <v>8655</v>
      </c>
      <c r="X956" t="s">
        <v>8667</v>
      </c>
      <c r="Y956">
        <f t="shared" si="29"/>
        <v>0</v>
      </c>
    </row>
    <row r="957" spans="1:25" hidden="1">
      <c r="A957" t="s">
        <v>2649</v>
      </c>
      <c r="B957" t="s">
        <v>2679</v>
      </c>
      <c r="C957">
        <v>1191</v>
      </c>
      <c r="D957">
        <v>12</v>
      </c>
      <c r="E957" t="s">
        <v>2678</v>
      </c>
      <c r="F957" t="s">
        <v>4855</v>
      </c>
      <c r="H957" t="s">
        <v>2728</v>
      </c>
      <c r="J957" t="s">
        <v>8668</v>
      </c>
      <c r="L957">
        <f t="shared" si="28"/>
        <v>1</v>
      </c>
      <c r="M957" t="s">
        <v>2678</v>
      </c>
      <c r="N957" t="s">
        <v>6305</v>
      </c>
      <c r="O957" t="s">
        <v>104</v>
      </c>
      <c r="P957">
        <v>36240</v>
      </c>
      <c r="Q957">
        <v>495640</v>
      </c>
      <c r="R957" s="16" t="s">
        <v>8617</v>
      </c>
      <c r="S957" s="16" t="s">
        <v>8323</v>
      </c>
      <c r="T957" t="s">
        <v>2649</v>
      </c>
      <c r="U957">
        <v>0</v>
      </c>
      <c r="V957" t="s">
        <v>8654</v>
      </c>
      <c r="W957" t="s">
        <v>104</v>
      </c>
      <c r="X957" t="s">
        <v>8667</v>
      </c>
      <c r="Y957">
        <f t="shared" si="29"/>
        <v>1</v>
      </c>
    </row>
    <row r="958" spans="1:25" hidden="1">
      <c r="A958" t="s">
        <v>2650</v>
      </c>
      <c r="B958" t="s">
        <v>2680</v>
      </c>
      <c r="C958">
        <v>1195</v>
      </c>
      <c r="D958">
        <v>12</v>
      </c>
      <c r="E958" t="s">
        <v>2701</v>
      </c>
      <c r="F958" t="s">
        <v>4855</v>
      </c>
      <c r="H958" t="s">
        <v>2729</v>
      </c>
      <c r="J958" t="s">
        <v>8737</v>
      </c>
      <c r="L958">
        <f t="shared" si="28"/>
        <v>1</v>
      </c>
      <c r="M958" t="s">
        <v>2701</v>
      </c>
      <c r="N958" t="s">
        <v>6456</v>
      </c>
      <c r="O958" t="s">
        <v>104</v>
      </c>
      <c r="P958">
        <v>26550</v>
      </c>
      <c r="Q958">
        <v>485390</v>
      </c>
      <c r="R958" s="16" t="s">
        <v>8615</v>
      </c>
      <c r="S958" s="16" t="s">
        <v>8322</v>
      </c>
      <c r="T958" t="s">
        <v>2650</v>
      </c>
      <c r="U958">
        <v>1</v>
      </c>
      <c r="V958" t="s">
        <v>8654</v>
      </c>
      <c r="W958" t="s">
        <v>104</v>
      </c>
      <c r="X958" t="s">
        <v>8667</v>
      </c>
      <c r="Y958">
        <f t="shared" si="29"/>
        <v>1</v>
      </c>
    </row>
    <row r="959" spans="1:25" hidden="1">
      <c r="A959" t="s">
        <v>2651</v>
      </c>
      <c r="B959" t="s">
        <v>4861</v>
      </c>
      <c r="C959">
        <v>1196</v>
      </c>
      <c r="D959">
        <v>12</v>
      </c>
      <c r="E959" t="s">
        <v>2678</v>
      </c>
      <c r="F959" t="s">
        <v>4855</v>
      </c>
      <c r="H959" t="s">
        <v>2730</v>
      </c>
      <c r="J959" t="s">
        <v>8668</v>
      </c>
      <c r="L959">
        <f t="shared" si="28"/>
        <v>1</v>
      </c>
      <c r="M959" t="s">
        <v>2678</v>
      </c>
      <c r="N959" t="s">
        <v>6305</v>
      </c>
      <c r="O959" t="s">
        <v>104</v>
      </c>
      <c r="P959">
        <v>36240</v>
      </c>
      <c r="Q959">
        <v>495640</v>
      </c>
      <c r="R959" s="16" t="s">
        <v>8617</v>
      </c>
      <c r="S959" s="16" t="s">
        <v>8323</v>
      </c>
      <c r="T959" t="s">
        <v>2651</v>
      </c>
      <c r="U959">
        <v>0</v>
      </c>
      <c r="V959" t="s">
        <v>8654</v>
      </c>
      <c r="W959" t="s">
        <v>104</v>
      </c>
      <c r="X959" t="s">
        <v>8667</v>
      </c>
      <c r="Y959">
        <f t="shared" si="29"/>
        <v>1</v>
      </c>
    </row>
    <row r="960" spans="1:25" hidden="1">
      <c r="A960" t="s">
        <v>8858</v>
      </c>
      <c r="B960" t="s">
        <v>4861</v>
      </c>
      <c r="C960">
        <v>1196</v>
      </c>
      <c r="D960">
        <v>12</v>
      </c>
      <c r="E960" t="s">
        <v>1444</v>
      </c>
      <c r="F960" t="s">
        <v>4855</v>
      </c>
      <c r="H960" t="s">
        <v>2731</v>
      </c>
      <c r="J960" t="s">
        <v>8668</v>
      </c>
      <c r="L960">
        <f t="shared" si="28"/>
        <v>0</v>
      </c>
      <c r="R960" s="16" t="s">
        <v>8064</v>
      </c>
      <c r="S960" s="16" t="s">
        <v>8064</v>
      </c>
      <c r="T960" t="s">
        <v>2630</v>
      </c>
      <c r="U960">
        <v>0</v>
      </c>
      <c r="V960" t="s">
        <v>8655</v>
      </c>
      <c r="X960" t="s">
        <v>8667</v>
      </c>
      <c r="Y960">
        <f t="shared" si="29"/>
        <v>0</v>
      </c>
    </row>
    <row r="961" spans="1:25" hidden="1">
      <c r="A961" t="s">
        <v>8849</v>
      </c>
      <c r="B961" t="s">
        <v>2676</v>
      </c>
      <c r="C961">
        <v>1207</v>
      </c>
      <c r="D961">
        <v>13</v>
      </c>
      <c r="E961" t="s">
        <v>1444</v>
      </c>
      <c r="F961" t="s">
        <v>4855</v>
      </c>
      <c r="H961" t="s">
        <v>2732</v>
      </c>
      <c r="J961" t="s">
        <v>8668</v>
      </c>
      <c r="L961">
        <f t="shared" si="28"/>
        <v>0</v>
      </c>
      <c r="R961" s="16" t="s">
        <v>8064</v>
      </c>
      <c r="S961" s="16" t="s">
        <v>8064</v>
      </c>
      <c r="T961" t="s">
        <v>2645</v>
      </c>
      <c r="U961">
        <v>0</v>
      </c>
      <c r="V961" t="s">
        <v>8655</v>
      </c>
      <c r="X961" t="s">
        <v>8667</v>
      </c>
      <c r="Y961">
        <f t="shared" si="29"/>
        <v>0</v>
      </c>
    </row>
    <row r="962" spans="1:25" hidden="1">
      <c r="A962" t="s">
        <v>2646</v>
      </c>
      <c r="B962" t="s">
        <v>2676</v>
      </c>
      <c r="C962">
        <v>1207</v>
      </c>
      <c r="D962">
        <v>13</v>
      </c>
      <c r="E962" t="s">
        <v>2699</v>
      </c>
      <c r="F962" t="s">
        <v>4855</v>
      </c>
      <c r="H962" t="s">
        <v>2718</v>
      </c>
      <c r="J962" t="s">
        <v>8668</v>
      </c>
      <c r="L962">
        <f t="shared" ref="L962:L1025" si="30">IF(M962&lt;&gt;"",1,0)</f>
        <v>1</v>
      </c>
      <c r="M962" t="s">
        <v>2699</v>
      </c>
      <c r="N962" t="s">
        <v>6658</v>
      </c>
      <c r="O962" t="s">
        <v>104</v>
      </c>
      <c r="P962" t="s">
        <v>6903</v>
      </c>
      <c r="Q962" t="s">
        <v>6904</v>
      </c>
      <c r="R962" s="16" t="s">
        <v>8613</v>
      </c>
      <c r="S962" s="16" t="s">
        <v>8319</v>
      </c>
      <c r="T962" t="s">
        <v>2646</v>
      </c>
      <c r="U962">
        <v>0</v>
      </c>
      <c r="V962" t="s">
        <v>8654</v>
      </c>
      <c r="W962" t="s">
        <v>104</v>
      </c>
      <c r="X962" t="s">
        <v>8667</v>
      </c>
      <c r="Y962">
        <f t="shared" ref="Y962:Y1025" si="31">IF(OR(V962="Loc",V962="IIIF"),1,0)</f>
        <v>1</v>
      </c>
    </row>
    <row r="963" spans="1:25" hidden="1">
      <c r="A963" t="s">
        <v>8863</v>
      </c>
      <c r="B963" t="s">
        <v>1426</v>
      </c>
      <c r="C963">
        <v>1218</v>
      </c>
      <c r="D963">
        <v>13</v>
      </c>
      <c r="E963" t="s">
        <v>1444</v>
      </c>
      <c r="F963" t="s">
        <v>4855</v>
      </c>
      <c r="H963" t="s">
        <v>2733</v>
      </c>
      <c r="J963" t="s">
        <v>8668</v>
      </c>
      <c r="L963">
        <f t="shared" si="30"/>
        <v>0</v>
      </c>
      <c r="R963" s="16" t="s">
        <v>8064</v>
      </c>
      <c r="S963" s="16" t="s">
        <v>8064</v>
      </c>
      <c r="T963" t="s">
        <v>2652</v>
      </c>
      <c r="U963">
        <v>0</v>
      </c>
      <c r="V963" t="s">
        <v>8655</v>
      </c>
      <c r="X963" t="s">
        <v>8667</v>
      </c>
      <c r="Y963">
        <f t="shared" si="31"/>
        <v>0</v>
      </c>
    </row>
    <row r="964" spans="1:25" hidden="1">
      <c r="A964" t="s">
        <v>8852</v>
      </c>
      <c r="B964" t="s">
        <v>2681</v>
      </c>
      <c r="C964">
        <v>1222</v>
      </c>
      <c r="D964">
        <v>13</v>
      </c>
      <c r="E964" t="s">
        <v>1444</v>
      </c>
      <c r="F964" t="s">
        <v>4855</v>
      </c>
      <c r="H964" t="s">
        <v>2734</v>
      </c>
      <c r="J964" t="s">
        <v>8668</v>
      </c>
      <c r="L964">
        <f t="shared" si="30"/>
        <v>0</v>
      </c>
      <c r="R964" s="16" t="s">
        <v>8064</v>
      </c>
      <c r="S964" s="16" t="s">
        <v>8064</v>
      </c>
      <c r="T964" t="s">
        <v>2653</v>
      </c>
      <c r="U964">
        <v>0</v>
      </c>
      <c r="V964" t="s">
        <v>8655</v>
      </c>
      <c r="X964" t="s">
        <v>8667</v>
      </c>
      <c r="Y964">
        <f t="shared" si="31"/>
        <v>0</v>
      </c>
    </row>
    <row r="965" spans="1:25" hidden="1">
      <c r="A965" t="s">
        <v>2654</v>
      </c>
      <c r="B965" t="s">
        <v>2682</v>
      </c>
      <c r="C965">
        <v>1223</v>
      </c>
      <c r="D965">
        <v>13</v>
      </c>
      <c r="E965" t="s">
        <v>2696</v>
      </c>
      <c r="F965" t="s">
        <v>4855</v>
      </c>
      <c r="H965" t="s">
        <v>2735</v>
      </c>
      <c r="J965" t="s">
        <v>8736</v>
      </c>
      <c r="L965">
        <f t="shared" si="30"/>
        <v>1</v>
      </c>
      <c r="M965" t="s">
        <v>6711</v>
      </c>
      <c r="N965" t="s">
        <v>6658</v>
      </c>
      <c r="O965" t="s">
        <v>104</v>
      </c>
      <c r="P965" t="s">
        <v>6712</v>
      </c>
      <c r="Q965" t="s">
        <v>6713</v>
      </c>
      <c r="R965" s="16" t="s">
        <v>6712</v>
      </c>
      <c r="S965" s="16" t="s">
        <v>8321</v>
      </c>
      <c r="T965" t="s">
        <v>2654</v>
      </c>
      <c r="U965">
        <v>1</v>
      </c>
      <c r="V965" t="s">
        <v>8654</v>
      </c>
      <c r="W965" t="s">
        <v>104</v>
      </c>
      <c r="X965" t="s">
        <v>8667</v>
      </c>
      <c r="Y965">
        <f t="shared" si="31"/>
        <v>1</v>
      </c>
    </row>
    <row r="966" spans="1:25" hidden="1">
      <c r="A966" t="s">
        <v>8855</v>
      </c>
      <c r="B966" t="s">
        <v>2682</v>
      </c>
      <c r="C966">
        <v>1223</v>
      </c>
      <c r="D966">
        <v>13</v>
      </c>
      <c r="E966" t="s">
        <v>1444</v>
      </c>
      <c r="F966" t="s">
        <v>4855</v>
      </c>
      <c r="H966" t="s">
        <v>2736</v>
      </c>
      <c r="J966" t="s">
        <v>8668</v>
      </c>
      <c r="L966">
        <f t="shared" si="30"/>
        <v>0</v>
      </c>
      <c r="R966" s="16" t="s">
        <v>8064</v>
      </c>
      <c r="S966" s="16" t="s">
        <v>8064</v>
      </c>
      <c r="T966" t="s">
        <v>2655</v>
      </c>
      <c r="U966">
        <v>0</v>
      </c>
      <c r="V966" t="s">
        <v>8655</v>
      </c>
      <c r="X966" t="s">
        <v>8667</v>
      </c>
      <c r="Y966">
        <f t="shared" si="31"/>
        <v>0</v>
      </c>
    </row>
    <row r="967" spans="1:25" hidden="1">
      <c r="A967" t="s">
        <v>8851</v>
      </c>
      <c r="B967" t="s">
        <v>2683</v>
      </c>
      <c r="C967">
        <v>1232</v>
      </c>
      <c r="D967">
        <v>13</v>
      </c>
      <c r="E967" t="s">
        <v>1444</v>
      </c>
      <c r="F967" t="s">
        <v>4855</v>
      </c>
      <c r="H967" t="s">
        <v>2737</v>
      </c>
      <c r="J967" t="s">
        <v>8668</v>
      </c>
      <c r="L967">
        <f t="shared" si="30"/>
        <v>0</v>
      </c>
      <c r="R967" s="16" t="s">
        <v>8064</v>
      </c>
      <c r="S967" s="16" t="s">
        <v>8064</v>
      </c>
      <c r="T967" t="s">
        <v>2656</v>
      </c>
      <c r="U967">
        <v>0</v>
      </c>
      <c r="V967" t="s">
        <v>8655</v>
      </c>
      <c r="X967" t="s">
        <v>8667</v>
      </c>
      <c r="Y967">
        <f t="shared" si="31"/>
        <v>0</v>
      </c>
    </row>
    <row r="968" spans="1:25" hidden="1">
      <c r="A968" t="s">
        <v>8854</v>
      </c>
      <c r="B968" t="s">
        <v>2684</v>
      </c>
      <c r="C968">
        <v>1245</v>
      </c>
      <c r="D968">
        <v>13</v>
      </c>
      <c r="E968" t="s">
        <v>1444</v>
      </c>
      <c r="F968" t="s">
        <v>4855</v>
      </c>
      <c r="H968" t="s">
        <v>2738</v>
      </c>
      <c r="J968" t="s">
        <v>8668</v>
      </c>
      <c r="L968">
        <f t="shared" si="30"/>
        <v>0</v>
      </c>
      <c r="R968" s="16" t="s">
        <v>8064</v>
      </c>
      <c r="S968" s="16" t="s">
        <v>8064</v>
      </c>
      <c r="T968" t="s">
        <v>2657</v>
      </c>
      <c r="U968">
        <v>0</v>
      </c>
      <c r="V968" t="s">
        <v>8655</v>
      </c>
      <c r="X968" t="s">
        <v>8667</v>
      </c>
      <c r="Y968">
        <f t="shared" si="31"/>
        <v>0</v>
      </c>
    </row>
    <row r="969" spans="1:25" hidden="1">
      <c r="A969" t="s">
        <v>2658</v>
      </c>
      <c r="B969" t="s">
        <v>2685</v>
      </c>
      <c r="C969">
        <v>1244</v>
      </c>
      <c r="D969">
        <v>13</v>
      </c>
      <c r="E969" t="s">
        <v>1444</v>
      </c>
      <c r="F969" t="s">
        <v>4855</v>
      </c>
      <c r="H969" t="s">
        <v>2739</v>
      </c>
      <c r="J969" t="s">
        <v>8867</v>
      </c>
      <c r="L969">
        <f t="shared" si="30"/>
        <v>0</v>
      </c>
      <c r="R969" s="16" t="s">
        <v>8064</v>
      </c>
      <c r="S969" s="16" t="s">
        <v>8064</v>
      </c>
      <c r="T969" t="s">
        <v>2658</v>
      </c>
      <c r="U969">
        <v>1</v>
      </c>
      <c r="V969" t="s">
        <v>8655</v>
      </c>
      <c r="X969" t="s">
        <v>8667</v>
      </c>
      <c r="Y969">
        <f t="shared" si="31"/>
        <v>0</v>
      </c>
    </row>
    <row r="970" spans="1:25" hidden="1">
      <c r="A970" t="s">
        <v>2659</v>
      </c>
      <c r="B970" t="s">
        <v>2686</v>
      </c>
      <c r="C970">
        <v>1242</v>
      </c>
      <c r="D970">
        <v>13</v>
      </c>
      <c r="E970" t="s">
        <v>2678</v>
      </c>
      <c r="F970" t="s">
        <v>4855</v>
      </c>
      <c r="H970" t="s">
        <v>2740</v>
      </c>
      <c r="J970" t="s">
        <v>8668</v>
      </c>
      <c r="L970">
        <f t="shared" si="30"/>
        <v>1</v>
      </c>
      <c r="M970" t="s">
        <v>2678</v>
      </c>
      <c r="N970" t="s">
        <v>6305</v>
      </c>
      <c r="O970" t="s">
        <v>104</v>
      </c>
      <c r="P970">
        <v>36240</v>
      </c>
      <c r="Q970">
        <v>495640</v>
      </c>
      <c r="R970" s="16" t="s">
        <v>8617</v>
      </c>
      <c r="S970" s="16" t="s">
        <v>8323</v>
      </c>
      <c r="T970" t="s">
        <v>2659</v>
      </c>
      <c r="U970">
        <v>0</v>
      </c>
      <c r="V970" t="s">
        <v>8654</v>
      </c>
      <c r="W970" t="s">
        <v>104</v>
      </c>
      <c r="X970" t="s">
        <v>8667</v>
      </c>
      <c r="Y970">
        <f t="shared" si="31"/>
        <v>1</v>
      </c>
    </row>
    <row r="971" spans="1:25" hidden="1">
      <c r="A971" t="s">
        <v>2660</v>
      </c>
      <c r="B971" t="s">
        <v>4862</v>
      </c>
      <c r="C971">
        <v>1246</v>
      </c>
      <c r="D971">
        <v>13</v>
      </c>
      <c r="E971" t="s">
        <v>2702</v>
      </c>
      <c r="F971" t="s">
        <v>4855</v>
      </c>
      <c r="H971" t="s">
        <v>2743</v>
      </c>
      <c r="J971" t="s">
        <v>8668</v>
      </c>
      <c r="L971">
        <f t="shared" si="30"/>
        <v>1</v>
      </c>
      <c r="M971" t="s">
        <v>6204</v>
      </c>
      <c r="N971" t="s">
        <v>6305</v>
      </c>
      <c r="O971" t="s">
        <v>104</v>
      </c>
      <c r="P971">
        <v>20860</v>
      </c>
      <c r="Q971">
        <v>494300</v>
      </c>
      <c r="R971" s="16" t="s">
        <v>8427</v>
      </c>
      <c r="S971" s="16" t="s">
        <v>8131</v>
      </c>
      <c r="T971" t="s">
        <v>2660</v>
      </c>
      <c r="U971">
        <v>0</v>
      </c>
      <c r="V971" t="s">
        <v>8654</v>
      </c>
      <c r="W971" t="s">
        <v>104</v>
      </c>
      <c r="X971" t="s">
        <v>8667</v>
      </c>
      <c r="Y971">
        <f t="shared" si="31"/>
        <v>1</v>
      </c>
    </row>
    <row r="972" spans="1:25" hidden="1">
      <c r="A972" t="s">
        <v>2661</v>
      </c>
      <c r="B972" t="s">
        <v>2687</v>
      </c>
      <c r="C972">
        <v>1251</v>
      </c>
      <c r="D972">
        <v>13</v>
      </c>
      <c r="E972" t="s">
        <v>2678</v>
      </c>
      <c r="F972" t="s">
        <v>4855</v>
      </c>
      <c r="H972" t="s">
        <v>2741</v>
      </c>
      <c r="J972" t="s">
        <v>8668</v>
      </c>
      <c r="L972">
        <f t="shared" si="30"/>
        <v>1</v>
      </c>
      <c r="M972" t="s">
        <v>2678</v>
      </c>
      <c r="N972" t="s">
        <v>6305</v>
      </c>
      <c r="O972" t="s">
        <v>104</v>
      </c>
      <c r="P972">
        <v>36240</v>
      </c>
      <c r="Q972">
        <v>495640</v>
      </c>
      <c r="R972" s="16" t="s">
        <v>8617</v>
      </c>
      <c r="S972" s="16" t="s">
        <v>8323</v>
      </c>
      <c r="T972" t="s">
        <v>2661</v>
      </c>
      <c r="U972">
        <v>0</v>
      </c>
      <c r="V972" t="s">
        <v>8654</v>
      </c>
      <c r="W972" t="s">
        <v>104</v>
      </c>
      <c r="X972" t="s">
        <v>8667</v>
      </c>
      <c r="Y972">
        <f t="shared" si="31"/>
        <v>1</v>
      </c>
    </row>
    <row r="973" spans="1:25" hidden="1">
      <c r="A973" t="s">
        <v>8850</v>
      </c>
      <c r="B973" t="s">
        <v>2688</v>
      </c>
      <c r="C973">
        <v>1251</v>
      </c>
      <c r="D973">
        <v>13</v>
      </c>
      <c r="E973" t="s">
        <v>1444</v>
      </c>
      <c r="F973" t="s">
        <v>4855</v>
      </c>
      <c r="H973" t="s">
        <v>2742</v>
      </c>
      <c r="J973" t="s">
        <v>8668</v>
      </c>
      <c r="L973">
        <f t="shared" si="30"/>
        <v>0</v>
      </c>
      <c r="R973" s="16" t="s">
        <v>8064</v>
      </c>
      <c r="S973" s="16" t="s">
        <v>8064</v>
      </c>
      <c r="T973" t="s">
        <v>7997</v>
      </c>
      <c r="U973">
        <v>0</v>
      </c>
      <c r="V973" t="s">
        <v>8655</v>
      </c>
      <c r="X973" t="s">
        <v>8667</v>
      </c>
      <c r="Y973">
        <f t="shared" si="31"/>
        <v>0</v>
      </c>
    </row>
    <row r="974" spans="1:25" hidden="1">
      <c r="A974" t="s">
        <v>2663</v>
      </c>
      <c r="B974" t="s">
        <v>2689</v>
      </c>
      <c r="C974">
        <v>1258</v>
      </c>
      <c r="D974">
        <v>13</v>
      </c>
      <c r="E974" t="s">
        <v>2703</v>
      </c>
      <c r="F974" t="s">
        <v>4855</v>
      </c>
      <c r="H974" t="s">
        <v>2744</v>
      </c>
      <c r="J974" t="s">
        <v>8668</v>
      </c>
      <c r="L974">
        <f t="shared" si="30"/>
        <v>1</v>
      </c>
      <c r="M974" t="s">
        <v>2678</v>
      </c>
      <c r="N974" t="s">
        <v>6305</v>
      </c>
      <c r="O974" t="s">
        <v>104</v>
      </c>
      <c r="P974">
        <v>36240</v>
      </c>
      <c r="Q974">
        <v>495640</v>
      </c>
      <c r="R974" s="16" t="s">
        <v>8617</v>
      </c>
      <c r="S974" s="16" t="s">
        <v>8323</v>
      </c>
      <c r="T974" t="s">
        <v>2663</v>
      </c>
      <c r="U974">
        <v>0</v>
      </c>
      <c r="V974" t="s">
        <v>8654</v>
      </c>
      <c r="W974" t="s">
        <v>104</v>
      </c>
      <c r="X974" t="s">
        <v>8667</v>
      </c>
      <c r="Y974">
        <f t="shared" si="31"/>
        <v>1</v>
      </c>
    </row>
    <row r="975" spans="1:25" hidden="1">
      <c r="A975" t="s">
        <v>8846</v>
      </c>
      <c r="B975" t="s">
        <v>2690</v>
      </c>
      <c r="C975">
        <v>1263</v>
      </c>
      <c r="D975">
        <v>13</v>
      </c>
      <c r="E975" t="s">
        <v>1444</v>
      </c>
      <c r="F975" t="s">
        <v>4855</v>
      </c>
      <c r="H975" t="s">
        <v>2745</v>
      </c>
      <c r="J975" t="s">
        <v>8668</v>
      </c>
      <c r="L975">
        <f t="shared" si="30"/>
        <v>0</v>
      </c>
      <c r="R975" s="16" t="s">
        <v>8064</v>
      </c>
      <c r="S975" s="16" t="s">
        <v>8064</v>
      </c>
      <c r="T975" t="s">
        <v>2664</v>
      </c>
      <c r="U975">
        <v>0</v>
      </c>
      <c r="V975" t="s">
        <v>8655</v>
      </c>
      <c r="X975" t="s">
        <v>8667</v>
      </c>
      <c r="Y975">
        <f t="shared" si="31"/>
        <v>0</v>
      </c>
    </row>
    <row r="976" spans="1:25" hidden="1">
      <c r="A976" t="s">
        <v>8848</v>
      </c>
      <c r="B976" t="s">
        <v>4863</v>
      </c>
      <c r="C976">
        <v>1266</v>
      </c>
      <c r="D976">
        <v>13</v>
      </c>
      <c r="E976" t="s">
        <v>1444</v>
      </c>
      <c r="F976" t="s">
        <v>4855</v>
      </c>
      <c r="H976" t="s">
        <v>2746</v>
      </c>
      <c r="J976" t="s">
        <v>8668</v>
      </c>
      <c r="L976">
        <f t="shared" si="30"/>
        <v>0</v>
      </c>
      <c r="R976" s="16" t="s">
        <v>8064</v>
      </c>
      <c r="S976" s="16" t="s">
        <v>8064</v>
      </c>
      <c r="T976" t="s">
        <v>2665</v>
      </c>
      <c r="U976">
        <v>0</v>
      </c>
      <c r="V976" t="s">
        <v>8655</v>
      </c>
      <c r="X976" t="s">
        <v>8667</v>
      </c>
      <c r="Y976">
        <f t="shared" si="31"/>
        <v>0</v>
      </c>
    </row>
    <row r="977" spans="1:25" hidden="1">
      <c r="A977" t="s">
        <v>4864</v>
      </c>
      <c r="B977">
        <v>1261</v>
      </c>
      <c r="C977">
        <v>1261</v>
      </c>
      <c r="D977">
        <v>13</v>
      </c>
      <c r="E977" t="s">
        <v>2624</v>
      </c>
      <c r="F977" t="s">
        <v>4855</v>
      </c>
      <c r="H977" t="s">
        <v>2747</v>
      </c>
      <c r="J977" t="s">
        <v>8734</v>
      </c>
      <c r="L977">
        <f t="shared" si="30"/>
        <v>1</v>
      </c>
      <c r="M977" t="s">
        <v>2678</v>
      </c>
      <c r="N977" t="s">
        <v>6305</v>
      </c>
      <c r="O977" t="s">
        <v>104</v>
      </c>
      <c r="P977">
        <v>36240</v>
      </c>
      <c r="Q977">
        <v>495640</v>
      </c>
      <c r="R977" s="16" t="s">
        <v>8617</v>
      </c>
      <c r="S977" s="16" t="s">
        <v>8323</v>
      </c>
      <c r="T977" t="s">
        <v>8033</v>
      </c>
      <c r="U977">
        <v>1</v>
      </c>
      <c r="V977" t="s">
        <v>8654</v>
      </c>
      <c r="W977" t="s">
        <v>104</v>
      </c>
      <c r="X977" t="s">
        <v>8667</v>
      </c>
      <c r="Y977">
        <f t="shared" si="31"/>
        <v>1</v>
      </c>
    </row>
    <row r="978" spans="1:25" hidden="1">
      <c r="A978" t="s">
        <v>5604</v>
      </c>
      <c r="B978" t="s">
        <v>5111</v>
      </c>
      <c r="C978">
        <v>1190</v>
      </c>
      <c r="D978">
        <v>12</v>
      </c>
      <c r="E978" t="s">
        <v>5112</v>
      </c>
      <c r="F978" t="s">
        <v>5142</v>
      </c>
      <c r="H978" t="s">
        <v>5158</v>
      </c>
      <c r="I978" t="s">
        <v>8928</v>
      </c>
      <c r="J978" s="5" t="s">
        <v>5037</v>
      </c>
      <c r="K978" s="5" t="s">
        <v>2270</v>
      </c>
      <c r="L978">
        <f t="shared" si="30"/>
        <v>1</v>
      </c>
      <c r="M978" t="s">
        <v>5112</v>
      </c>
      <c r="N978" t="s">
        <v>6795</v>
      </c>
      <c r="O978" t="s">
        <v>104</v>
      </c>
      <c r="P978" t="s">
        <v>6796</v>
      </c>
      <c r="Q978" t="s">
        <v>6797</v>
      </c>
      <c r="R978" s="16" t="s">
        <v>8622</v>
      </c>
      <c r="S978" s="16" t="s">
        <v>8329</v>
      </c>
      <c r="T978" t="s">
        <v>8005</v>
      </c>
      <c r="U978">
        <v>1</v>
      </c>
      <c r="V978" t="s">
        <v>8656</v>
      </c>
      <c r="W978" t="s">
        <v>104</v>
      </c>
      <c r="X978" t="s">
        <v>8665</v>
      </c>
      <c r="Y978">
        <f t="shared" si="31"/>
        <v>1</v>
      </c>
    </row>
    <row r="979" spans="1:25" hidden="1">
      <c r="A979" t="s">
        <v>5594</v>
      </c>
      <c r="B979" t="s">
        <v>5081</v>
      </c>
      <c r="C979">
        <v>1235</v>
      </c>
      <c r="D979">
        <v>13</v>
      </c>
      <c r="E979" t="s">
        <v>5082</v>
      </c>
      <c r="F979" t="s">
        <v>5133</v>
      </c>
      <c r="H979" t="s">
        <v>5152</v>
      </c>
      <c r="I979" t="s">
        <v>8928</v>
      </c>
      <c r="J979" t="s">
        <v>9089</v>
      </c>
      <c r="L979">
        <f t="shared" si="30"/>
        <v>1</v>
      </c>
      <c r="M979" t="s">
        <v>5082</v>
      </c>
      <c r="N979" t="s">
        <v>5059</v>
      </c>
      <c r="O979" t="s">
        <v>6965</v>
      </c>
      <c r="P979" t="s">
        <v>6966</v>
      </c>
      <c r="Q979" t="s">
        <v>6967</v>
      </c>
      <c r="R979" s="16" t="s">
        <v>8624</v>
      </c>
      <c r="S979" s="16" t="s">
        <v>8331</v>
      </c>
      <c r="T979" t="s">
        <v>8007</v>
      </c>
      <c r="U979">
        <v>1</v>
      </c>
      <c r="V979" t="s">
        <v>8656</v>
      </c>
      <c r="W979" t="s">
        <v>6965</v>
      </c>
      <c r="X979" t="s">
        <v>8665</v>
      </c>
      <c r="Y979">
        <f t="shared" si="31"/>
        <v>1</v>
      </c>
    </row>
    <row r="980" spans="1:25" hidden="1">
      <c r="A980" t="s">
        <v>5597</v>
      </c>
      <c r="B980" t="s">
        <v>5062</v>
      </c>
      <c r="C980">
        <v>1236</v>
      </c>
      <c r="D980">
        <v>13</v>
      </c>
      <c r="E980" t="s">
        <v>5063</v>
      </c>
      <c r="F980" t="s">
        <v>5135</v>
      </c>
      <c r="H980" t="s">
        <v>5155</v>
      </c>
      <c r="J980" t="s">
        <v>8668</v>
      </c>
      <c r="L980">
        <f t="shared" si="30"/>
        <v>1</v>
      </c>
      <c r="M980" t="s">
        <v>7003</v>
      </c>
      <c r="N980" t="s">
        <v>7004</v>
      </c>
      <c r="O980" t="s">
        <v>6973</v>
      </c>
      <c r="P980">
        <v>50000</v>
      </c>
      <c r="Q980">
        <v>490000</v>
      </c>
      <c r="R980" s="16" t="s">
        <v>8625</v>
      </c>
      <c r="S980" s="16" t="s">
        <v>8332</v>
      </c>
      <c r="T980" t="s">
        <v>8008</v>
      </c>
      <c r="U980">
        <v>0</v>
      </c>
      <c r="V980" t="s">
        <v>8654</v>
      </c>
      <c r="W980" t="s">
        <v>6973</v>
      </c>
      <c r="X980" t="s">
        <v>8665</v>
      </c>
      <c r="Y980">
        <f t="shared" si="31"/>
        <v>1</v>
      </c>
    </row>
    <row r="981" spans="1:25" hidden="1">
      <c r="A981" t="s">
        <v>5595</v>
      </c>
      <c r="B981" t="s">
        <v>5084</v>
      </c>
      <c r="C981">
        <v>1258</v>
      </c>
      <c r="D981">
        <v>13</v>
      </c>
      <c r="E981" t="s">
        <v>5082</v>
      </c>
      <c r="F981" t="s">
        <v>5133</v>
      </c>
      <c r="H981" t="s">
        <v>5153</v>
      </c>
      <c r="I981" t="s">
        <v>8928</v>
      </c>
      <c r="J981" t="s">
        <v>9089</v>
      </c>
      <c r="L981">
        <f t="shared" si="30"/>
        <v>1</v>
      </c>
      <c r="M981" t="s">
        <v>5082</v>
      </c>
      <c r="N981" t="s">
        <v>5059</v>
      </c>
      <c r="O981" t="s">
        <v>6965</v>
      </c>
      <c r="P981" t="s">
        <v>6966</v>
      </c>
      <c r="Q981" t="s">
        <v>6967</v>
      </c>
      <c r="R981" s="16" t="s">
        <v>8624</v>
      </c>
      <c r="S981" s="16" t="s">
        <v>8331</v>
      </c>
      <c r="T981" t="s">
        <v>8007</v>
      </c>
      <c r="U981">
        <v>1</v>
      </c>
      <c r="V981" t="s">
        <v>8656</v>
      </c>
      <c r="W981" t="s">
        <v>6965</v>
      </c>
      <c r="X981" t="s">
        <v>8665</v>
      </c>
      <c r="Y981">
        <f t="shared" si="31"/>
        <v>1</v>
      </c>
    </row>
    <row r="982" spans="1:25" hidden="1">
      <c r="A982" t="s">
        <v>5596</v>
      </c>
      <c r="B982" t="s">
        <v>5078</v>
      </c>
      <c r="C982">
        <v>1251</v>
      </c>
      <c r="D982">
        <v>13</v>
      </c>
      <c r="E982" t="s">
        <v>5079</v>
      </c>
      <c r="F982" t="s">
        <v>5134</v>
      </c>
      <c r="H982" t="s">
        <v>5154</v>
      </c>
      <c r="I982" t="s">
        <v>8928</v>
      </c>
      <c r="J982" s="5" t="s">
        <v>9071</v>
      </c>
      <c r="L982">
        <f t="shared" si="30"/>
        <v>1</v>
      </c>
      <c r="M982" t="s">
        <v>4502</v>
      </c>
      <c r="N982" t="s">
        <v>6456</v>
      </c>
      <c r="O982" t="s">
        <v>104</v>
      </c>
      <c r="P982">
        <v>23522</v>
      </c>
      <c r="Q982">
        <v>488566</v>
      </c>
      <c r="R982" s="16" t="s">
        <v>8364</v>
      </c>
      <c r="S982" s="16" t="s">
        <v>8069</v>
      </c>
      <c r="T982" t="s">
        <v>5596</v>
      </c>
      <c r="U982">
        <v>1</v>
      </c>
      <c r="V982" t="s">
        <v>8656</v>
      </c>
      <c r="W982" t="s">
        <v>104</v>
      </c>
      <c r="X982" t="s">
        <v>8665</v>
      </c>
      <c r="Y982">
        <f t="shared" si="31"/>
        <v>1</v>
      </c>
    </row>
    <row r="983" spans="1:25" hidden="1">
      <c r="A983" t="s">
        <v>5584</v>
      </c>
      <c r="B983" t="s">
        <v>5066</v>
      </c>
      <c r="C983">
        <v>1252</v>
      </c>
      <c r="D983">
        <v>13</v>
      </c>
      <c r="E983" t="s">
        <v>104</v>
      </c>
      <c r="F983" t="s">
        <v>5123</v>
      </c>
      <c r="H983" t="s">
        <v>5149</v>
      </c>
      <c r="J983" t="s">
        <v>8668</v>
      </c>
      <c r="L983">
        <f t="shared" si="30"/>
        <v>0</v>
      </c>
      <c r="R983" s="16" t="s">
        <v>8064</v>
      </c>
      <c r="S983" s="16" t="s">
        <v>8064</v>
      </c>
      <c r="T983" t="s">
        <v>8010</v>
      </c>
      <c r="U983">
        <v>0</v>
      </c>
      <c r="V983" t="s">
        <v>8655</v>
      </c>
      <c r="X983" t="s">
        <v>8665</v>
      </c>
      <c r="Y983">
        <f t="shared" si="31"/>
        <v>0</v>
      </c>
    </row>
    <row r="984" spans="1:25" hidden="1">
      <c r="A984" t="s">
        <v>5607</v>
      </c>
      <c r="B984" t="s">
        <v>5118</v>
      </c>
      <c r="C984">
        <v>1257</v>
      </c>
      <c r="D984">
        <v>13</v>
      </c>
      <c r="E984" t="s">
        <v>32</v>
      </c>
      <c r="F984" t="s">
        <v>5145</v>
      </c>
      <c r="H984" t="s">
        <v>5161</v>
      </c>
      <c r="I984" t="s">
        <v>8928</v>
      </c>
      <c r="J984" s="5" t="s">
        <v>5034</v>
      </c>
      <c r="K984" s="5" t="s">
        <v>2265</v>
      </c>
      <c r="L984">
        <f t="shared" si="30"/>
        <v>1</v>
      </c>
      <c r="M984" t="s">
        <v>4502</v>
      </c>
      <c r="N984" t="s">
        <v>6456</v>
      </c>
      <c r="O984" t="s">
        <v>104</v>
      </c>
      <c r="P984">
        <v>23522</v>
      </c>
      <c r="Q984">
        <v>488566</v>
      </c>
      <c r="R984" s="16" t="s">
        <v>8364</v>
      </c>
      <c r="S984" s="16" t="s">
        <v>8069</v>
      </c>
      <c r="T984" t="s">
        <v>8006</v>
      </c>
      <c r="U984">
        <v>1</v>
      </c>
      <c r="V984" t="s">
        <v>8656</v>
      </c>
      <c r="W984" t="s">
        <v>104</v>
      </c>
      <c r="X984" t="s">
        <v>8665</v>
      </c>
      <c r="Y984">
        <f t="shared" si="31"/>
        <v>1</v>
      </c>
    </row>
    <row r="985" spans="1:25" hidden="1">
      <c r="A985" t="s">
        <v>5582</v>
      </c>
      <c r="B985">
        <v>1286</v>
      </c>
      <c r="C985">
        <v>1286</v>
      </c>
      <c r="D985">
        <v>13</v>
      </c>
      <c r="E985" t="s">
        <v>5070</v>
      </c>
      <c r="F985" t="s">
        <v>5121</v>
      </c>
      <c r="H985" t="s">
        <v>5147</v>
      </c>
      <c r="J985" t="s">
        <v>8668</v>
      </c>
      <c r="L985">
        <f t="shared" si="30"/>
        <v>0</v>
      </c>
      <c r="R985" s="16" t="s">
        <v>8064</v>
      </c>
      <c r="S985" s="16" t="s">
        <v>8064</v>
      </c>
      <c r="T985" t="s">
        <v>8009</v>
      </c>
      <c r="U985">
        <v>0</v>
      </c>
      <c r="V985" t="s">
        <v>8655</v>
      </c>
      <c r="X985" t="s">
        <v>8665</v>
      </c>
      <c r="Y985">
        <f t="shared" si="31"/>
        <v>0</v>
      </c>
    </row>
    <row r="986" spans="1:25" hidden="1">
      <c r="A986" t="s">
        <v>5606</v>
      </c>
      <c r="B986" t="s">
        <v>5117</v>
      </c>
      <c r="C986">
        <v>1269</v>
      </c>
      <c r="D986">
        <v>13</v>
      </c>
      <c r="E986" t="s">
        <v>5116</v>
      </c>
      <c r="F986" t="s">
        <v>5144</v>
      </c>
      <c r="H986" t="s">
        <v>5160</v>
      </c>
      <c r="I986" t="s">
        <v>8928</v>
      </c>
      <c r="J986" s="5" t="s">
        <v>5036</v>
      </c>
      <c r="K986" s="5" t="s">
        <v>2268</v>
      </c>
      <c r="L986">
        <f t="shared" si="30"/>
        <v>1</v>
      </c>
      <c r="M986" t="s">
        <v>6798</v>
      </c>
      <c r="N986" t="s">
        <v>6490</v>
      </c>
      <c r="O986" t="s">
        <v>6394</v>
      </c>
      <c r="P986" t="s">
        <v>6799</v>
      </c>
      <c r="Q986" t="s">
        <v>6800</v>
      </c>
      <c r="R986" s="16" t="s">
        <v>8623</v>
      </c>
      <c r="S986" s="16" t="s">
        <v>8330</v>
      </c>
      <c r="T986" t="s">
        <v>5606</v>
      </c>
      <c r="U986">
        <v>1</v>
      </c>
      <c r="V986" t="s">
        <v>8656</v>
      </c>
      <c r="W986" t="s">
        <v>6394</v>
      </c>
      <c r="X986" t="s">
        <v>8665</v>
      </c>
      <c r="Y986">
        <f t="shared" si="31"/>
        <v>1</v>
      </c>
    </row>
    <row r="987" spans="1:25" hidden="1">
      <c r="A987" t="s">
        <v>5583</v>
      </c>
      <c r="B987" t="s">
        <v>5076</v>
      </c>
      <c r="C987">
        <v>1282</v>
      </c>
      <c r="D987">
        <v>13</v>
      </c>
      <c r="E987" t="s">
        <v>5077</v>
      </c>
      <c r="F987" t="s">
        <v>5122</v>
      </c>
      <c r="H987" t="s">
        <v>5148</v>
      </c>
      <c r="J987" s="5" t="s">
        <v>8668</v>
      </c>
      <c r="L987">
        <f t="shared" si="30"/>
        <v>1</v>
      </c>
      <c r="M987" t="s">
        <v>5077</v>
      </c>
      <c r="N987" t="s">
        <v>6305</v>
      </c>
      <c r="O987" t="s">
        <v>104</v>
      </c>
      <c r="P987">
        <v>27770</v>
      </c>
      <c r="Q987">
        <v>502910</v>
      </c>
      <c r="R987" s="16" t="s">
        <v>8480</v>
      </c>
      <c r="S987" s="16" t="s">
        <v>8185</v>
      </c>
      <c r="T987" t="s">
        <v>5583</v>
      </c>
      <c r="U987">
        <v>0</v>
      </c>
      <c r="V987" t="s">
        <v>8654</v>
      </c>
      <c r="W987" t="s">
        <v>104</v>
      </c>
      <c r="X987" t="s">
        <v>8665</v>
      </c>
      <c r="Y987">
        <f t="shared" si="31"/>
        <v>1</v>
      </c>
    </row>
    <row r="988" spans="1:25" hidden="1">
      <c r="A988" t="s">
        <v>5605</v>
      </c>
      <c r="B988" t="s">
        <v>5113</v>
      </c>
      <c r="C988">
        <v>1281</v>
      </c>
      <c r="D988">
        <v>13</v>
      </c>
      <c r="E988" t="s">
        <v>5114</v>
      </c>
      <c r="F988" t="s">
        <v>5143</v>
      </c>
      <c r="H988" t="s">
        <v>5159</v>
      </c>
      <c r="I988" t="s">
        <v>8928</v>
      </c>
      <c r="J988" t="s">
        <v>5031</v>
      </c>
      <c r="K988" s="5" t="s">
        <v>2262</v>
      </c>
      <c r="L988">
        <f t="shared" si="30"/>
        <v>1</v>
      </c>
      <c r="M988" t="s">
        <v>6670</v>
      </c>
      <c r="N988" t="s">
        <v>6371</v>
      </c>
      <c r="O988" t="s">
        <v>11</v>
      </c>
      <c r="P988" t="s">
        <v>6671</v>
      </c>
      <c r="Q988" t="s">
        <v>6672</v>
      </c>
      <c r="R988" s="16" t="s">
        <v>6671</v>
      </c>
      <c r="S988" s="16" t="s">
        <v>6672</v>
      </c>
      <c r="T988" t="s">
        <v>8034</v>
      </c>
      <c r="U988">
        <v>1</v>
      </c>
      <c r="V988" t="s">
        <v>8656</v>
      </c>
      <c r="W988" t="s">
        <v>11</v>
      </c>
      <c r="X988" t="s">
        <v>8665</v>
      </c>
      <c r="Y988">
        <f t="shared" si="31"/>
        <v>1</v>
      </c>
    </row>
    <row r="989" spans="1:25" hidden="1">
      <c r="A989" t="s">
        <v>5585</v>
      </c>
      <c r="B989">
        <v>1282</v>
      </c>
      <c r="C989">
        <v>1282</v>
      </c>
      <c r="D989">
        <v>13</v>
      </c>
      <c r="E989" t="s">
        <v>1444</v>
      </c>
      <c r="F989" t="s">
        <v>5124</v>
      </c>
      <c r="H989" t="s">
        <v>5150</v>
      </c>
      <c r="J989" t="s">
        <v>8668</v>
      </c>
      <c r="L989">
        <f t="shared" si="30"/>
        <v>0</v>
      </c>
      <c r="R989" s="16" t="s">
        <v>8064</v>
      </c>
      <c r="S989" s="16" t="s">
        <v>8064</v>
      </c>
      <c r="T989" t="s">
        <v>8011</v>
      </c>
      <c r="U989">
        <v>0</v>
      </c>
      <c r="V989" t="s">
        <v>8655</v>
      </c>
      <c r="X989" t="s">
        <v>8665</v>
      </c>
      <c r="Y989">
        <f t="shared" si="31"/>
        <v>0</v>
      </c>
    </row>
    <row r="990" spans="1:25" hidden="1">
      <c r="A990" t="s">
        <v>5581</v>
      </c>
      <c r="B990" t="s">
        <v>5071</v>
      </c>
      <c r="C990">
        <v>1001</v>
      </c>
      <c r="D990">
        <v>11</v>
      </c>
      <c r="E990" t="s">
        <v>5072</v>
      </c>
      <c r="F990" t="s">
        <v>5120</v>
      </c>
      <c r="H990" t="s">
        <v>5146</v>
      </c>
      <c r="J990" t="s">
        <v>8668</v>
      </c>
      <c r="L990">
        <f t="shared" si="30"/>
        <v>1</v>
      </c>
      <c r="M990" t="s">
        <v>6581</v>
      </c>
      <c r="N990" t="s">
        <v>6406</v>
      </c>
      <c r="O990" t="s">
        <v>4016</v>
      </c>
      <c r="P990" t="s">
        <v>6582</v>
      </c>
      <c r="Q990" t="s">
        <v>6583</v>
      </c>
      <c r="R990" s="16" t="s">
        <v>8618</v>
      </c>
      <c r="S990" s="16" t="s">
        <v>8324</v>
      </c>
      <c r="T990" t="s">
        <v>5581</v>
      </c>
      <c r="U990">
        <v>0</v>
      </c>
      <c r="V990" t="s">
        <v>8654</v>
      </c>
      <c r="W990" t="s">
        <v>4016</v>
      </c>
      <c r="X990" t="s">
        <v>8665</v>
      </c>
      <c r="Y990">
        <f t="shared" si="31"/>
        <v>1</v>
      </c>
    </row>
    <row r="991" spans="1:25" hidden="1">
      <c r="A991" t="s">
        <v>5603</v>
      </c>
      <c r="B991" t="s">
        <v>5085</v>
      </c>
      <c r="C991">
        <v>1024</v>
      </c>
      <c r="D991">
        <v>11</v>
      </c>
      <c r="E991" t="s">
        <v>5108</v>
      </c>
      <c r="F991" t="s">
        <v>5141</v>
      </c>
      <c r="H991" t="s">
        <v>5157</v>
      </c>
      <c r="I991" t="s">
        <v>8928</v>
      </c>
      <c r="J991" s="5" t="s">
        <v>5039</v>
      </c>
      <c r="K991" s="5" t="s">
        <v>2273</v>
      </c>
      <c r="L991">
        <f t="shared" si="30"/>
        <v>1</v>
      </c>
      <c r="M991" t="s">
        <v>6437</v>
      </c>
      <c r="N991" t="s">
        <v>6438</v>
      </c>
      <c r="O991" t="s">
        <v>104</v>
      </c>
      <c r="P991">
        <v>12610</v>
      </c>
      <c r="Q991">
        <v>458330</v>
      </c>
      <c r="R991" s="16" t="s">
        <v>8559</v>
      </c>
      <c r="S991" s="16" t="s">
        <v>8264</v>
      </c>
      <c r="T991" t="s">
        <v>8035</v>
      </c>
      <c r="U991">
        <v>1</v>
      </c>
      <c r="V991" t="s">
        <v>8656</v>
      </c>
      <c r="W991" t="s">
        <v>104</v>
      </c>
      <c r="X991" t="s">
        <v>8665</v>
      </c>
      <c r="Y991">
        <f t="shared" si="31"/>
        <v>1</v>
      </c>
    </row>
    <row r="992" spans="1:25" hidden="1">
      <c r="A992" t="s">
        <v>5602</v>
      </c>
      <c r="B992" t="s">
        <v>5106</v>
      </c>
      <c r="C992">
        <v>1033</v>
      </c>
      <c r="D992">
        <v>11</v>
      </c>
      <c r="E992" t="s">
        <v>5107</v>
      </c>
      <c r="F992" t="s">
        <v>5140</v>
      </c>
      <c r="H992" t="s">
        <v>5156</v>
      </c>
      <c r="I992" t="s">
        <v>8928</v>
      </c>
      <c r="J992" t="s">
        <v>5032</v>
      </c>
      <c r="K992" s="5" t="s">
        <v>2263</v>
      </c>
      <c r="L992">
        <f t="shared" si="30"/>
        <v>1</v>
      </c>
      <c r="M992" t="s">
        <v>5107</v>
      </c>
      <c r="N992" t="s">
        <v>6759</v>
      </c>
      <c r="O992" t="s">
        <v>104</v>
      </c>
      <c r="P992" t="s">
        <v>6793</v>
      </c>
      <c r="Q992" t="s">
        <v>6794</v>
      </c>
      <c r="R992" s="16" t="s">
        <v>8621</v>
      </c>
      <c r="S992" s="16" t="s">
        <v>8328</v>
      </c>
      <c r="T992" t="s">
        <v>8004</v>
      </c>
      <c r="U992">
        <v>1</v>
      </c>
      <c r="V992" t="s">
        <v>8656</v>
      </c>
      <c r="W992" t="s">
        <v>104</v>
      </c>
      <c r="X992" t="s">
        <v>8665</v>
      </c>
      <c r="Y992">
        <f t="shared" si="31"/>
        <v>1</v>
      </c>
    </row>
    <row r="993" spans="1:25" hidden="1">
      <c r="A993" t="s">
        <v>5586</v>
      </c>
      <c r="B993" t="s">
        <v>5087</v>
      </c>
      <c r="C993">
        <v>1043</v>
      </c>
      <c r="D993">
        <v>11</v>
      </c>
      <c r="E993" t="s">
        <v>4684</v>
      </c>
      <c r="F993" t="s">
        <v>5125</v>
      </c>
      <c r="H993" t="s">
        <v>5151</v>
      </c>
      <c r="J993" s="5" t="s">
        <v>8668</v>
      </c>
      <c r="L993">
        <f t="shared" si="30"/>
        <v>1</v>
      </c>
      <c r="M993" t="s">
        <v>4684</v>
      </c>
      <c r="N993" t="s">
        <v>6305</v>
      </c>
      <c r="O993" t="s">
        <v>104</v>
      </c>
      <c r="P993">
        <v>32340</v>
      </c>
      <c r="Q993">
        <v>501750</v>
      </c>
      <c r="R993" s="16" t="s">
        <v>8461</v>
      </c>
      <c r="S993" s="16" t="s">
        <v>8165</v>
      </c>
      <c r="T993" t="s">
        <v>5586</v>
      </c>
      <c r="U993">
        <v>0</v>
      </c>
      <c r="V993" t="s">
        <v>8654</v>
      </c>
      <c r="W993" t="s">
        <v>104</v>
      </c>
      <c r="X993" t="s">
        <v>8665</v>
      </c>
      <c r="Y993">
        <f t="shared" si="31"/>
        <v>1</v>
      </c>
    </row>
    <row r="994" spans="1:25" hidden="1">
      <c r="A994" t="s">
        <v>5599</v>
      </c>
      <c r="B994" t="s">
        <v>5073</v>
      </c>
      <c r="C994">
        <v>1115</v>
      </c>
      <c r="D994">
        <v>12</v>
      </c>
      <c r="E994" t="s">
        <v>5074</v>
      </c>
      <c r="F994" t="s">
        <v>5137</v>
      </c>
      <c r="H994" t="s">
        <v>3166</v>
      </c>
      <c r="J994" t="s">
        <v>8668</v>
      </c>
      <c r="L994">
        <f t="shared" si="30"/>
        <v>1</v>
      </c>
      <c r="M994" t="s">
        <v>6453</v>
      </c>
      <c r="N994" t="s">
        <v>6293</v>
      </c>
      <c r="O994" t="s">
        <v>3995</v>
      </c>
      <c r="P994">
        <v>82470</v>
      </c>
      <c r="Q994">
        <v>499920</v>
      </c>
      <c r="R994" s="16" t="s">
        <v>8626</v>
      </c>
      <c r="S994" s="16" t="s">
        <v>8333</v>
      </c>
      <c r="T994" t="s">
        <v>5599</v>
      </c>
      <c r="U994">
        <v>0</v>
      </c>
      <c r="V994" t="s">
        <v>8654</v>
      </c>
      <c r="W994" t="s">
        <v>3995</v>
      </c>
      <c r="X994" t="s">
        <v>8665</v>
      </c>
      <c r="Y994">
        <f t="shared" si="31"/>
        <v>1</v>
      </c>
    </row>
    <row r="995" spans="1:25" hidden="1">
      <c r="A995" t="s">
        <v>7133</v>
      </c>
      <c r="B995" t="s">
        <v>394</v>
      </c>
      <c r="C995">
        <v>1252</v>
      </c>
      <c r="D995">
        <v>13</v>
      </c>
      <c r="E995" t="s">
        <v>27</v>
      </c>
      <c r="F995" t="s">
        <v>714</v>
      </c>
      <c r="H995" t="s">
        <v>715</v>
      </c>
      <c r="J995" t="s">
        <v>8668</v>
      </c>
      <c r="L995">
        <f t="shared" si="30"/>
        <v>1</v>
      </c>
      <c r="M995" t="s">
        <v>6486</v>
      </c>
      <c r="N995" t="s">
        <v>6487</v>
      </c>
      <c r="O995" t="s">
        <v>12</v>
      </c>
      <c r="P995" t="s">
        <v>6488</v>
      </c>
      <c r="Q995">
        <v>517520</v>
      </c>
      <c r="R995" s="16" t="s">
        <v>8357</v>
      </c>
      <c r="S995" s="16" t="s">
        <v>8060</v>
      </c>
      <c r="T995" t="s">
        <v>7788</v>
      </c>
      <c r="U995">
        <v>0</v>
      </c>
      <c r="V995" t="s">
        <v>8654</v>
      </c>
      <c r="W995" t="s">
        <v>12</v>
      </c>
      <c r="X995" t="s">
        <v>8659</v>
      </c>
      <c r="Y995">
        <f t="shared" si="31"/>
        <v>1</v>
      </c>
    </row>
    <row r="996" spans="1:25" hidden="1">
      <c r="A996" t="s">
        <v>5593</v>
      </c>
      <c r="B996">
        <v>1125</v>
      </c>
      <c r="C996">
        <v>1125</v>
      </c>
      <c r="D996">
        <v>12</v>
      </c>
      <c r="E996" t="s">
        <v>5065</v>
      </c>
      <c r="F996" t="s">
        <v>5132</v>
      </c>
      <c r="H996" t="s">
        <v>3214</v>
      </c>
      <c r="J996" t="s">
        <v>8668</v>
      </c>
      <c r="L996">
        <f t="shared" si="30"/>
        <v>1</v>
      </c>
      <c r="M996" t="s">
        <v>5065</v>
      </c>
      <c r="N996" t="s">
        <v>6532</v>
      </c>
      <c r="O996" t="s">
        <v>4016</v>
      </c>
      <c r="P996" t="s">
        <v>6533</v>
      </c>
      <c r="Q996" t="s">
        <v>6534</v>
      </c>
      <c r="R996" s="16" t="s">
        <v>8627</v>
      </c>
      <c r="S996" s="16" t="s">
        <v>8094</v>
      </c>
      <c r="T996" t="s">
        <v>5593</v>
      </c>
      <c r="U996">
        <v>0</v>
      </c>
      <c r="V996" t="s">
        <v>8654</v>
      </c>
      <c r="W996" t="s">
        <v>4016</v>
      </c>
      <c r="X996" t="s">
        <v>8665</v>
      </c>
      <c r="Y996">
        <f t="shared" si="31"/>
        <v>1</v>
      </c>
    </row>
    <row r="997" spans="1:25" hidden="1">
      <c r="A997" t="s">
        <v>5591</v>
      </c>
      <c r="B997" t="s">
        <v>5095</v>
      </c>
      <c r="C997">
        <v>1138</v>
      </c>
      <c r="D997">
        <v>12</v>
      </c>
      <c r="E997" t="s">
        <v>5096</v>
      </c>
      <c r="F997" t="s">
        <v>5130</v>
      </c>
      <c r="H997" t="s">
        <v>3312</v>
      </c>
      <c r="I997" t="s">
        <v>8928</v>
      </c>
      <c r="J997" s="5" t="s">
        <v>5041</v>
      </c>
      <c r="K997" s="5" t="s">
        <v>2276</v>
      </c>
      <c r="L997">
        <f t="shared" si="30"/>
        <v>1</v>
      </c>
      <c r="M997" t="s">
        <v>6971</v>
      </c>
      <c r="N997" t="s">
        <v>6972</v>
      </c>
      <c r="O997" t="s">
        <v>6973</v>
      </c>
      <c r="P997" t="s">
        <v>6974</v>
      </c>
      <c r="Q997">
        <v>492325</v>
      </c>
      <c r="R997" s="16" t="s">
        <v>8619</v>
      </c>
      <c r="S997" s="16" t="s">
        <v>8325</v>
      </c>
      <c r="T997" t="s">
        <v>5591</v>
      </c>
      <c r="U997">
        <v>1</v>
      </c>
      <c r="V997" t="s">
        <v>8656</v>
      </c>
      <c r="W997" t="s">
        <v>6973</v>
      </c>
      <c r="X997" t="s">
        <v>8665</v>
      </c>
      <c r="Y997">
        <f t="shared" si="31"/>
        <v>1</v>
      </c>
    </row>
    <row r="998" spans="1:25" hidden="1">
      <c r="A998" t="s">
        <v>5590</v>
      </c>
      <c r="B998" t="s">
        <v>5093</v>
      </c>
      <c r="C998">
        <v>1147</v>
      </c>
      <c r="D998">
        <v>12</v>
      </c>
      <c r="E998" t="s">
        <v>5094</v>
      </c>
      <c r="F998" t="s">
        <v>5129</v>
      </c>
      <c r="H998" t="s">
        <v>3374</v>
      </c>
      <c r="I998" t="s">
        <v>8928</v>
      </c>
      <c r="J998" s="5" t="s">
        <v>5040</v>
      </c>
      <c r="K998" s="5" t="s">
        <v>2274</v>
      </c>
      <c r="L998">
        <f t="shared" si="30"/>
        <v>1</v>
      </c>
      <c r="M998" t="s">
        <v>6498</v>
      </c>
      <c r="N998" t="s">
        <v>6293</v>
      </c>
      <c r="O998" t="s">
        <v>3995</v>
      </c>
      <c r="P998">
        <v>83570</v>
      </c>
      <c r="Q998">
        <v>496290</v>
      </c>
      <c r="R998" s="16" t="s">
        <v>8620</v>
      </c>
      <c r="S998" s="16" t="s">
        <v>8327</v>
      </c>
      <c r="T998" t="s">
        <v>5590</v>
      </c>
      <c r="U998">
        <v>1</v>
      </c>
      <c r="V998" t="s">
        <v>8656</v>
      </c>
      <c r="W998" t="s">
        <v>3995</v>
      </c>
      <c r="X998" t="s">
        <v>8665</v>
      </c>
      <c r="Y998">
        <f t="shared" si="31"/>
        <v>1</v>
      </c>
    </row>
    <row r="999" spans="1:25" hidden="1">
      <c r="A999" t="s">
        <v>5592</v>
      </c>
      <c r="B999" t="s">
        <v>5097</v>
      </c>
      <c r="C999">
        <v>1153</v>
      </c>
      <c r="D999">
        <v>12</v>
      </c>
      <c r="E999" t="s">
        <v>5098</v>
      </c>
      <c r="F999" t="s">
        <v>5131</v>
      </c>
      <c r="H999" t="s">
        <v>3418</v>
      </c>
      <c r="I999" t="s">
        <v>8928</v>
      </c>
      <c r="J999" s="5" t="s">
        <v>5038</v>
      </c>
      <c r="K999" s="5" t="s">
        <v>2271</v>
      </c>
      <c r="L999">
        <f t="shared" si="30"/>
        <v>1</v>
      </c>
      <c r="M999" t="s">
        <v>5098</v>
      </c>
      <c r="N999" t="s">
        <v>6803</v>
      </c>
      <c r="O999" t="s">
        <v>104</v>
      </c>
      <c r="P999" t="s">
        <v>6659</v>
      </c>
      <c r="Q999" t="s">
        <v>6804</v>
      </c>
      <c r="R999" s="16" t="s">
        <v>8566</v>
      </c>
      <c r="S999" s="16" t="s">
        <v>8326</v>
      </c>
      <c r="T999" t="s">
        <v>5592</v>
      </c>
      <c r="U999">
        <v>1</v>
      </c>
      <c r="V999" t="s">
        <v>8656</v>
      </c>
      <c r="W999" t="s">
        <v>104</v>
      </c>
      <c r="X999" t="s">
        <v>8665</v>
      </c>
      <c r="Y999">
        <f t="shared" si="31"/>
        <v>1</v>
      </c>
    </row>
    <row r="1000" spans="1:25" hidden="1">
      <c r="A1000" t="s">
        <v>5600</v>
      </c>
      <c r="B1000" t="s">
        <v>5100</v>
      </c>
      <c r="C1000">
        <v>1153</v>
      </c>
      <c r="D1000">
        <v>12</v>
      </c>
      <c r="E1000" t="s">
        <v>5101</v>
      </c>
      <c r="F1000" t="s">
        <v>5138</v>
      </c>
      <c r="H1000" t="s">
        <v>3420</v>
      </c>
      <c r="I1000" t="s">
        <v>8928</v>
      </c>
      <c r="J1000" s="5" t="s">
        <v>5035</v>
      </c>
      <c r="L1000">
        <f t="shared" si="30"/>
        <v>0</v>
      </c>
      <c r="R1000" s="16" t="s">
        <v>8064</v>
      </c>
      <c r="S1000" s="16" t="s">
        <v>8064</v>
      </c>
      <c r="T1000" t="s">
        <v>5600</v>
      </c>
      <c r="U1000">
        <v>1</v>
      </c>
      <c r="V1000" t="s">
        <v>8655</v>
      </c>
      <c r="X1000" t="s">
        <v>8665</v>
      </c>
      <c r="Y1000">
        <f t="shared" si="31"/>
        <v>0</v>
      </c>
    </row>
    <row r="1001" spans="1:25" hidden="1">
      <c r="A1001" t="s">
        <v>5601</v>
      </c>
      <c r="B1001" t="s">
        <v>5103</v>
      </c>
      <c r="C1001">
        <v>1169</v>
      </c>
      <c r="D1001">
        <v>12</v>
      </c>
      <c r="E1001" t="s">
        <v>5104</v>
      </c>
      <c r="F1001" t="s">
        <v>5139</v>
      </c>
      <c r="H1001" t="s">
        <v>3574</v>
      </c>
      <c r="I1001" t="s">
        <v>8928</v>
      </c>
      <c r="J1001" s="5" t="s">
        <v>5033</v>
      </c>
      <c r="K1001" s="5" t="s">
        <v>2264</v>
      </c>
      <c r="L1001">
        <f t="shared" si="30"/>
        <v>1</v>
      </c>
      <c r="M1001" t="s">
        <v>4532</v>
      </c>
      <c r="N1001" t="s">
        <v>6308</v>
      </c>
      <c r="O1001" t="s">
        <v>104</v>
      </c>
      <c r="P1001">
        <v>32830</v>
      </c>
      <c r="Q1001">
        <v>481980</v>
      </c>
      <c r="R1001" s="16" t="s">
        <v>8366</v>
      </c>
      <c r="S1001" s="16" t="s">
        <v>8071</v>
      </c>
      <c r="T1001" t="s">
        <v>8003</v>
      </c>
      <c r="U1001">
        <v>1</v>
      </c>
      <c r="V1001" t="s">
        <v>8656</v>
      </c>
      <c r="W1001" t="s">
        <v>104</v>
      </c>
      <c r="X1001" t="s">
        <v>8665</v>
      </c>
      <c r="Y1001">
        <f t="shared" si="31"/>
        <v>1</v>
      </c>
    </row>
    <row r="1002" spans="1:25" s="19" customFormat="1">
      <c r="A1002" s="19" t="s">
        <v>5598</v>
      </c>
      <c r="B1002" s="19" t="s">
        <v>5099</v>
      </c>
      <c r="C1002" s="19">
        <v>1164</v>
      </c>
      <c r="D1002" s="19">
        <v>12</v>
      </c>
      <c r="E1002" s="19" t="s">
        <v>12</v>
      </c>
      <c r="F1002" s="19" t="s">
        <v>5136</v>
      </c>
      <c r="G1002" s="19" t="e">
        <f>VLOOKUP(TRIM(F1002),[1]mss!$AA:$AA,1,0)</f>
        <v>#N/A</v>
      </c>
      <c r="H1002" s="19" t="s">
        <v>3537</v>
      </c>
      <c r="I1002" s="19" t="s">
        <v>8928</v>
      </c>
      <c r="J1002" s="20" t="s">
        <v>5042</v>
      </c>
      <c r="L1002" s="19">
        <f t="shared" si="30"/>
        <v>0</v>
      </c>
      <c r="R1002" s="21" t="s">
        <v>8064</v>
      </c>
      <c r="S1002" s="21" t="s">
        <v>8064</v>
      </c>
      <c r="T1002" s="19" t="s">
        <v>5598</v>
      </c>
      <c r="U1002" s="19">
        <v>1</v>
      </c>
      <c r="V1002" s="19" t="s">
        <v>8655</v>
      </c>
      <c r="X1002" s="19" t="s">
        <v>8665</v>
      </c>
      <c r="Y1002" s="19">
        <f t="shared" si="31"/>
        <v>0</v>
      </c>
    </row>
    <row r="1003" spans="1:25" hidden="1">
      <c r="A1003" t="s">
        <v>5587</v>
      </c>
      <c r="B1003" t="s">
        <v>5088</v>
      </c>
      <c r="C1003">
        <v>1180</v>
      </c>
      <c r="D1003">
        <v>12</v>
      </c>
      <c r="E1003" t="s">
        <v>5089</v>
      </c>
      <c r="F1003" t="s">
        <v>5126</v>
      </c>
      <c r="H1003" t="s">
        <v>3673</v>
      </c>
      <c r="J1003" s="5" t="s">
        <v>2296</v>
      </c>
      <c r="L1003">
        <f t="shared" si="30"/>
        <v>1</v>
      </c>
      <c r="M1003" t="s">
        <v>6905</v>
      </c>
      <c r="N1003" t="s">
        <v>6594</v>
      </c>
      <c r="O1003" t="s">
        <v>4016</v>
      </c>
      <c r="P1003" t="s">
        <v>6906</v>
      </c>
      <c r="Q1003" t="s">
        <v>6695</v>
      </c>
      <c r="R1003" s="16" t="s">
        <v>8628</v>
      </c>
      <c r="S1003" s="16" t="s">
        <v>8088</v>
      </c>
      <c r="T1003" t="s">
        <v>5587</v>
      </c>
      <c r="U1003">
        <v>1</v>
      </c>
      <c r="V1003" t="s">
        <v>8654</v>
      </c>
      <c r="W1003" t="s">
        <v>4016</v>
      </c>
      <c r="X1003" t="s">
        <v>8665</v>
      </c>
      <c r="Y1003">
        <f t="shared" si="31"/>
        <v>1</v>
      </c>
    </row>
    <row r="1004" spans="1:25" hidden="1">
      <c r="A1004" t="s">
        <v>7581</v>
      </c>
      <c r="B1004">
        <v>1228</v>
      </c>
      <c r="C1004">
        <v>1228</v>
      </c>
      <c r="D1004">
        <v>13</v>
      </c>
      <c r="E1004" t="s">
        <v>116</v>
      </c>
      <c r="F1004" t="s">
        <v>1106</v>
      </c>
      <c r="H1004" s="1" t="s">
        <v>336</v>
      </c>
      <c r="I1004" s="1"/>
      <c r="J1004" t="s">
        <v>8668</v>
      </c>
      <c r="L1004">
        <f t="shared" si="30"/>
        <v>0</v>
      </c>
      <c r="R1004" s="16" t="s">
        <v>8064</v>
      </c>
      <c r="S1004" s="16" t="s">
        <v>8064</v>
      </c>
      <c r="T1004" t="s">
        <v>7581</v>
      </c>
      <c r="U1004">
        <v>0</v>
      </c>
      <c r="V1004" t="s">
        <v>8655</v>
      </c>
      <c r="X1004" t="s">
        <v>8663</v>
      </c>
      <c r="Y1004">
        <f t="shared" si="31"/>
        <v>0</v>
      </c>
    </row>
    <row r="1005" spans="1:25" hidden="1">
      <c r="A1005" t="s">
        <v>7538</v>
      </c>
      <c r="B1005" t="s">
        <v>69</v>
      </c>
      <c r="C1005">
        <v>1228</v>
      </c>
      <c r="D1005">
        <v>13</v>
      </c>
      <c r="E1005" t="s">
        <v>70</v>
      </c>
      <c r="F1005" t="s">
        <v>1107</v>
      </c>
      <c r="H1005" t="s">
        <v>337</v>
      </c>
      <c r="J1005" t="s">
        <v>8668</v>
      </c>
      <c r="L1005">
        <f t="shared" si="30"/>
        <v>1</v>
      </c>
      <c r="M1005" t="s">
        <v>6512</v>
      </c>
      <c r="N1005" t="s">
        <v>6299</v>
      </c>
      <c r="O1005" t="s">
        <v>11</v>
      </c>
      <c r="P1005" t="s">
        <v>6513</v>
      </c>
      <c r="Q1005" t="s">
        <v>6514</v>
      </c>
      <c r="R1005" s="16" t="s">
        <v>8511</v>
      </c>
      <c r="S1005" s="16" t="s">
        <v>8217</v>
      </c>
      <c r="T1005" t="s">
        <v>7538</v>
      </c>
      <c r="U1005">
        <v>0</v>
      </c>
      <c r="V1005" t="s">
        <v>8654</v>
      </c>
      <c r="W1005" t="s">
        <v>11</v>
      </c>
      <c r="X1005" t="s">
        <v>8663</v>
      </c>
      <c r="Y1005">
        <f t="shared" si="31"/>
        <v>1</v>
      </c>
    </row>
    <row r="1006" spans="1:25">
      <c r="A1006" t="s">
        <v>7564</v>
      </c>
      <c r="B1006">
        <v>1234</v>
      </c>
      <c r="C1006">
        <v>1234</v>
      </c>
      <c r="D1006">
        <v>13</v>
      </c>
      <c r="E1006" t="s">
        <v>12</v>
      </c>
      <c r="F1006" t="s">
        <v>1108</v>
      </c>
      <c r="G1006" t="e">
        <f>VLOOKUP(TRIM(F1006),[1]mss!$AA:$AA,1,0)</f>
        <v>#N/A</v>
      </c>
      <c r="H1006" t="s">
        <v>338</v>
      </c>
      <c r="J1006" t="s">
        <v>8668</v>
      </c>
      <c r="L1006">
        <f t="shared" si="30"/>
        <v>0</v>
      </c>
      <c r="R1006" s="16" t="s">
        <v>8064</v>
      </c>
      <c r="S1006" s="16" t="s">
        <v>8064</v>
      </c>
      <c r="T1006" t="s">
        <v>7881</v>
      </c>
      <c r="U1006">
        <v>0</v>
      </c>
      <c r="V1006" t="s">
        <v>8655</v>
      </c>
      <c r="X1006" t="s">
        <v>8663</v>
      </c>
      <c r="Y1006">
        <f t="shared" si="31"/>
        <v>0</v>
      </c>
    </row>
    <row r="1007" spans="1:25" hidden="1">
      <c r="A1007" t="s">
        <v>7573</v>
      </c>
      <c r="B1007">
        <v>1238</v>
      </c>
      <c r="C1007">
        <v>1238</v>
      </c>
      <c r="D1007">
        <v>13</v>
      </c>
      <c r="E1007" t="s">
        <v>107</v>
      </c>
      <c r="F1007" t="s">
        <v>1109</v>
      </c>
      <c r="H1007" t="s">
        <v>339</v>
      </c>
      <c r="J1007" t="s">
        <v>8668</v>
      </c>
      <c r="L1007">
        <f t="shared" si="30"/>
        <v>1</v>
      </c>
      <c r="M1007" t="s">
        <v>6333</v>
      </c>
      <c r="N1007" t="s">
        <v>6334</v>
      </c>
      <c r="O1007" t="s">
        <v>3995</v>
      </c>
      <c r="P1007">
        <v>86160</v>
      </c>
      <c r="Q1007">
        <v>516330</v>
      </c>
      <c r="R1007" s="16" t="s">
        <v>8519</v>
      </c>
      <c r="S1007" s="16" t="s">
        <v>8224</v>
      </c>
      <c r="T1007" t="s">
        <v>7573</v>
      </c>
      <c r="U1007">
        <v>0</v>
      </c>
      <c r="V1007" t="s">
        <v>8654</v>
      </c>
      <c r="W1007" t="s">
        <v>3995</v>
      </c>
      <c r="X1007" t="s">
        <v>8663</v>
      </c>
      <c r="Y1007">
        <f t="shared" si="31"/>
        <v>1</v>
      </c>
    </row>
    <row r="1008" spans="1:25" hidden="1">
      <c r="A1008" t="s">
        <v>7593</v>
      </c>
      <c r="B1008">
        <v>1241</v>
      </c>
      <c r="C1008">
        <v>1241</v>
      </c>
      <c r="D1008">
        <v>13</v>
      </c>
      <c r="E1008" t="s">
        <v>340</v>
      </c>
      <c r="F1008" t="s">
        <v>1110</v>
      </c>
      <c r="H1008" t="s">
        <v>342</v>
      </c>
      <c r="J1008" t="s">
        <v>8668</v>
      </c>
      <c r="L1008">
        <f t="shared" si="30"/>
        <v>1</v>
      </c>
      <c r="M1008" t="s">
        <v>6205</v>
      </c>
      <c r="N1008" t="s">
        <v>6324</v>
      </c>
      <c r="O1008" t="s">
        <v>11</v>
      </c>
      <c r="P1008">
        <v>113410</v>
      </c>
      <c r="Q1008">
        <v>444940</v>
      </c>
      <c r="R1008" s="16" t="s">
        <v>8378</v>
      </c>
      <c r="S1008" s="16" t="s">
        <v>8082</v>
      </c>
      <c r="T1008" t="s">
        <v>7593</v>
      </c>
      <c r="U1008">
        <v>0</v>
      </c>
      <c r="V1008" t="s">
        <v>8654</v>
      </c>
      <c r="W1008" t="s">
        <v>11</v>
      </c>
      <c r="X1008" t="s">
        <v>8663</v>
      </c>
      <c r="Y1008">
        <f t="shared" si="31"/>
        <v>1</v>
      </c>
    </row>
    <row r="1009" spans="1:25">
      <c r="A1009" t="s">
        <v>7572</v>
      </c>
      <c r="B1009" t="s">
        <v>127</v>
      </c>
      <c r="C1009">
        <v>1244</v>
      </c>
      <c r="D1009">
        <v>13</v>
      </c>
      <c r="E1009" t="s">
        <v>12</v>
      </c>
      <c r="F1009" t="s">
        <v>1111</v>
      </c>
      <c r="G1009" t="e">
        <f>VLOOKUP(TRIM(F1009),[1]mss!$AA:$AA,1,0)</f>
        <v>#N/A</v>
      </c>
      <c r="H1009" t="s">
        <v>343</v>
      </c>
      <c r="J1009" t="s">
        <v>8668</v>
      </c>
      <c r="L1009">
        <f t="shared" si="30"/>
        <v>0</v>
      </c>
      <c r="R1009" s="16" t="s">
        <v>8064</v>
      </c>
      <c r="S1009" s="16" t="s">
        <v>8064</v>
      </c>
      <c r="T1009" t="s">
        <v>7882</v>
      </c>
      <c r="U1009">
        <v>0</v>
      </c>
      <c r="V1009" t="s">
        <v>8655</v>
      </c>
      <c r="X1009" t="s">
        <v>8663</v>
      </c>
      <c r="Y1009">
        <f t="shared" si="31"/>
        <v>0</v>
      </c>
    </row>
    <row r="1010" spans="1:25">
      <c r="A1010" t="s">
        <v>7619</v>
      </c>
      <c r="B1010">
        <v>1244</v>
      </c>
      <c r="C1010">
        <v>1244</v>
      </c>
      <c r="D1010">
        <v>13</v>
      </c>
      <c r="E1010" t="s">
        <v>129</v>
      </c>
      <c r="F1010" t="s">
        <v>1112</v>
      </c>
      <c r="G1010" t="e">
        <f>VLOOKUP(TRIM(F1010),[1]mss!$AA:$AA,1,0)</f>
        <v>#N/A</v>
      </c>
      <c r="H1010" t="s">
        <v>344</v>
      </c>
      <c r="J1010" t="s">
        <v>8668</v>
      </c>
      <c r="L1010">
        <f t="shared" si="30"/>
        <v>0</v>
      </c>
      <c r="R1010" s="16" t="s">
        <v>8064</v>
      </c>
      <c r="S1010" s="16" t="s">
        <v>8064</v>
      </c>
      <c r="T1010" t="s">
        <v>7619</v>
      </c>
      <c r="U1010">
        <v>0</v>
      </c>
      <c r="V1010" t="s">
        <v>8655</v>
      </c>
      <c r="X1010" t="s">
        <v>8663</v>
      </c>
      <c r="Y1010">
        <f t="shared" si="31"/>
        <v>0</v>
      </c>
    </row>
    <row r="1011" spans="1:25" hidden="1">
      <c r="A1011" t="s">
        <v>7622</v>
      </c>
      <c r="B1011">
        <v>1244</v>
      </c>
      <c r="C1011">
        <v>1244</v>
      </c>
      <c r="D1011">
        <v>13</v>
      </c>
      <c r="E1011" t="s">
        <v>22</v>
      </c>
      <c r="F1011" t="s">
        <v>1113</v>
      </c>
      <c r="H1011" t="s">
        <v>345</v>
      </c>
      <c r="J1011" t="s">
        <v>8668</v>
      </c>
      <c r="L1011">
        <f t="shared" si="30"/>
        <v>1</v>
      </c>
      <c r="M1011" t="s">
        <v>4502</v>
      </c>
      <c r="N1011" t="s">
        <v>6456</v>
      </c>
      <c r="O1011" t="s">
        <v>104</v>
      </c>
      <c r="P1011">
        <v>23522</v>
      </c>
      <c r="Q1011">
        <v>488566</v>
      </c>
      <c r="R1011" s="16" t="s">
        <v>8364</v>
      </c>
      <c r="S1011" s="16" t="s">
        <v>8069</v>
      </c>
      <c r="T1011" t="s">
        <v>7622</v>
      </c>
      <c r="U1011">
        <v>0</v>
      </c>
      <c r="V1011" t="s">
        <v>8654</v>
      </c>
      <c r="W1011" t="s">
        <v>104</v>
      </c>
      <c r="X1011" t="s">
        <v>8663</v>
      </c>
      <c r="Y1011">
        <f t="shared" si="31"/>
        <v>1</v>
      </c>
    </row>
    <row r="1012" spans="1:25">
      <c r="A1012" t="s">
        <v>7594</v>
      </c>
      <c r="B1012" t="s">
        <v>128</v>
      </c>
      <c r="C1012">
        <v>1251</v>
      </c>
      <c r="D1012">
        <v>13</v>
      </c>
      <c r="E1012" t="s">
        <v>129</v>
      </c>
      <c r="F1012" t="s">
        <v>1114</v>
      </c>
      <c r="G1012" t="e">
        <f>VLOOKUP(TRIM(F1012),[1]mss!$AA:$AA,1,0)</f>
        <v>#N/A</v>
      </c>
      <c r="H1012" t="s">
        <v>346</v>
      </c>
      <c r="J1012" t="s">
        <v>8668</v>
      </c>
      <c r="L1012">
        <f t="shared" si="30"/>
        <v>0</v>
      </c>
      <c r="R1012" s="16" t="s">
        <v>8064</v>
      </c>
      <c r="S1012" s="16" t="s">
        <v>8064</v>
      </c>
      <c r="T1012" t="s">
        <v>7594</v>
      </c>
      <c r="U1012">
        <v>0</v>
      </c>
      <c r="V1012" t="s">
        <v>8655</v>
      </c>
      <c r="X1012" t="s">
        <v>8663</v>
      </c>
      <c r="Y1012">
        <f t="shared" si="31"/>
        <v>0</v>
      </c>
    </row>
    <row r="1013" spans="1:25" hidden="1">
      <c r="A1013" t="s">
        <v>7569</v>
      </c>
      <c r="B1013">
        <v>1254</v>
      </c>
      <c r="C1013">
        <v>1254</v>
      </c>
      <c r="D1013">
        <v>13</v>
      </c>
      <c r="E1013" t="s">
        <v>43</v>
      </c>
      <c r="F1013" t="s">
        <v>1115</v>
      </c>
      <c r="H1013" t="s">
        <v>347</v>
      </c>
      <c r="J1013" t="s">
        <v>8668</v>
      </c>
      <c r="L1013">
        <f t="shared" si="30"/>
        <v>0</v>
      </c>
      <c r="R1013" s="16" t="s">
        <v>8064</v>
      </c>
      <c r="S1013" s="16" t="s">
        <v>8064</v>
      </c>
      <c r="T1013" t="s">
        <v>7569</v>
      </c>
      <c r="U1013">
        <v>0</v>
      </c>
      <c r="V1013" t="s">
        <v>8655</v>
      </c>
      <c r="X1013" t="s">
        <v>8663</v>
      </c>
      <c r="Y1013">
        <f t="shared" si="31"/>
        <v>0</v>
      </c>
    </row>
    <row r="1014" spans="1:25">
      <c r="A1014" t="s">
        <v>7559</v>
      </c>
      <c r="B1014" t="s">
        <v>93</v>
      </c>
      <c r="C1014">
        <v>1263</v>
      </c>
      <c r="D1014">
        <v>13</v>
      </c>
      <c r="E1014" t="s">
        <v>12</v>
      </c>
      <c r="F1014" t="s">
        <v>1116</v>
      </c>
      <c r="G1014" t="e">
        <f>VLOOKUP(TRIM(F1014),[1]mss!$AA:$AA,1,0)</f>
        <v>#N/A</v>
      </c>
      <c r="H1014" t="s">
        <v>348</v>
      </c>
      <c r="I1014" t="s">
        <v>8928</v>
      </c>
      <c r="J1014" t="s">
        <v>8869</v>
      </c>
      <c r="L1014">
        <f t="shared" si="30"/>
        <v>0</v>
      </c>
      <c r="R1014" s="16" t="s">
        <v>8064</v>
      </c>
      <c r="S1014" s="16" t="s">
        <v>8064</v>
      </c>
      <c r="T1014" t="s">
        <v>7559</v>
      </c>
      <c r="U1014">
        <v>1</v>
      </c>
      <c r="V1014" t="s">
        <v>8655</v>
      </c>
      <c r="X1014" t="s">
        <v>8663</v>
      </c>
      <c r="Y1014">
        <f t="shared" si="31"/>
        <v>0</v>
      </c>
    </row>
    <row r="1015" spans="1:25" hidden="1">
      <c r="A1015" t="s">
        <v>7109</v>
      </c>
      <c r="B1015" t="s">
        <v>4111</v>
      </c>
      <c r="C1015">
        <v>1252</v>
      </c>
      <c r="D1015">
        <v>13</v>
      </c>
      <c r="E1015" t="s">
        <v>27</v>
      </c>
      <c r="F1015" t="s">
        <v>718</v>
      </c>
      <c r="H1015" t="s">
        <v>719</v>
      </c>
      <c r="J1015" t="s">
        <v>8668</v>
      </c>
      <c r="L1015">
        <f t="shared" si="30"/>
        <v>1</v>
      </c>
      <c r="M1015" t="s">
        <v>6486</v>
      </c>
      <c r="N1015" t="s">
        <v>6487</v>
      </c>
      <c r="O1015" t="s">
        <v>12</v>
      </c>
      <c r="P1015" t="s">
        <v>6488</v>
      </c>
      <c r="Q1015">
        <v>517520</v>
      </c>
      <c r="R1015" s="16" t="s">
        <v>8357</v>
      </c>
      <c r="S1015" s="16" t="s">
        <v>8060</v>
      </c>
      <c r="T1015" t="s">
        <v>7769</v>
      </c>
      <c r="U1015">
        <v>0</v>
      </c>
      <c r="V1015" t="s">
        <v>8654</v>
      </c>
      <c r="W1015" t="s">
        <v>12</v>
      </c>
      <c r="X1015" t="s">
        <v>8659</v>
      </c>
      <c r="Y1015">
        <f t="shared" si="31"/>
        <v>1</v>
      </c>
    </row>
    <row r="1016" spans="1:25" hidden="1">
      <c r="A1016" t="s">
        <v>7532</v>
      </c>
      <c r="B1016">
        <v>1260</v>
      </c>
      <c r="C1016">
        <v>1260</v>
      </c>
      <c r="D1016">
        <v>13</v>
      </c>
      <c r="E1016" t="s">
        <v>115</v>
      </c>
      <c r="F1016" t="s">
        <v>53</v>
      </c>
      <c r="H1016" t="s">
        <v>350</v>
      </c>
      <c r="J1016" t="s">
        <v>8668</v>
      </c>
      <c r="L1016">
        <f t="shared" si="30"/>
        <v>0</v>
      </c>
      <c r="R1016" s="16" t="s">
        <v>8064</v>
      </c>
      <c r="S1016" s="16" t="s">
        <v>8064</v>
      </c>
      <c r="T1016" t="s">
        <v>7532</v>
      </c>
      <c r="U1016">
        <v>0</v>
      </c>
      <c r="V1016" t="s">
        <v>8655</v>
      </c>
      <c r="X1016" t="s">
        <v>8663</v>
      </c>
      <c r="Y1016">
        <f t="shared" si="31"/>
        <v>0</v>
      </c>
    </row>
    <row r="1017" spans="1:25" hidden="1">
      <c r="A1017" t="s">
        <v>7576</v>
      </c>
      <c r="B1017">
        <v>1260</v>
      </c>
      <c r="C1017">
        <v>1260</v>
      </c>
      <c r="D1017">
        <v>13</v>
      </c>
      <c r="E1017" t="s">
        <v>104</v>
      </c>
      <c r="F1017" t="s">
        <v>1118</v>
      </c>
      <c r="H1017" t="s">
        <v>352</v>
      </c>
      <c r="J1017" t="s">
        <v>8668</v>
      </c>
      <c r="L1017">
        <f t="shared" si="30"/>
        <v>0</v>
      </c>
      <c r="R1017" s="16" t="s">
        <v>8064</v>
      </c>
      <c r="S1017" s="16" t="s">
        <v>8064</v>
      </c>
      <c r="T1017" t="s">
        <v>7576</v>
      </c>
      <c r="U1017">
        <v>0</v>
      </c>
      <c r="V1017" t="s">
        <v>8655</v>
      </c>
      <c r="X1017" t="s">
        <v>8663</v>
      </c>
      <c r="Y1017">
        <f t="shared" si="31"/>
        <v>0</v>
      </c>
    </row>
    <row r="1018" spans="1:25">
      <c r="A1018" t="s">
        <v>7558</v>
      </c>
      <c r="B1018" t="s">
        <v>92</v>
      </c>
      <c r="C1018">
        <v>1260</v>
      </c>
      <c r="D1018">
        <v>13</v>
      </c>
      <c r="E1018" t="s">
        <v>12</v>
      </c>
      <c r="F1018" t="s">
        <v>1119</v>
      </c>
      <c r="G1018" t="e">
        <f>VLOOKUP(TRIM(F1018),[1]mss!$AA:$AA,1,0)</f>
        <v>#N/A</v>
      </c>
      <c r="H1018" t="s">
        <v>351</v>
      </c>
      <c r="J1018" t="s">
        <v>8668</v>
      </c>
      <c r="L1018">
        <f t="shared" si="30"/>
        <v>0</v>
      </c>
      <c r="R1018" s="16" t="s">
        <v>8064</v>
      </c>
      <c r="S1018" s="16" t="s">
        <v>8064</v>
      </c>
      <c r="T1018" t="s">
        <v>7880</v>
      </c>
      <c r="U1018">
        <v>0</v>
      </c>
      <c r="V1018" t="s">
        <v>8655</v>
      </c>
      <c r="X1018" t="s">
        <v>8663</v>
      </c>
      <c r="Y1018">
        <f t="shared" si="31"/>
        <v>0</v>
      </c>
    </row>
    <row r="1019" spans="1:25" hidden="1">
      <c r="A1019" t="s">
        <v>7179</v>
      </c>
      <c r="B1019" t="s">
        <v>395</v>
      </c>
      <c r="C1019">
        <v>1253</v>
      </c>
      <c r="D1019">
        <v>13</v>
      </c>
      <c r="E1019" t="s">
        <v>27</v>
      </c>
      <c r="F1019" t="s">
        <v>716</v>
      </c>
      <c r="H1019" t="s">
        <v>717</v>
      </c>
      <c r="J1019" t="s">
        <v>8668</v>
      </c>
      <c r="L1019">
        <f t="shared" si="30"/>
        <v>1</v>
      </c>
      <c r="M1019" t="s">
        <v>6486</v>
      </c>
      <c r="N1019" t="s">
        <v>6487</v>
      </c>
      <c r="O1019" t="s">
        <v>12</v>
      </c>
      <c r="P1019" t="s">
        <v>6488</v>
      </c>
      <c r="Q1019">
        <v>517520</v>
      </c>
      <c r="R1019" s="16" t="s">
        <v>8357</v>
      </c>
      <c r="S1019" s="16" t="s">
        <v>8060</v>
      </c>
      <c r="T1019" t="s">
        <v>7179</v>
      </c>
      <c r="U1019">
        <v>0</v>
      </c>
      <c r="V1019" t="s">
        <v>8654</v>
      </c>
      <c r="W1019" t="s">
        <v>12</v>
      </c>
      <c r="X1019" t="s">
        <v>8659</v>
      </c>
      <c r="Y1019">
        <f t="shared" si="31"/>
        <v>1</v>
      </c>
    </row>
    <row r="1020" spans="1:25" hidden="1">
      <c r="A1020" t="s">
        <v>7091</v>
      </c>
      <c r="B1020" t="s">
        <v>398</v>
      </c>
      <c r="C1020">
        <v>1253</v>
      </c>
      <c r="D1020">
        <v>13</v>
      </c>
      <c r="E1020" t="s">
        <v>4083</v>
      </c>
      <c r="F1020" t="s">
        <v>726</v>
      </c>
      <c r="H1020" t="s">
        <v>727</v>
      </c>
      <c r="J1020" t="s">
        <v>8714</v>
      </c>
      <c r="L1020">
        <f t="shared" si="30"/>
        <v>1</v>
      </c>
      <c r="M1020" t="s">
        <v>6883</v>
      </c>
      <c r="N1020" t="s">
        <v>6367</v>
      </c>
      <c r="O1020" t="s">
        <v>12</v>
      </c>
      <c r="P1020" t="s">
        <v>6884</v>
      </c>
      <c r="Q1020" t="s">
        <v>6885</v>
      </c>
      <c r="R1020" s="16" t="s">
        <v>8410</v>
      </c>
      <c r="S1020" s="16" t="s">
        <v>8113</v>
      </c>
      <c r="T1020" t="s">
        <v>7755</v>
      </c>
      <c r="U1020">
        <v>1</v>
      </c>
      <c r="V1020" t="s">
        <v>8654</v>
      </c>
      <c r="W1020" t="s">
        <v>12</v>
      </c>
      <c r="X1020" t="s">
        <v>8659</v>
      </c>
      <c r="Y1020">
        <f t="shared" si="31"/>
        <v>1</v>
      </c>
    </row>
    <row r="1021" spans="1:25" hidden="1">
      <c r="A1021" t="s">
        <v>7529</v>
      </c>
      <c r="B1021">
        <v>1265</v>
      </c>
      <c r="C1021">
        <v>1265</v>
      </c>
      <c r="D1021">
        <v>13</v>
      </c>
      <c r="E1021" t="s">
        <v>57</v>
      </c>
      <c r="F1021" t="s">
        <v>225</v>
      </c>
      <c r="H1021" t="s">
        <v>355</v>
      </c>
      <c r="J1021" t="s">
        <v>8668</v>
      </c>
      <c r="L1021">
        <f t="shared" si="30"/>
        <v>1</v>
      </c>
      <c r="M1021" t="s">
        <v>6415</v>
      </c>
      <c r="N1021" t="s">
        <v>6416</v>
      </c>
      <c r="O1021" t="s">
        <v>11</v>
      </c>
      <c r="P1021">
        <v>100240</v>
      </c>
      <c r="Q1021">
        <v>451330</v>
      </c>
      <c r="R1021" s="16" t="s">
        <v>8506</v>
      </c>
      <c r="S1021" s="16" t="s">
        <v>8212</v>
      </c>
      <c r="T1021" t="s">
        <v>7529</v>
      </c>
      <c r="U1021">
        <v>0</v>
      </c>
      <c r="V1021" t="s">
        <v>8654</v>
      </c>
      <c r="W1021" t="s">
        <v>11</v>
      </c>
      <c r="X1021" t="s">
        <v>8663</v>
      </c>
      <c r="Y1021">
        <f t="shared" si="31"/>
        <v>1</v>
      </c>
    </row>
    <row r="1022" spans="1:25" hidden="1">
      <c r="A1022" t="s">
        <v>7177</v>
      </c>
      <c r="B1022" t="s">
        <v>730</v>
      </c>
      <c r="C1022">
        <v>1254</v>
      </c>
      <c r="D1022">
        <v>13</v>
      </c>
      <c r="E1022" t="s">
        <v>3989</v>
      </c>
      <c r="F1022" t="s">
        <v>731</v>
      </c>
      <c r="H1022" t="s">
        <v>490</v>
      </c>
      <c r="J1022" t="s">
        <v>8668</v>
      </c>
      <c r="L1022">
        <f t="shared" si="30"/>
        <v>1</v>
      </c>
      <c r="M1022" t="s">
        <v>6478</v>
      </c>
      <c r="N1022" t="s">
        <v>6451</v>
      </c>
      <c r="O1022" t="s">
        <v>12</v>
      </c>
      <c r="P1022">
        <v>-17930</v>
      </c>
      <c r="Q1022">
        <v>510680</v>
      </c>
      <c r="R1022" s="16" t="s">
        <v>8444</v>
      </c>
      <c r="S1022" s="16" t="s">
        <v>8148</v>
      </c>
      <c r="T1022" t="s">
        <v>7177</v>
      </c>
      <c r="U1022">
        <v>0</v>
      </c>
      <c r="V1022" t="s">
        <v>8654</v>
      </c>
      <c r="W1022" t="s">
        <v>12</v>
      </c>
      <c r="X1022" t="s">
        <v>8659</v>
      </c>
      <c r="Y1022">
        <f t="shared" si="31"/>
        <v>1</v>
      </c>
    </row>
    <row r="1023" spans="1:25" hidden="1">
      <c r="A1023" t="s">
        <v>7543</v>
      </c>
      <c r="B1023" t="s">
        <v>21</v>
      </c>
      <c r="C1023">
        <v>1271</v>
      </c>
      <c r="D1023">
        <v>13</v>
      </c>
      <c r="E1023" t="s">
        <v>22</v>
      </c>
      <c r="F1023" t="s">
        <v>1122</v>
      </c>
      <c r="H1023" t="s">
        <v>358</v>
      </c>
      <c r="J1023" t="s">
        <v>8668</v>
      </c>
      <c r="L1023">
        <f t="shared" si="30"/>
        <v>1</v>
      </c>
      <c r="M1023" t="s">
        <v>4502</v>
      </c>
      <c r="N1023" t="s">
        <v>6456</v>
      </c>
      <c r="O1023" t="s">
        <v>104</v>
      </c>
      <c r="P1023">
        <v>23522</v>
      </c>
      <c r="Q1023">
        <v>488566</v>
      </c>
      <c r="R1023" s="16" t="s">
        <v>8364</v>
      </c>
      <c r="S1023" s="16" t="s">
        <v>8069</v>
      </c>
      <c r="T1023" t="s">
        <v>7874</v>
      </c>
      <c r="U1023">
        <v>0</v>
      </c>
      <c r="V1023" t="s">
        <v>8654</v>
      </c>
      <c r="W1023" t="s">
        <v>104</v>
      </c>
      <c r="X1023" t="s">
        <v>8663</v>
      </c>
      <c r="Y1023">
        <f t="shared" si="31"/>
        <v>1</v>
      </c>
    </row>
    <row r="1024" spans="1:25" hidden="1">
      <c r="A1024" t="s">
        <v>7539</v>
      </c>
      <c r="B1024">
        <v>1266</v>
      </c>
      <c r="C1024">
        <v>1266</v>
      </c>
      <c r="D1024">
        <v>13</v>
      </c>
      <c r="E1024" t="s">
        <v>73</v>
      </c>
      <c r="F1024" t="s">
        <v>1123</v>
      </c>
      <c r="H1024" t="s">
        <v>357</v>
      </c>
      <c r="J1024" t="s">
        <v>8668</v>
      </c>
      <c r="L1024">
        <f t="shared" si="30"/>
        <v>1</v>
      </c>
      <c r="M1024" t="s">
        <v>6678</v>
      </c>
      <c r="N1024" t="s">
        <v>6473</v>
      </c>
      <c r="O1024" t="s">
        <v>11</v>
      </c>
      <c r="P1024" t="s">
        <v>6679</v>
      </c>
      <c r="Q1024" t="s">
        <v>6680</v>
      </c>
      <c r="R1024" s="16" t="s">
        <v>6679</v>
      </c>
      <c r="S1024" s="16" t="s">
        <v>6680</v>
      </c>
      <c r="T1024" t="s">
        <v>7539</v>
      </c>
      <c r="U1024">
        <v>0</v>
      </c>
      <c r="V1024" t="s">
        <v>8654</v>
      </c>
      <c r="W1024" t="s">
        <v>11</v>
      </c>
      <c r="X1024" t="s">
        <v>8663</v>
      </c>
      <c r="Y1024">
        <f t="shared" si="31"/>
        <v>1</v>
      </c>
    </row>
    <row r="1025" spans="1:25" hidden="1">
      <c r="A1025" t="s">
        <v>7604</v>
      </c>
      <c r="B1025" t="s">
        <v>191</v>
      </c>
      <c r="C1025">
        <v>1271</v>
      </c>
      <c r="D1025">
        <v>13</v>
      </c>
      <c r="E1025" t="s">
        <v>192</v>
      </c>
      <c r="F1025" t="s">
        <v>1124</v>
      </c>
      <c r="H1025" t="s">
        <v>359</v>
      </c>
      <c r="J1025" t="s">
        <v>8668</v>
      </c>
      <c r="L1025">
        <f t="shared" si="30"/>
        <v>1</v>
      </c>
      <c r="M1025" t="s">
        <v>4502</v>
      </c>
      <c r="N1025" t="s">
        <v>6456</v>
      </c>
      <c r="O1025" t="s">
        <v>104</v>
      </c>
      <c r="P1025">
        <v>23522</v>
      </c>
      <c r="Q1025">
        <v>488566</v>
      </c>
      <c r="R1025" s="16" t="s">
        <v>8364</v>
      </c>
      <c r="S1025" s="16" t="s">
        <v>8069</v>
      </c>
      <c r="T1025" t="s">
        <v>7894</v>
      </c>
      <c r="U1025">
        <v>0</v>
      </c>
      <c r="V1025" t="s">
        <v>8654</v>
      </c>
      <c r="W1025" t="s">
        <v>104</v>
      </c>
      <c r="X1025" t="s">
        <v>8663</v>
      </c>
      <c r="Y1025">
        <f t="shared" si="31"/>
        <v>1</v>
      </c>
    </row>
    <row r="1026" spans="1:25" hidden="1">
      <c r="A1026" t="s">
        <v>7613</v>
      </c>
      <c r="B1026" t="s">
        <v>207</v>
      </c>
      <c r="C1026">
        <v>1271</v>
      </c>
      <c r="D1026">
        <v>13</v>
      </c>
      <c r="E1026" t="s">
        <v>208</v>
      </c>
      <c r="F1026" t="s">
        <v>1125</v>
      </c>
      <c r="H1026" t="s">
        <v>360</v>
      </c>
      <c r="J1026" t="s">
        <v>9135</v>
      </c>
      <c r="L1026">
        <f t="shared" ref="L1026:L1089" si="32">IF(M1026&lt;&gt;"",1,0)</f>
        <v>1</v>
      </c>
      <c r="M1026" t="s">
        <v>5620</v>
      </c>
      <c r="N1026" t="s">
        <v>6291</v>
      </c>
      <c r="O1026" t="s">
        <v>3995</v>
      </c>
      <c r="P1026">
        <v>120970</v>
      </c>
      <c r="Q1026">
        <v>490150</v>
      </c>
      <c r="R1026" s="16" t="s">
        <v>8525</v>
      </c>
      <c r="S1026" s="16" t="s">
        <v>8230</v>
      </c>
      <c r="T1026" t="s">
        <v>7613</v>
      </c>
      <c r="U1026">
        <v>1</v>
      </c>
      <c r="V1026" t="s">
        <v>8654</v>
      </c>
      <c r="W1026" t="s">
        <v>3995</v>
      </c>
      <c r="X1026" t="s">
        <v>8663</v>
      </c>
      <c r="Y1026">
        <f t="shared" ref="Y1026:Y1089" si="33">IF(OR(V1026="Loc",V1026="IIIF"),1,0)</f>
        <v>1</v>
      </c>
    </row>
    <row r="1027" spans="1:25">
      <c r="A1027" t="s">
        <v>7541</v>
      </c>
      <c r="B1027" t="s">
        <v>20</v>
      </c>
      <c r="C1027">
        <v>1286</v>
      </c>
      <c r="D1027">
        <v>13</v>
      </c>
      <c r="E1027" t="s">
        <v>12</v>
      </c>
      <c r="F1027" t="s">
        <v>1126</v>
      </c>
      <c r="G1027" t="e">
        <f>VLOOKUP(TRIM(F1027),[1]mss!$AA:$AA,1,0)</f>
        <v>#N/A</v>
      </c>
      <c r="H1027" t="s">
        <v>361</v>
      </c>
      <c r="J1027" t="s">
        <v>8668</v>
      </c>
      <c r="L1027">
        <f t="shared" si="32"/>
        <v>0</v>
      </c>
      <c r="R1027" s="16" t="s">
        <v>8064</v>
      </c>
      <c r="S1027" s="16" t="s">
        <v>8064</v>
      </c>
      <c r="T1027" t="s">
        <v>7541</v>
      </c>
      <c r="U1027">
        <v>0</v>
      </c>
      <c r="V1027" t="s">
        <v>8655</v>
      </c>
      <c r="X1027" t="s">
        <v>8663</v>
      </c>
      <c r="Y1027">
        <f t="shared" si="33"/>
        <v>0</v>
      </c>
    </row>
    <row r="1028" spans="1:25" hidden="1">
      <c r="A1028" t="s">
        <v>7193</v>
      </c>
      <c r="B1028" t="s">
        <v>483</v>
      </c>
      <c r="C1028">
        <v>1255</v>
      </c>
      <c r="D1028">
        <v>13</v>
      </c>
      <c r="E1028" t="s">
        <v>27</v>
      </c>
      <c r="F1028" t="s">
        <v>720</v>
      </c>
      <c r="H1028" t="s">
        <v>721</v>
      </c>
      <c r="J1028" t="s">
        <v>8668</v>
      </c>
      <c r="L1028">
        <f t="shared" si="32"/>
        <v>1</v>
      </c>
      <c r="M1028" t="s">
        <v>6486</v>
      </c>
      <c r="N1028" t="s">
        <v>6487</v>
      </c>
      <c r="O1028" t="s">
        <v>12</v>
      </c>
      <c r="P1028" t="s">
        <v>6488</v>
      </c>
      <c r="Q1028">
        <v>517520</v>
      </c>
      <c r="R1028" s="16" t="s">
        <v>8357</v>
      </c>
      <c r="S1028" s="16" t="s">
        <v>8060</v>
      </c>
      <c r="T1028" t="s">
        <v>7193</v>
      </c>
      <c r="U1028">
        <v>0</v>
      </c>
      <c r="V1028" t="s">
        <v>8654</v>
      </c>
      <c r="W1028" t="s">
        <v>12</v>
      </c>
      <c r="X1028" t="s">
        <v>8659</v>
      </c>
      <c r="Y1028">
        <f t="shared" si="33"/>
        <v>1</v>
      </c>
    </row>
    <row r="1029" spans="1:25" hidden="1">
      <c r="A1029" t="s">
        <v>7580</v>
      </c>
      <c r="B1029" t="s">
        <v>113</v>
      </c>
      <c r="C1029">
        <v>1273</v>
      </c>
      <c r="D1029">
        <v>13</v>
      </c>
      <c r="E1029" t="s">
        <v>114</v>
      </c>
      <c r="F1029" t="s">
        <v>1128</v>
      </c>
      <c r="H1029" t="s">
        <v>363</v>
      </c>
      <c r="J1029" t="s">
        <v>8668</v>
      </c>
      <c r="L1029">
        <f t="shared" si="32"/>
        <v>1</v>
      </c>
      <c r="M1029" t="s">
        <v>6508</v>
      </c>
      <c r="N1029" t="s">
        <v>6509</v>
      </c>
      <c r="O1029" t="s">
        <v>104</v>
      </c>
      <c r="P1029" t="s">
        <v>6510</v>
      </c>
      <c r="Q1029" t="s">
        <v>6511</v>
      </c>
      <c r="R1029" s="16" t="s">
        <v>8522</v>
      </c>
      <c r="S1029" s="16" t="s">
        <v>8227</v>
      </c>
      <c r="T1029" t="s">
        <v>7580</v>
      </c>
      <c r="U1029">
        <v>0</v>
      </c>
      <c r="V1029" t="s">
        <v>8654</v>
      </c>
      <c r="W1029" t="s">
        <v>104</v>
      </c>
      <c r="X1029" t="s">
        <v>8663</v>
      </c>
      <c r="Y1029">
        <f t="shared" si="33"/>
        <v>1</v>
      </c>
    </row>
    <row r="1030" spans="1:25" hidden="1">
      <c r="A1030" t="s">
        <v>7245</v>
      </c>
      <c r="B1030" t="s">
        <v>1002</v>
      </c>
      <c r="C1030">
        <v>1255</v>
      </c>
      <c r="D1030">
        <v>13</v>
      </c>
      <c r="E1030" t="s">
        <v>13</v>
      </c>
      <c r="F1030" t="s">
        <v>1003</v>
      </c>
      <c r="H1030" t="s">
        <v>1004</v>
      </c>
      <c r="J1030" s="5" t="s">
        <v>8686</v>
      </c>
      <c r="L1030">
        <f t="shared" si="32"/>
        <v>1</v>
      </c>
      <c r="M1030" t="s">
        <v>6348</v>
      </c>
      <c r="N1030" t="s">
        <v>6349</v>
      </c>
      <c r="O1030" t="s">
        <v>12</v>
      </c>
      <c r="P1030">
        <v>10810</v>
      </c>
      <c r="Q1030">
        <v>512810</v>
      </c>
      <c r="R1030" s="16" t="s">
        <v>8360</v>
      </c>
      <c r="S1030" s="16" t="s">
        <v>8063</v>
      </c>
      <c r="T1030" t="s">
        <v>7245</v>
      </c>
      <c r="U1030">
        <v>1</v>
      </c>
      <c r="V1030" t="s">
        <v>8654</v>
      </c>
      <c r="W1030" t="s">
        <v>12</v>
      </c>
      <c r="X1030" t="s">
        <v>3012</v>
      </c>
      <c r="Y1030">
        <f t="shared" si="33"/>
        <v>1</v>
      </c>
    </row>
    <row r="1031" spans="1:25">
      <c r="A1031" t="s">
        <v>7597</v>
      </c>
      <c r="B1031">
        <v>1280</v>
      </c>
      <c r="C1031">
        <v>1280</v>
      </c>
      <c r="D1031">
        <v>13</v>
      </c>
      <c r="E1031" t="s">
        <v>129</v>
      </c>
      <c r="F1031" t="s">
        <v>1129</v>
      </c>
      <c r="G1031" t="e">
        <f>VLOOKUP(TRIM(F1031),[1]mss!$AA:$AA,1,0)</f>
        <v>#N/A</v>
      </c>
      <c r="H1031" t="s">
        <v>365</v>
      </c>
      <c r="J1031" t="s">
        <v>8668</v>
      </c>
      <c r="L1031">
        <f t="shared" si="32"/>
        <v>0</v>
      </c>
      <c r="R1031" s="16" t="s">
        <v>8064</v>
      </c>
      <c r="S1031" s="16" t="s">
        <v>8064</v>
      </c>
      <c r="T1031" t="s">
        <v>7890</v>
      </c>
      <c r="U1031">
        <v>0</v>
      </c>
      <c r="V1031" t="s">
        <v>8655</v>
      </c>
      <c r="X1031" t="s">
        <v>8663</v>
      </c>
      <c r="Y1031">
        <f t="shared" si="33"/>
        <v>0</v>
      </c>
    </row>
    <row r="1032" spans="1:25" hidden="1">
      <c r="A1032" t="s">
        <v>5346</v>
      </c>
      <c r="B1032" t="s">
        <v>400</v>
      </c>
      <c r="C1032">
        <v>1257</v>
      </c>
      <c r="D1032">
        <v>13</v>
      </c>
      <c r="E1032" t="s">
        <v>27</v>
      </c>
      <c r="F1032" t="s">
        <v>718</v>
      </c>
      <c r="H1032" t="s">
        <v>719</v>
      </c>
      <c r="J1032" t="s">
        <v>8668</v>
      </c>
      <c r="L1032">
        <f t="shared" si="32"/>
        <v>1</v>
      </c>
      <c r="M1032" t="s">
        <v>6486</v>
      </c>
      <c r="N1032" t="s">
        <v>6487</v>
      </c>
      <c r="O1032" t="s">
        <v>12</v>
      </c>
      <c r="P1032" t="s">
        <v>6488</v>
      </c>
      <c r="Q1032">
        <v>517520</v>
      </c>
      <c r="R1032" s="16" t="s">
        <v>8357</v>
      </c>
      <c r="S1032" s="16" t="s">
        <v>8060</v>
      </c>
      <c r="T1032" t="s">
        <v>7769</v>
      </c>
      <c r="U1032">
        <v>0</v>
      </c>
      <c r="V1032" t="s">
        <v>8654</v>
      </c>
      <c r="W1032" t="s">
        <v>12</v>
      </c>
      <c r="X1032" t="s">
        <v>8659</v>
      </c>
      <c r="Y1032">
        <f t="shared" si="33"/>
        <v>1</v>
      </c>
    </row>
    <row r="1033" spans="1:25" hidden="1">
      <c r="A1033" t="s">
        <v>7524</v>
      </c>
      <c r="B1033" t="s">
        <v>55</v>
      </c>
      <c r="C1033">
        <v>1288</v>
      </c>
      <c r="D1033">
        <v>13</v>
      </c>
      <c r="E1033" t="s">
        <v>56</v>
      </c>
      <c r="F1033" t="s">
        <v>132</v>
      </c>
      <c r="H1033" t="s">
        <v>367</v>
      </c>
      <c r="J1033" t="s">
        <v>8668</v>
      </c>
      <c r="L1033">
        <f t="shared" si="32"/>
        <v>1</v>
      </c>
      <c r="M1033" t="s">
        <v>6546</v>
      </c>
      <c r="N1033" t="s">
        <v>6547</v>
      </c>
      <c r="O1033" t="s">
        <v>104</v>
      </c>
      <c r="P1033" t="s">
        <v>6548</v>
      </c>
      <c r="Q1033" t="s">
        <v>6549</v>
      </c>
      <c r="R1033" s="16" t="s">
        <v>8504</v>
      </c>
      <c r="S1033" s="16" t="s">
        <v>8210</v>
      </c>
      <c r="T1033" t="s">
        <v>7524</v>
      </c>
      <c r="U1033">
        <v>0</v>
      </c>
      <c r="V1033" t="s">
        <v>8654</v>
      </c>
      <c r="W1033" t="s">
        <v>104</v>
      </c>
      <c r="X1033" t="s">
        <v>8663</v>
      </c>
      <c r="Y1033">
        <f t="shared" si="33"/>
        <v>1</v>
      </c>
    </row>
    <row r="1034" spans="1:25">
      <c r="A1034" t="s">
        <v>7599</v>
      </c>
      <c r="B1034" t="s">
        <v>131</v>
      </c>
      <c r="C1034">
        <v>1290</v>
      </c>
      <c r="D1034">
        <v>13</v>
      </c>
      <c r="E1034" t="s">
        <v>129</v>
      </c>
      <c r="F1034" t="s">
        <v>1131</v>
      </c>
      <c r="G1034" t="e">
        <f>VLOOKUP(TRIM(F1034),[1]mss!$AA:$AA,1,0)</f>
        <v>#N/A</v>
      </c>
      <c r="H1034" t="s">
        <v>368</v>
      </c>
      <c r="J1034" t="s">
        <v>8668</v>
      </c>
      <c r="L1034">
        <f t="shared" si="32"/>
        <v>0</v>
      </c>
      <c r="R1034" s="16" t="s">
        <v>8064</v>
      </c>
      <c r="S1034" s="16" t="s">
        <v>8064</v>
      </c>
      <c r="T1034" t="s">
        <v>7599</v>
      </c>
      <c r="U1034">
        <v>0</v>
      </c>
      <c r="V1034" t="s">
        <v>8655</v>
      </c>
      <c r="X1034" t="s">
        <v>8663</v>
      </c>
      <c r="Y1034">
        <f t="shared" si="33"/>
        <v>0</v>
      </c>
    </row>
    <row r="1035" spans="1:25" hidden="1">
      <c r="A1035" t="s">
        <v>7574</v>
      </c>
      <c r="B1035">
        <v>1288</v>
      </c>
      <c r="C1035">
        <v>1288</v>
      </c>
      <c r="D1035">
        <v>13</v>
      </c>
      <c r="E1035" t="s">
        <v>108</v>
      </c>
      <c r="F1035" t="s">
        <v>1132</v>
      </c>
      <c r="H1035" t="s">
        <v>369</v>
      </c>
      <c r="J1035" t="s">
        <v>8668</v>
      </c>
      <c r="L1035">
        <f t="shared" si="32"/>
        <v>1</v>
      </c>
      <c r="M1035" t="s">
        <v>108</v>
      </c>
      <c r="N1035" t="s">
        <v>6859</v>
      </c>
      <c r="O1035" t="s">
        <v>104</v>
      </c>
      <c r="P1035" t="s">
        <v>6764</v>
      </c>
      <c r="Q1035" t="s">
        <v>6765</v>
      </c>
      <c r="R1035" s="16" t="s">
        <v>8367</v>
      </c>
      <c r="S1035" s="16" t="s">
        <v>8072</v>
      </c>
      <c r="T1035" t="s">
        <v>7883</v>
      </c>
      <c r="U1035">
        <v>0</v>
      </c>
      <c r="V1035" t="s">
        <v>8654</v>
      </c>
      <c r="W1035" t="s">
        <v>104</v>
      </c>
      <c r="X1035" t="s">
        <v>8663</v>
      </c>
      <c r="Y1035">
        <f t="shared" si="33"/>
        <v>1</v>
      </c>
    </row>
    <row r="1036" spans="1:25" hidden="1">
      <c r="A1036" t="s">
        <v>7606</v>
      </c>
      <c r="B1036">
        <v>1288</v>
      </c>
      <c r="C1036">
        <v>1288</v>
      </c>
      <c r="D1036">
        <v>13</v>
      </c>
      <c r="E1036" t="s">
        <v>43</v>
      </c>
      <c r="F1036" t="s">
        <v>1133</v>
      </c>
      <c r="H1036" t="s">
        <v>370</v>
      </c>
      <c r="J1036" t="s">
        <v>8668</v>
      </c>
      <c r="L1036">
        <f t="shared" si="32"/>
        <v>0</v>
      </c>
      <c r="R1036" s="16" t="s">
        <v>8064</v>
      </c>
      <c r="S1036" s="16" t="s">
        <v>8064</v>
      </c>
      <c r="T1036" t="s">
        <v>7895</v>
      </c>
      <c r="U1036">
        <v>0</v>
      </c>
      <c r="V1036" t="s">
        <v>8655</v>
      </c>
      <c r="X1036" t="s">
        <v>8663</v>
      </c>
      <c r="Y1036">
        <f t="shared" si="33"/>
        <v>0</v>
      </c>
    </row>
    <row r="1037" spans="1:25" hidden="1">
      <c r="A1037" t="s">
        <v>7531</v>
      </c>
      <c r="B1037" t="s">
        <v>10</v>
      </c>
      <c r="C1037">
        <v>1294</v>
      </c>
      <c r="D1037">
        <v>13</v>
      </c>
      <c r="E1037" t="s">
        <v>11</v>
      </c>
      <c r="F1037" t="s">
        <v>268</v>
      </c>
      <c r="H1037" t="s">
        <v>371</v>
      </c>
      <c r="J1037" t="s">
        <v>8668</v>
      </c>
      <c r="L1037">
        <f t="shared" si="32"/>
        <v>0</v>
      </c>
      <c r="R1037" s="16" t="s">
        <v>8064</v>
      </c>
      <c r="S1037" s="16" t="s">
        <v>8064</v>
      </c>
      <c r="T1037" t="s">
        <v>7531</v>
      </c>
      <c r="U1037">
        <v>0</v>
      </c>
      <c r="V1037" t="s">
        <v>8655</v>
      </c>
      <c r="X1037" t="s">
        <v>8663</v>
      </c>
      <c r="Y1037">
        <f t="shared" si="33"/>
        <v>0</v>
      </c>
    </row>
    <row r="1038" spans="1:25" hidden="1">
      <c r="A1038" t="s">
        <v>7089</v>
      </c>
      <c r="B1038" t="s">
        <v>400</v>
      </c>
      <c r="C1038">
        <v>1257</v>
      </c>
      <c r="D1038">
        <v>13</v>
      </c>
      <c r="E1038" t="s">
        <v>27</v>
      </c>
      <c r="F1038" t="s">
        <v>732</v>
      </c>
      <c r="H1038" t="s">
        <v>733</v>
      </c>
      <c r="I1038" t="s">
        <v>8928</v>
      </c>
      <c r="J1038" t="s">
        <v>8714</v>
      </c>
      <c r="L1038">
        <f t="shared" si="32"/>
        <v>1</v>
      </c>
      <c r="M1038" t="s">
        <v>6486</v>
      </c>
      <c r="N1038" t="s">
        <v>6487</v>
      </c>
      <c r="O1038" t="s">
        <v>12</v>
      </c>
      <c r="P1038" t="s">
        <v>6488</v>
      </c>
      <c r="Q1038">
        <v>517520</v>
      </c>
      <c r="R1038" s="16" t="s">
        <v>8357</v>
      </c>
      <c r="S1038" s="16" t="s">
        <v>8060</v>
      </c>
      <c r="T1038" t="s">
        <v>7753</v>
      </c>
      <c r="U1038">
        <v>1</v>
      </c>
      <c r="V1038" t="s">
        <v>8656</v>
      </c>
      <c r="W1038" t="s">
        <v>12</v>
      </c>
      <c r="X1038" t="s">
        <v>8659</v>
      </c>
      <c r="Y1038">
        <f t="shared" si="33"/>
        <v>1</v>
      </c>
    </row>
    <row r="1039" spans="1:25" hidden="1">
      <c r="A1039" t="s">
        <v>7618</v>
      </c>
      <c r="B1039">
        <v>1290</v>
      </c>
      <c r="C1039">
        <v>1290</v>
      </c>
      <c r="D1039">
        <v>13</v>
      </c>
      <c r="E1039" t="s">
        <v>212</v>
      </c>
      <c r="F1039" t="s">
        <v>1135</v>
      </c>
      <c r="H1039" t="s">
        <v>373</v>
      </c>
      <c r="J1039" t="s">
        <v>8668</v>
      </c>
      <c r="L1039">
        <f t="shared" si="32"/>
        <v>1</v>
      </c>
      <c r="M1039" t="s">
        <v>6492</v>
      </c>
      <c r="N1039" t="s">
        <v>6357</v>
      </c>
      <c r="O1039" t="s">
        <v>104</v>
      </c>
      <c r="P1039">
        <v>40830</v>
      </c>
      <c r="Q1039">
        <v>482970</v>
      </c>
      <c r="R1039" s="16" t="s">
        <v>8505</v>
      </c>
      <c r="S1039" s="16" t="s">
        <v>8211</v>
      </c>
      <c r="T1039" t="s">
        <v>7618</v>
      </c>
      <c r="U1039">
        <v>0</v>
      </c>
      <c r="V1039" t="s">
        <v>8654</v>
      </c>
      <c r="W1039" t="s">
        <v>104</v>
      </c>
      <c r="X1039" t="s">
        <v>8663</v>
      </c>
      <c r="Y1039">
        <f t="shared" si="33"/>
        <v>1</v>
      </c>
    </row>
    <row r="1040" spans="1:25">
      <c r="A1040" t="s">
        <v>7616</v>
      </c>
      <c r="B1040">
        <v>1291</v>
      </c>
      <c r="C1040">
        <v>1291</v>
      </c>
      <c r="D1040">
        <v>13</v>
      </c>
      <c r="E1040" t="s">
        <v>12</v>
      </c>
      <c r="F1040" t="s">
        <v>100</v>
      </c>
      <c r="G1040" t="e">
        <f>VLOOKUP(TRIM(F1040),[1]mss!$AA:$AA,1,0)</f>
        <v>#N/A</v>
      </c>
      <c r="H1040" t="s">
        <v>374</v>
      </c>
      <c r="J1040" t="s">
        <v>8668</v>
      </c>
      <c r="L1040">
        <f t="shared" si="32"/>
        <v>0</v>
      </c>
      <c r="R1040" s="16" t="s">
        <v>8064</v>
      </c>
      <c r="S1040" s="16" t="s">
        <v>8064</v>
      </c>
      <c r="T1040" t="s">
        <v>7616</v>
      </c>
      <c r="U1040">
        <v>0</v>
      </c>
      <c r="V1040" t="s">
        <v>8655</v>
      </c>
      <c r="X1040" t="s">
        <v>8663</v>
      </c>
      <c r="Y1040">
        <f t="shared" si="33"/>
        <v>0</v>
      </c>
    </row>
    <row r="1041" spans="1:25">
      <c r="A1041" t="s">
        <v>7544</v>
      </c>
      <c r="B1041" t="s">
        <v>23</v>
      </c>
      <c r="C1041">
        <v>1292</v>
      </c>
      <c r="D1041">
        <v>13</v>
      </c>
      <c r="E1041" t="s">
        <v>12</v>
      </c>
      <c r="F1041" t="s">
        <v>1136</v>
      </c>
      <c r="G1041" t="e">
        <f>VLOOKUP(TRIM(F1041),[1]mss!$AA:$AA,1,0)</f>
        <v>#N/A</v>
      </c>
      <c r="H1041" t="s">
        <v>375</v>
      </c>
      <c r="J1041" t="s">
        <v>8668</v>
      </c>
      <c r="L1041">
        <f t="shared" si="32"/>
        <v>0</v>
      </c>
      <c r="R1041" s="16" t="s">
        <v>8064</v>
      </c>
      <c r="S1041" s="16" t="s">
        <v>8064</v>
      </c>
      <c r="T1041" t="s">
        <v>7544</v>
      </c>
      <c r="U1041">
        <v>0</v>
      </c>
      <c r="V1041" t="s">
        <v>8655</v>
      </c>
      <c r="X1041" t="s">
        <v>8663</v>
      </c>
      <c r="Y1041">
        <f t="shared" si="33"/>
        <v>0</v>
      </c>
    </row>
    <row r="1042" spans="1:25" hidden="1">
      <c r="A1042" t="s">
        <v>7571</v>
      </c>
      <c r="B1042" t="s">
        <v>105</v>
      </c>
      <c r="C1042">
        <v>1257</v>
      </c>
      <c r="D1042">
        <v>13</v>
      </c>
      <c r="E1042" t="s">
        <v>106</v>
      </c>
      <c r="F1042" t="s">
        <v>1117</v>
      </c>
      <c r="H1042" t="s">
        <v>349</v>
      </c>
      <c r="J1042" t="s">
        <v>8668</v>
      </c>
      <c r="L1042">
        <f t="shared" si="32"/>
        <v>1</v>
      </c>
      <c r="M1042" t="s">
        <v>6380</v>
      </c>
      <c r="N1042" t="s">
        <v>6999</v>
      </c>
      <c r="O1042" t="s">
        <v>6984</v>
      </c>
      <c r="P1042">
        <v>-45000</v>
      </c>
      <c r="Q1042">
        <v>500000</v>
      </c>
      <c r="R1042" s="16" t="s">
        <v>8518</v>
      </c>
      <c r="S1042" s="16" t="s">
        <v>8223</v>
      </c>
      <c r="T1042" t="s">
        <v>7571</v>
      </c>
      <c r="U1042">
        <v>0</v>
      </c>
      <c r="V1042" t="s">
        <v>8654</v>
      </c>
      <c r="W1042" t="s">
        <v>6984</v>
      </c>
      <c r="X1042" t="s">
        <v>8663</v>
      </c>
      <c r="Y1042">
        <f t="shared" si="33"/>
        <v>1</v>
      </c>
    </row>
    <row r="1043" spans="1:25" hidden="1">
      <c r="A1043" t="s">
        <v>7555</v>
      </c>
      <c r="B1043">
        <v>1294</v>
      </c>
      <c r="C1043">
        <v>1294</v>
      </c>
      <c r="D1043">
        <v>13</v>
      </c>
      <c r="E1043" t="s">
        <v>88</v>
      </c>
      <c r="F1043" t="s">
        <v>1137</v>
      </c>
      <c r="H1043" t="s">
        <v>376</v>
      </c>
      <c r="J1043" t="s">
        <v>8668</v>
      </c>
      <c r="L1043">
        <f t="shared" si="32"/>
        <v>1</v>
      </c>
      <c r="M1043" t="s">
        <v>6470</v>
      </c>
      <c r="N1043" t="s">
        <v>6305</v>
      </c>
      <c r="O1043" t="s">
        <v>104</v>
      </c>
      <c r="P1043">
        <v>30160</v>
      </c>
      <c r="Q1043">
        <v>496480</v>
      </c>
      <c r="R1043" s="16" t="s">
        <v>8515</v>
      </c>
      <c r="S1043" s="16" t="s">
        <v>8221</v>
      </c>
      <c r="T1043" t="s">
        <v>7555</v>
      </c>
      <c r="U1043">
        <v>0</v>
      </c>
      <c r="V1043" t="s">
        <v>8654</v>
      </c>
      <c r="W1043" t="s">
        <v>104</v>
      </c>
      <c r="X1043" t="s">
        <v>8663</v>
      </c>
      <c r="Y1043">
        <f t="shared" si="33"/>
        <v>1</v>
      </c>
    </row>
    <row r="1044" spans="1:25" hidden="1">
      <c r="A1044" t="s">
        <v>7575</v>
      </c>
      <c r="B1044">
        <v>1294</v>
      </c>
      <c r="C1044">
        <v>1294</v>
      </c>
      <c r="D1044">
        <v>13</v>
      </c>
      <c r="E1044" t="s">
        <v>109</v>
      </c>
      <c r="F1044" t="s">
        <v>1138</v>
      </c>
      <c r="H1044" t="s">
        <v>377</v>
      </c>
      <c r="J1044" t="s">
        <v>9133</v>
      </c>
      <c r="L1044">
        <f t="shared" si="32"/>
        <v>1</v>
      </c>
      <c r="M1044" t="s">
        <v>6292</v>
      </c>
      <c r="N1044" t="s">
        <v>6293</v>
      </c>
      <c r="O1044" t="s">
        <v>3995</v>
      </c>
      <c r="P1044">
        <v>81667</v>
      </c>
      <c r="Q1044">
        <v>497333</v>
      </c>
      <c r="R1044" s="16" t="s">
        <v>8520</v>
      </c>
      <c r="S1044" s="16" t="s">
        <v>8225</v>
      </c>
      <c r="T1044" t="s">
        <v>7575</v>
      </c>
      <c r="U1044">
        <v>1</v>
      </c>
      <c r="V1044" t="s">
        <v>8654</v>
      </c>
      <c r="W1044" t="s">
        <v>3995</v>
      </c>
      <c r="X1044" t="s">
        <v>8663</v>
      </c>
      <c r="Y1044">
        <f t="shared" si="33"/>
        <v>1</v>
      </c>
    </row>
    <row r="1045" spans="1:25" hidden="1">
      <c r="A1045" t="s">
        <v>7655</v>
      </c>
      <c r="B1045" t="s">
        <v>247</v>
      </c>
      <c r="C1045">
        <v>1259</v>
      </c>
      <c r="D1045">
        <v>13</v>
      </c>
      <c r="E1045" t="s">
        <v>248</v>
      </c>
      <c r="F1045" t="s">
        <v>1180</v>
      </c>
      <c r="H1045" t="s">
        <v>1181</v>
      </c>
      <c r="J1045" t="s">
        <v>8725</v>
      </c>
      <c r="L1045">
        <f t="shared" si="32"/>
        <v>1</v>
      </c>
      <c r="M1045" t="s">
        <v>1</v>
      </c>
      <c r="N1045" t="s">
        <v>6445</v>
      </c>
      <c r="O1045" t="s">
        <v>12</v>
      </c>
      <c r="P1045" t="s">
        <v>6446</v>
      </c>
      <c r="Q1045">
        <v>515074</v>
      </c>
      <c r="R1045" s="16" t="s">
        <v>6446</v>
      </c>
      <c r="S1045" s="16" t="s">
        <v>8068</v>
      </c>
      <c r="T1045" t="s">
        <v>7655</v>
      </c>
      <c r="U1045">
        <v>1</v>
      </c>
      <c r="V1045" t="s">
        <v>8654</v>
      </c>
      <c r="W1045" t="s">
        <v>12</v>
      </c>
      <c r="X1045" t="s">
        <v>8661</v>
      </c>
      <c r="Y1045">
        <f t="shared" si="33"/>
        <v>1</v>
      </c>
    </row>
    <row r="1046" spans="1:25">
      <c r="A1046" t="s">
        <v>7615</v>
      </c>
      <c r="B1046">
        <v>1300</v>
      </c>
      <c r="C1046">
        <v>1300</v>
      </c>
      <c r="D1046">
        <v>13</v>
      </c>
      <c r="E1046" t="s">
        <v>12</v>
      </c>
      <c r="F1046" t="s">
        <v>1140</v>
      </c>
      <c r="G1046" t="e">
        <f>VLOOKUP(TRIM(F1046),[1]mss!$AA:$AA,1,0)</f>
        <v>#N/A</v>
      </c>
      <c r="H1046" t="s">
        <v>379</v>
      </c>
      <c r="J1046" t="s">
        <v>8668</v>
      </c>
      <c r="L1046">
        <f t="shared" si="32"/>
        <v>0</v>
      </c>
      <c r="R1046" s="16" t="s">
        <v>8064</v>
      </c>
      <c r="S1046" s="16" t="s">
        <v>8064</v>
      </c>
      <c r="T1046" t="s">
        <v>7615</v>
      </c>
      <c r="U1046">
        <v>0</v>
      </c>
      <c r="V1046" t="s">
        <v>8655</v>
      </c>
      <c r="X1046" t="s">
        <v>8663</v>
      </c>
      <c r="Y1046">
        <f t="shared" si="33"/>
        <v>0</v>
      </c>
    </row>
    <row r="1047" spans="1:25" hidden="1">
      <c r="A1047" t="s">
        <v>7222</v>
      </c>
      <c r="B1047" t="s">
        <v>1008</v>
      </c>
      <c r="C1047">
        <v>1261</v>
      </c>
      <c r="D1047">
        <v>13</v>
      </c>
      <c r="E1047" t="s">
        <v>4267</v>
      </c>
      <c r="F1047" t="s">
        <v>1009</v>
      </c>
      <c r="H1047" t="s">
        <v>1010</v>
      </c>
      <c r="I1047" t="s">
        <v>8928</v>
      </c>
      <c r="J1047" t="s">
        <v>8971</v>
      </c>
      <c r="L1047">
        <f t="shared" si="32"/>
        <v>1</v>
      </c>
      <c r="M1047" t="s">
        <v>6468</v>
      </c>
      <c r="N1047" t="s">
        <v>6469</v>
      </c>
      <c r="O1047" t="s">
        <v>12</v>
      </c>
      <c r="P1047">
        <v>12970</v>
      </c>
      <c r="Q1047">
        <v>526300</v>
      </c>
      <c r="R1047" s="16" t="s">
        <v>8455</v>
      </c>
      <c r="S1047" s="16" t="s">
        <v>8159</v>
      </c>
      <c r="T1047" t="s">
        <v>7805</v>
      </c>
      <c r="U1047">
        <v>1</v>
      </c>
      <c r="V1047" t="s">
        <v>8656</v>
      </c>
      <c r="W1047" t="s">
        <v>12</v>
      </c>
      <c r="X1047" t="s">
        <v>3012</v>
      </c>
      <c r="Y1047">
        <f t="shared" si="33"/>
        <v>1</v>
      </c>
    </row>
    <row r="1048" spans="1:25">
      <c r="A1048" t="s">
        <v>7551</v>
      </c>
      <c r="B1048" t="s">
        <v>83</v>
      </c>
      <c r="C1048">
        <v>997</v>
      </c>
      <c r="D1048">
        <v>10</v>
      </c>
      <c r="E1048" t="s">
        <v>12</v>
      </c>
      <c r="F1048" t="s">
        <v>1057</v>
      </c>
      <c r="G1048" t="e">
        <f>VLOOKUP(TRIM(F1048),[1]mss!$AA:$AA,1,0)</f>
        <v>#N/A</v>
      </c>
      <c r="H1048" t="s">
        <v>271</v>
      </c>
      <c r="J1048" t="s">
        <v>8668</v>
      </c>
      <c r="L1048">
        <f t="shared" si="32"/>
        <v>0</v>
      </c>
      <c r="R1048" s="16" t="s">
        <v>8064</v>
      </c>
      <c r="S1048" s="16" t="s">
        <v>8064</v>
      </c>
      <c r="T1048" t="s">
        <v>7878</v>
      </c>
      <c r="U1048">
        <v>0</v>
      </c>
      <c r="V1048" t="s">
        <v>8655</v>
      </c>
      <c r="X1048" t="s">
        <v>8663</v>
      </c>
      <c r="Y1048">
        <f t="shared" si="33"/>
        <v>0</v>
      </c>
    </row>
    <row r="1049" spans="1:25" hidden="1">
      <c r="A1049" t="s">
        <v>7598</v>
      </c>
      <c r="B1049" t="s">
        <v>42</v>
      </c>
      <c r="C1049">
        <v>993</v>
      </c>
      <c r="D1049">
        <v>10</v>
      </c>
      <c r="E1049" t="s">
        <v>43</v>
      </c>
      <c r="F1049" t="s">
        <v>89</v>
      </c>
      <c r="H1049" t="s">
        <v>272</v>
      </c>
      <c r="J1049" t="s">
        <v>8668</v>
      </c>
      <c r="L1049">
        <f t="shared" si="32"/>
        <v>0</v>
      </c>
      <c r="R1049" s="16" t="s">
        <v>8064</v>
      </c>
      <c r="S1049" s="16" t="s">
        <v>8064</v>
      </c>
      <c r="T1049" t="s">
        <v>7891</v>
      </c>
      <c r="U1049">
        <v>0</v>
      </c>
      <c r="V1049" t="s">
        <v>8655</v>
      </c>
      <c r="X1049" t="s">
        <v>8663</v>
      </c>
      <c r="Y1049">
        <f t="shared" si="33"/>
        <v>0</v>
      </c>
    </row>
    <row r="1050" spans="1:25" hidden="1">
      <c r="A1050" t="s">
        <v>7535</v>
      </c>
      <c r="B1050" t="s">
        <v>63</v>
      </c>
      <c r="C1050">
        <v>1007</v>
      </c>
      <c r="D1050">
        <v>11</v>
      </c>
      <c r="E1050" t="s">
        <v>64</v>
      </c>
      <c r="F1050" t="s">
        <v>1058</v>
      </c>
      <c r="H1050" t="s">
        <v>273</v>
      </c>
      <c r="J1050" t="s">
        <v>9128</v>
      </c>
      <c r="L1050">
        <f t="shared" si="32"/>
        <v>0</v>
      </c>
      <c r="R1050" s="16" t="s">
        <v>8064</v>
      </c>
      <c r="S1050" s="16" t="s">
        <v>8064</v>
      </c>
      <c r="T1050" t="s">
        <v>7535</v>
      </c>
      <c r="U1050">
        <v>1</v>
      </c>
      <c r="V1050" t="s">
        <v>8655</v>
      </c>
      <c r="X1050" t="s">
        <v>8663</v>
      </c>
      <c r="Y1050">
        <f t="shared" si="33"/>
        <v>0</v>
      </c>
    </row>
    <row r="1051" spans="1:25" hidden="1">
      <c r="A1051" t="s">
        <v>7224</v>
      </c>
      <c r="B1051" t="s">
        <v>1011</v>
      </c>
      <c r="C1051">
        <v>1264</v>
      </c>
      <c r="D1051">
        <v>13</v>
      </c>
      <c r="E1051" t="s">
        <v>4295</v>
      </c>
      <c r="F1051" t="s">
        <v>1012</v>
      </c>
      <c r="H1051" t="s">
        <v>1013</v>
      </c>
      <c r="J1051" t="s">
        <v>8668</v>
      </c>
      <c r="L1051">
        <f t="shared" si="32"/>
        <v>1</v>
      </c>
      <c r="M1051" t="s">
        <v>6835</v>
      </c>
      <c r="N1051" t="s">
        <v>6836</v>
      </c>
      <c r="O1051" t="s">
        <v>12</v>
      </c>
      <c r="P1051" t="s">
        <v>6837</v>
      </c>
      <c r="Q1051" t="s">
        <v>6838</v>
      </c>
      <c r="R1051" s="16" t="s">
        <v>8456</v>
      </c>
      <c r="S1051" s="16" t="s">
        <v>8160</v>
      </c>
      <c r="T1051" t="s">
        <v>7224</v>
      </c>
      <c r="U1051">
        <v>0</v>
      </c>
      <c r="V1051" t="s">
        <v>8654</v>
      </c>
      <c r="W1051" t="s">
        <v>12</v>
      </c>
      <c r="X1051" t="s">
        <v>3012</v>
      </c>
      <c r="Y1051">
        <f t="shared" si="33"/>
        <v>1</v>
      </c>
    </row>
    <row r="1052" spans="1:25" hidden="1">
      <c r="A1052" t="s">
        <v>7582</v>
      </c>
      <c r="B1052" t="s">
        <v>36</v>
      </c>
      <c r="C1052">
        <v>1063</v>
      </c>
      <c r="D1052">
        <v>11</v>
      </c>
      <c r="E1052" t="s">
        <v>37</v>
      </c>
      <c r="F1052" t="s">
        <v>1060</v>
      </c>
      <c r="H1052" t="s">
        <v>275</v>
      </c>
      <c r="J1052" t="s">
        <v>8668</v>
      </c>
      <c r="L1052">
        <f t="shared" si="32"/>
        <v>1</v>
      </c>
      <c r="M1052" t="s">
        <v>6457</v>
      </c>
      <c r="N1052" t="s">
        <v>6357</v>
      </c>
      <c r="O1052" t="s">
        <v>104</v>
      </c>
      <c r="P1052">
        <v>61750</v>
      </c>
      <c r="Q1052">
        <v>491190</v>
      </c>
      <c r="R1052" s="16" t="s">
        <v>8464</v>
      </c>
      <c r="S1052" s="16" t="s">
        <v>8168</v>
      </c>
      <c r="T1052" t="s">
        <v>7582</v>
      </c>
      <c r="U1052">
        <v>0</v>
      </c>
      <c r="V1052" t="s">
        <v>8654</v>
      </c>
      <c r="W1052" t="s">
        <v>104</v>
      </c>
      <c r="X1052" t="s">
        <v>8663</v>
      </c>
      <c r="Y1052">
        <f t="shared" si="33"/>
        <v>1</v>
      </c>
    </row>
    <row r="1053" spans="1:25" hidden="1">
      <c r="A1053" t="s">
        <v>7521</v>
      </c>
      <c r="B1053" t="s">
        <v>288</v>
      </c>
      <c r="C1053">
        <v>1060</v>
      </c>
      <c r="D1053">
        <v>11</v>
      </c>
      <c r="E1053" t="s">
        <v>289</v>
      </c>
      <c r="F1053" t="s">
        <v>382</v>
      </c>
      <c r="H1053" t="s">
        <v>276</v>
      </c>
      <c r="J1053" t="s">
        <v>8668</v>
      </c>
      <c r="L1053">
        <f t="shared" si="32"/>
        <v>1</v>
      </c>
      <c r="M1053" t="s">
        <v>6424</v>
      </c>
      <c r="N1053" t="s">
        <v>6401</v>
      </c>
      <c r="O1053" t="s">
        <v>104</v>
      </c>
      <c r="P1053" t="s">
        <v>6425</v>
      </c>
      <c r="Q1053">
        <v>494260</v>
      </c>
      <c r="R1053" s="16" t="s">
        <v>8486</v>
      </c>
      <c r="S1053" s="16" t="s">
        <v>8190</v>
      </c>
      <c r="T1053" t="s">
        <v>7872</v>
      </c>
      <c r="U1053">
        <v>0</v>
      </c>
      <c r="V1053" t="s">
        <v>8654</v>
      </c>
      <c r="W1053" t="s">
        <v>104</v>
      </c>
      <c r="X1053" t="s">
        <v>8663</v>
      </c>
      <c r="Y1053">
        <f t="shared" si="33"/>
        <v>1</v>
      </c>
    </row>
    <row r="1054" spans="1:25" hidden="1">
      <c r="A1054" t="s">
        <v>7545</v>
      </c>
      <c r="B1054" t="s">
        <v>76</v>
      </c>
      <c r="C1054">
        <v>1061</v>
      </c>
      <c r="D1054">
        <v>11</v>
      </c>
      <c r="E1054" t="s">
        <v>77</v>
      </c>
      <c r="F1054" t="s">
        <v>1061</v>
      </c>
      <c r="H1054" t="s">
        <v>277</v>
      </c>
      <c r="J1054">
        <v>0</v>
      </c>
      <c r="L1054">
        <f t="shared" si="32"/>
        <v>1</v>
      </c>
      <c r="M1054" t="s">
        <v>77</v>
      </c>
      <c r="N1054" t="s">
        <v>6416</v>
      </c>
      <c r="O1054" t="s">
        <v>11</v>
      </c>
      <c r="P1054">
        <v>91900</v>
      </c>
      <c r="Q1054">
        <v>454640</v>
      </c>
      <c r="R1054" s="16" t="s">
        <v>8432</v>
      </c>
      <c r="S1054" s="16" t="s">
        <v>8136</v>
      </c>
      <c r="T1054" t="s">
        <v>7545</v>
      </c>
      <c r="U1054">
        <v>1</v>
      </c>
      <c r="V1054" t="s">
        <v>8654</v>
      </c>
      <c r="W1054" t="s">
        <v>11</v>
      </c>
      <c r="X1054" t="s">
        <v>8663</v>
      </c>
      <c r="Y1054">
        <f t="shared" si="33"/>
        <v>1</v>
      </c>
    </row>
    <row r="1055" spans="1:25" hidden="1">
      <c r="A1055" t="s">
        <v>7589</v>
      </c>
      <c r="B1055" t="s">
        <v>39</v>
      </c>
      <c r="C1055">
        <v>1264</v>
      </c>
      <c r="D1055">
        <v>13</v>
      </c>
      <c r="E1055" t="s">
        <v>40</v>
      </c>
      <c r="F1055" t="s">
        <v>80</v>
      </c>
      <c r="H1055" t="s">
        <v>353</v>
      </c>
      <c r="J1055" t="s">
        <v>8668</v>
      </c>
      <c r="L1055">
        <f t="shared" si="32"/>
        <v>1</v>
      </c>
      <c r="M1055" t="s">
        <v>6419</v>
      </c>
      <c r="N1055" t="s">
        <v>6420</v>
      </c>
      <c r="O1055" t="s">
        <v>12</v>
      </c>
      <c r="P1055">
        <v>-13160</v>
      </c>
      <c r="Q1055">
        <v>510600</v>
      </c>
      <c r="R1055" s="16" t="s">
        <v>8408</v>
      </c>
      <c r="S1055" s="16" t="s">
        <v>8059</v>
      </c>
      <c r="T1055" t="s">
        <v>7888</v>
      </c>
      <c r="U1055">
        <v>0</v>
      </c>
      <c r="V1055" t="s">
        <v>8654</v>
      </c>
      <c r="W1055" t="s">
        <v>12</v>
      </c>
      <c r="X1055" t="s">
        <v>8663</v>
      </c>
      <c r="Y1055">
        <f t="shared" si="33"/>
        <v>1</v>
      </c>
    </row>
    <row r="1056" spans="1:25" hidden="1">
      <c r="A1056" t="s">
        <v>7103</v>
      </c>
      <c r="B1056" t="s">
        <v>118</v>
      </c>
      <c r="C1056">
        <v>1265</v>
      </c>
      <c r="D1056">
        <v>13</v>
      </c>
      <c r="E1056" t="s">
        <v>45</v>
      </c>
      <c r="F1056" t="s">
        <v>747</v>
      </c>
      <c r="H1056" t="s">
        <v>748</v>
      </c>
      <c r="J1056" t="s">
        <v>8668</v>
      </c>
      <c r="L1056">
        <f t="shared" si="32"/>
        <v>1</v>
      </c>
      <c r="M1056" t="s">
        <v>6339</v>
      </c>
      <c r="N1056" t="s">
        <v>6340</v>
      </c>
      <c r="O1056" t="s">
        <v>12</v>
      </c>
      <c r="P1056" t="s">
        <v>6341</v>
      </c>
      <c r="Q1056">
        <v>522480</v>
      </c>
      <c r="R1056" s="16" t="s">
        <v>8414</v>
      </c>
      <c r="S1056" s="16" t="s">
        <v>8118</v>
      </c>
      <c r="T1056" t="s">
        <v>7764</v>
      </c>
      <c r="U1056">
        <v>0</v>
      </c>
      <c r="V1056" t="s">
        <v>8654</v>
      </c>
      <c r="W1056" t="s">
        <v>12</v>
      </c>
      <c r="X1056" t="s">
        <v>8659</v>
      </c>
      <c r="Y1056">
        <f t="shared" si="33"/>
        <v>1</v>
      </c>
    </row>
    <row r="1057" spans="1:25" hidden="1">
      <c r="A1057" t="s">
        <v>7556</v>
      </c>
      <c r="B1057" t="s">
        <v>90</v>
      </c>
      <c r="C1057">
        <v>1265</v>
      </c>
      <c r="D1057">
        <v>13</v>
      </c>
      <c r="E1057" t="s">
        <v>91</v>
      </c>
      <c r="F1057" t="s">
        <v>1120</v>
      </c>
      <c r="H1057" t="s">
        <v>354</v>
      </c>
      <c r="J1057" t="s">
        <v>8668</v>
      </c>
      <c r="L1057">
        <f t="shared" si="32"/>
        <v>1</v>
      </c>
      <c r="M1057" t="s">
        <v>0</v>
      </c>
      <c r="N1057" t="s">
        <v>6399</v>
      </c>
      <c r="O1057" t="s">
        <v>12</v>
      </c>
      <c r="P1057">
        <v>-12570</v>
      </c>
      <c r="Q1057">
        <v>517520</v>
      </c>
      <c r="R1057" s="16" t="s">
        <v>8457</v>
      </c>
      <c r="S1057" s="16" t="s">
        <v>8060</v>
      </c>
      <c r="T1057" t="s">
        <v>7556</v>
      </c>
      <c r="U1057">
        <v>0</v>
      </c>
      <c r="V1057" t="s">
        <v>8654</v>
      </c>
      <c r="W1057" t="s">
        <v>12</v>
      </c>
      <c r="X1057" t="s">
        <v>8663</v>
      </c>
      <c r="Y1057">
        <f t="shared" si="33"/>
        <v>1</v>
      </c>
    </row>
    <row r="1058" spans="1:25" hidden="1">
      <c r="A1058" t="s">
        <v>7540</v>
      </c>
      <c r="B1058">
        <v>1067</v>
      </c>
      <c r="C1058">
        <v>1067</v>
      </c>
      <c r="D1058">
        <v>11</v>
      </c>
      <c r="E1058" t="s">
        <v>11</v>
      </c>
      <c r="F1058" t="s">
        <v>1064</v>
      </c>
      <c r="H1058" t="s">
        <v>279</v>
      </c>
      <c r="J1058" t="s">
        <v>8668</v>
      </c>
      <c r="L1058">
        <f t="shared" si="32"/>
        <v>0</v>
      </c>
      <c r="R1058" s="16" t="s">
        <v>8064</v>
      </c>
      <c r="S1058" s="16" t="s">
        <v>8064</v>
      </c>
      <c r="T1058" t="s">
        <v>7540</v>
      </c>
      <c r="U1058">
        <v>0</v>
      </c>
      <c r="V1058" t="s">
        <v>8655</v>
      </c>
      <c r="X1058" t="s">
        <v>8663</v>
      </c>
      <c r="Y1058">
        <f t="shared" si="33"/>
        <v>0</v>
      </c>
    </row>
    <row r="1059" spans="1:25" hidden="1">
      <c r="A1059" t="s">
        <v>7553</v>
      </c>
      <c r="B1059" t="s">
        <v>86</v>
      </c>
      <c r="C1059">
        <v>1067</v>
      </c>
      <c r="D1059">
        <v>11</v>
      </c>
      <c r="E1059" t="s">
        <v>87</v>
      </c>
      <c r="F1059" t="s">
        <v>1065</v>
      </c>
      <c r="H1059" t="s">
        <v>280</v>
      </c>
      <c r="J1059" t="s">
        <v>8668</v>
      </c>
      <c r="L1059">
        <f t="shared" si="32"/>
        <v>1</v>
      </c>
      <c r="M1059" t="s">
        <v>6635</v>
      </c>
      <c r="N1059" t="s">
        <v>6636</v>
      </c>
      <c r="O1059" t="s">
        <v>104</v>
      </c>
      <c r="P1059" t="s">
        <v>6637</v>
      </c>
      <c r="Q1059" t="s">
        <v>6638</v>
      </c>
      <c r="R1059" s="16" t="s">
        <v>8514</v>
      </c>
      <c r="S1059" s="16" t="s">
        <v>8220</v>
      </c>
      <c r="T1059" t="s">
        <v>7553</v>
      </c>
      <c r="U1059">
        <v>0</v>
      </c>
      <c r="V1059" t="s">
        <v>8654</v>
      </c>
      <c r="W1059" t="s">
        <v>104</v>
      </c>
      <c r="X1059" t="s">
        <v>8663</v>
      </c>
      <c r="Y1059">
        <f t="shared" si="33"/>
        <v>1</v>
      </c>
    </row>
    <row r="1060" spans="1:25" hidden="1">
      <c r="A1060" t="s">
        <v>7533</v>
      </c>
      <c r="B1060" t="s">
        <v>62</v>
      </c>
      <c r="C1060">
        <v>1088</v>
      </c>
      <c r="D1060">
        <v>11</v>
      </c>
      <c r="E1060" t="s">
        <v>59</v>
      </c>
      <c r="F1060" t="s">
        <v>1066</v>
      </c>
      <c r="H1060" t="s">
        <v>281</v>
      </c>
      <c r="J1060" t="s">
        <v>8668</v>
      </c>
      <c r="L1060">
        <f t="shared" si="32"/>
        <v>1</v>
      </c>
      <c r="M1060" t="s">
        <v>6501</v>
      </c>
      <c r="N1060" t="s">
        <v>6502</v>
      </c>
      <c r="O1060" t="s">
        <v>6503</v>
      </c>
      <c r="P1060">
        <v>152320</v>
      </c>
      <c r="Q1060">
        <v>441190</v>
      </c>
      <c r="R1060" s="16" t="s">
        <v>8507</v>
      </c>
      <c r="S1060" s="16" t="s">
        <v>8213</v>
      </c>
      <c r="T1060" t="s">
        <v>7533</v>
      </c>
      <c r="U1060">
        <v>0</v>
      </c>
      <c r="V1060" t="s">
        <v>8654</v>
      </c>
      <c r="W1060" t="s">
        <v>6503</v>
      </c>
      <c r="X1060" t="s">
        <v>8663</v>
      </c>
      <c r="Y1060">
        <f t="shared" si="33"/>
        <v>1</v>
      </c>
    </row>
    <row r="1061" spans="1:25" hidden="1">
      <c r="A1061" t="s">
        <v>7601</v>
      </c>
      <c r="B1061" t="s">
        <v>46</v>
      </c>
      <c r="C1061">
        <v>1075</v>
      </c>
      <c r="D1061">
        <v>11</v>
      </c>
      <c r="E1061" t="s">
        <v>47</v>
      </c>
      <c r="F1061" t="s">
        <v>99</v>
      </c>
      <c r="H1061" t="s">
        <v>282</v>
      </c>
      <c r="J1061" t="s">
        <v>8668</v>
      </c>
      <c r="L1061">
        <f t="shared" si="32"/>
        <v>1</v>
      </c>
      <c r="M1061" t="s">
        <v>6907</v>
      </c>
      <c r="N1061" t="s">
        <v>6908</v>
      </c>
      <c r="O1061" t="s">
        <v>104</v>
      </c>
      <c r="P1061" t="s">
        <v>6909</v>
      </c>
      <c r="Q1061" t="s">
        <v>6910</v>
      </c>
      <c r="R1061" s="16" t="s">
        <v>8489</v>
      </c>
      <c r="S1061" s="16" t="s">
        <v>8195</v>
      </c>
      <c r="T1061" t="s">
        <v>7601</v>
      </c>
      <c r="U1061">
        <v>0</v>
      </c>
      <c r="V1061" t="s">
        <v>8654</v>
      </c>
      <c r="W1061" t="s">
        <v>104</v>
      </c>
      <c r="X1061" t="s">
        <v>8663</v>
      </c>
      <c r="Y1061">
        <f t="shared" si="33"/>
        <v>1</v>
      </c>
    </row>
    <row r="1062" spans="1:25" hidden="1">
      <c r="A1062" t="s">
        <v>7530</v>
      </c>
      <c r="B1062" t="s">
        <v>58</v>
      </c>
      <c r="C1062">
        <v>1083</v>
      </c>
      <c r="D1062">
        <v>11</v>
      </c>
      <c r="E1062" t="s">
        <v>59</v>
      </c>
      <c r="F1062" t="s">
        <v>1067</v>
      </c>
      <c r="H1062" t="s">
        <v>283</v>
      </c>
      <c r="J1062" t="s">
        <v>9126</v>
      </c>
      <c r="L1062">
        <f t="shared" si="32"/>
        <v>1</v>
      </c>
      <c r="M1062" t="s">
        <v>6501</v>
      </c>
      <c r="N1062" t="s">
        <v>6502</v>
      </c>
      <c r="O1062" t="s">
        <v>6503</v>
      </c>
      <c r="P1062">
        <v>152320</v>
      </c>
      <c r="Q1062">
        <v>441190</v>
      </c>
      <c r="R1062" s="16" t="s">
        <v>8507</v>
      </c>
      <c r="S1062" s="16" t="s">
        <v>8213</v>
      </c>
      <c r="T1062" t="s">
        <v>7530</v>
      </c>
      <c r="U1062">
        <v>1</v>
      </c>
      <c r="V1062" t="s">
        <v>8654</v>
      </c>
      <c r="W1062" t="s">
        <v>6503</v>
      </c>
      <c r="X1062" t="s">
        <v>8663</v>
      </c>
      <c r="Y1062">
        <f t="shared" si="33"/>
        <v>1</v>
      </c>
    </row>
    <row r="1063" spans="1:25" hidden="1">
      <c r="A1063" t="s">
        <v>7583</v>
      </c>
      <c r="B1063" t="s">
        <v>118</v>
      </c>
      <c r="C1063">
        <v>1265</v>
      </c>
      <c r="D1063">
        <v>13</v>
      </c>
      <c r="E1063" t="s">
        <v>50</v>
      </c>
      <c r="F1063" t="s">
        <v>1121</v>
      </c>
      <c r="H1063" t="s">
        <v>356</v>
      </c>
      <c r="J1063" t="s">
        <v>8668</v>
      </c>
      <c r="L1063">
        <f t="shared" si="32"/>
        <v>1</v>
      </c>
      <c r="M1063" t="s">
        <v>6412</v>
      </c>
      <c r="N1063" t="s">
        <v>6413</v>
      </c>
      <c r="O1063" t="s">
        <v>12</v>
      </c>
      <c r="P1063">
        <v>-27380</v>
      </c>
      <c r="Q1063">
        <v>511450</v>
      </c>
      <c r="R1063" s="16" t="s">
        <v>8502</v>
      </c>
      <c r="S1063" s="16" t="s">
        <v>8208</v>
      </c>
      <c r="T1063" t="s">
        <v>7886</v>
      </c>
      <c r="U1063">
        <v>0</v>
      </c>
      <c r="V1063" t="s">
        <v>8654</v>
      </c>
      <c r="W1063" t="s">
        <v>12</v>
      </c>
      <c r="X1063" t="s">
        <v>8663</v>
      </c>
      <c r="Y1063">
        <f t="shared" si="33"/>
        <v>1</v>
      </c>
    </row>
    <row r="1064" spans="1:25" hidden="1">
      <c r="A1064" t="s">
        <v>7588</v>
      </c>
      <c r="B1064" t="s">
        <v>122</v>
      </c>
      <c r="C1064">
        <v>1134</v>
      </c>
      <c r="D1064">
        <v>12</v>
      </c>
      <c r="E1064" t="s">
        <v>123</v>
      </c>
      <c r="F1064" t="s">
        <v>1069</v>
      </c>
      <c r="H1064" t="s">
        <v>285</v>
      </c>
      <c r="J1064" t="s">
        <v>8668</v>
      </c>
      <c r="L1064">
        <f t="shared" si="32"/>
        <v>1</v>
      </c>
      <c r="M1064" t="s">
        <v>7000</v>
      </c>
      <c r="N1064" t="s">
        <v>7001</v>
      </c>
      <c r="O1064" t="s">
        <v>7002</v>
      </c>
      <c r="P1064">
        <v>-80600</v>
      </c>
      <c r="Q1064">
        <v>525200</v>
      </c>
      <c r="R1064" s="16" t="s">
        <v>8523</v>
      </c>
      <c r="S1064" s="16" t="s">
        <v>8228</v>
      </c>
      <c r="T1064" t="s">
        <v>7887</v>
      </c>
      <c r="U1064">
        <v>0</v>
      </c>
      <c r="V1064" t="s">
        <v>8654</v>
      </c>
      <c r="W1064" t="s">
        <v>7002</v>
      </c>
      <c r="X1064" t="s">
        <v>8663</v>
      </c>
      <c r="Y1064">
        <f t="shared" si="33"/>
        <v>1</v>
      </c>
    </row>
    <row r="1065" spans="1:25" hidden="1">
      <c r="A1065" t="s">
        <v>7099</v>
      </c>
      <c r="B1065">
        <v>1266</v>
      </c>
      <c r="C1065">
        <v>1266</v>
      </c>
      <c r="D1065">
        <v>13</v>
      </c>
      <c r="E1065" t="s">
        <v>13</v>
      </c>
      <c r="F1065" t="s">
        <v>749</v>
      </c>
      <c r="H1065" t="s">
        <v>750</v>
      </c>
      <c r="J1065" t="s">
        <v>8668</v>
      </c>
      <c r="L1065">
        <f t="shared" si="32"/>
        <v>1</v>
      </c>
      <c r="M1065" t="s">
        <v>6348</v>
      </c>
      <c r="N1065" t="s">
        <v>6349</v>
      </c>
      <c r="O1065" t="s">
        <v>12</v>
      </c>
      <c r="P1065">
        <v>10810</v>
      </c>
      <c r="Q1065">
        <v>512810</v>
      </c>
      <c r="R1065" s="16" t="s">
        <v>8360</v>
      </c>
      <c r="S1065" s="16" t="s">
        <v>8063</v>
      </c>
      <c r="T1065" t="s">
        <v>7762</v>
      </c>
      <c r="U1065">
        <v>0</v>
      </c>
      <c r="V1065" t="s">
        <v>8654</v>
      </c>
      <c r="W1065" t="s">
        <v>12</v>
      </c>
      <c r="X1065" t="s">
        <v>8659</v>
      </c>
      <c r="Y1065">
        <f t="shared" si="33"/>
        <v>1</v>
      </c>
    </row>
    <row r="1066" spans="1:25" hidden="1">
      <c r="A1066" t="s">
        <v>7180</v>
      </c>
      <c r="B1066" t="s">
        <v>404</v>
      </c>
      <c r="C1066">
        <v>1269</v>
      </c>
      <c r="D1066">
        <v>13</v>
      </c>
      <c r="E1066" t="s">
        <v>27</v>
      </c>
      <c r="F1066" t="s">
        <v>754</v>
      </c>
      <c r="H1066" t="s">
        <v>755</v>
      </c>
      <c r="J1066" t="s">
        <v>8668</v>
      </c>
      <c r="L1066">
        <f t="shared" si="32"/>
        <v>1</v>
      </c>
      <c r="M1066" t="s">
        <v>6486</v>
      </c>
      <c r="N1066" t="s">
        <v>6487</v>
      </c>
      <c r="O1066" t="s">
        <v>12</v>
      </c>
      <c r="P1066" t="s">
        <v>6488</v>
      </c>
      <c r="Q1066">
        <v>517520</v>
      </c>
      <c r="R1066" s="16" t="s">
        <v>8357</v>
      </c>
      <c r="S1066" s="16" t="s">
        <v>8060</v>
      </c>
      <c r="T1066" t="s">
        <v>7180</v>
      </c>
      <c r="U1066">
        <v>0</v>
      </c>
      <c r="V1066" t="s">
        <v>8654</v>
      </c>
      <c r="W1066" t="s">
        <v>12</v>
      </c>
      <c r="X1066" t="s">
        <v>8659</v>
      </c>
      <c r="Y1066">
        <f t="shared" si="33"/>
        <v>1</v>
      </c>
    </row>
    <row r="1067" spans="1:25" hidden="1">
      <c r="A1067" t="s">
        <v>7648</v>
      </c>
      <c r="B1067" t="s">
        <v>233</v>
      </c>
      <c r="C1067">
        <v>1271</v>
      </c>
      <c r="D1067">
        <v>13</v>
      </c>
      <c r="E1067" t="s">
        <v>121</v>
      </c>
      <c r="F1067" t="s">
        <v>1182</v>
      </c>
      <c r="H1067" t="s">
        <v>1183</v>
      </c>
      <c r="J1067" t="s">
        <v>8668</v>
      </c>
      <c r="L1067">
        <f t="shared" si="32"/>
        <v>1</v>
      </c>
      <c r="M1067" t="s">
        <v>1</v>
      </c>
      <c r="N1067" t="s">
        <v>6445</v>
      </c>
      <c r="O1067" t="s">
        <v>12</v>
      </c>
      <c r="P1067" t="s">
        <v>6446</v>
      </c>
      <c r="Q1067">
        <v>515074</v>
      </c>
      <c r="R1067" s="16" t="s">
        <v>6446</v>
      </c>
      <c r="S1067" s="16" t="s">
        <v>8068</v>
      </c>
      <c r="T1067" t="s">
        <v>7648</v>
      </c>
      <c r="U1067">
        <v>0</v>
      </c>
      <c r="V1067" t="s">
        <v>8654</v>
      </c>
      <c r="W1067" t="s">
        <v>12</v>
      </c>
      <c r="X1067" t="s">
        <v>8661</v>
      </c>
      <c r="Y1067">
        <f t="shared" si="33"/>
        <v>1</v>
      </c>
    </row>
    <row r="1068" spans="1:25">
      <c r="A1068" t="s">
        <v>7623</v>
      </c>
      <c r="B1068" t="s">
        <v>48</v>
      </c>
      <c r="C1068">
        <v>1128</v>
      </c>
      <c r="D1068">
        <v>12</v>
      </c>
      <c r="E1068" t="s">
        <v>12</v>
      </c>
      <c r="F1068" t="s">
        <v>1073</v>
      </c>
      <c r="G1068" t="str">
        <f>VLOOKUP(TRIM(F1068),[1]mss!$AA:$AA,1,0)</f>
        <v>Ox I 99</v>
      </c>
      <c r="H1068" t="s">
        <v>293</v>
      </c>
      <c r="J1068" t="s">
        <v>8668</v>
      </c>
      <c r="L1068">
        <f t="shared" si="32"/>
        <v>0</v>
      </c>
      <c r="R1068" s="16" t="s">
        <v>8064</v>
      </c>
      <c r="S1068" s="16" t="s">
        <v>8064</v>
      </c>
      <c r="T1068" t="s">
        <v>7897</v>
      </c>
      <c r="U1068">
        <v>0</v>
      </c>
      <c r="V1068" t="s">
        <v>8655</v>
      </c>
      <c r="X1068" t="s">
        <v>8663</v>
      </c>
      <c r="Y1068">
        <f t="shared" si="33"/>
        <v>0</v>
      </c>
    </row>
    <row r="1069" spans="1:25" hidden="1">
      <c r="A1069" t="s">
        <v>7101</v>
      </c>
      <c r="B1069" t="s">
        <v>405</v>
      </c>
      <c r="C1069">
        <v>1275</v>
      </c>
      <c r="D1069">
        <v>13</v>
      </c>
      <c r="E1069" t="s">
        <v>13</v>
      </c>
      <c r="F1069" t="s">
        <v>749</v>
      </c>
      <c r="H1069" t="s">
        <v>759</v>
      </c>
      <c r="J1069" t="s">
        <v>8668</v>
      </c>
      <c r="L1069">
        <f t="shared" si="32"/>
        <v>1</v>
      </c>
      <c r="M1069" t="s">
        <v>6348</v>
      </c>
      <c r="N1069" t="s">
        <v>6349</v>
      </c>
      <c r="O1069" t="s">
        <v>12</v>
      </c>
      <c r="P1069">
        <v>10810</v>
      </c>
      <c r="Q1069">
        <v>512810</v>
      </c>
      <c r="R1069" s="16" t="s">
        <v>8360</v>
      </c>
      <c r="S1069" s="16" t="s">
        <v>8063</v>
      </c>
      <c r="T1069" t="s">
        <v>7762</v>
      </c>
      <c r="U1069">
        <v>0</v>
      </c>
      <c r="V1069" t="s">
        <v>8654</v>
      </c>
      <c r="W1069" t="s">
        <v>12</v>
      </c>
      <c r="X1069" t="s">
        <v>8659</v>
      </c>
      <c r="Y1069">
        <f t="shared" si="33"/>
        <v>1</v>
      </c>
    </row>
    <row r="1070" spans="1:25" hidden="1">
      <c r="A1070" t="s">
        <v>7557</v>
      </c>
      <c r="B1070">
        <v>1276</v>
      </c>
      <c r="C1070">
        <v>1276</v>
      </c>
      <c r="D1070">
        <v>13</v>
      </c>
      <c r="E1070" t="s">
        <v>30</v>
      </c>
      <c r="F1070" t="s">
        <v>74</v>
      </c>
      <c r="H1070" t="s">
        <v>364</v>
      </c>
      <c r="J1070" t="s">
        <v>8668</v>
      </c>
      <c r="L1070">
        <f t="shared" si="32"/>
        <v>1</v>
      </c>
      <c r="M1070" t="s">
        <v>6379</v>
      </c>
      <c r="N1070" t="s">
        <v>6355</v>
      </c>
      <c r="O1070" t="s">
        <v>12</v>
      </c>
      <c r="P1070">
        <v>-20570</v>
      </c>
      <c r="Q1070">
        <v>506180</v>
      </c>
      <c r="R1070" s="16" t="s">
        <v>8516</v>
      </c>
      <c r="S1070" s="16" t="s">
        <v>8222</v>
      </c>
      <c r="T1070" t="s">
        <v>7879</v>
      </c>
      <c r="U1070">
        <v>0</v>
      </c>
      <c r="V1070" t="s">
        <v>8654</v>
      </c>
      <c r="W1070" t="s">
        <v>12</v>
      </c>
      <c r="X1070" t="s">
        <v>8663</v>
      </c>
      <c r="Y1070">
        <f t="shared" si="33"/>
        <v>1</v>
      </c>
    </row>
    <row r="1071" spans="1:25" hidden="1">
      <c r="A1071" t="s">
        <v>7100</v>
      </c>
      <c r="B1071" t="s">
        <v>4096</v>
      </c>
      <c r="C1071">
        <v>1277</v>
      </c>
      <c r="D1071">
        <v>13</v>
      </c>
      <c r="E1071" t="s">
        <v>13</v>
      </c>
      <c r="F1071" t="s">
        <v>749</v>
      </c>
      <c r="H1071" t="s">
        <v>750</v>
      </c>
      <c r="J1071" t="s">
        <v>8668</v>
      </c>
      <c r="L1071">
        <f t="shared" si="32"/>
        <v>1</v>
      </c>
      <c r="M1071" t="s">
        <v>6348</v>
      </c>
      <c r="N1071" t="s">
        <v>6349</v>
      </c>
      <c r="O1071" t="s">
        <v>12</v>
      </c>
      <c r="P1071">
        <v>10810</v>
      </c>
      <c r="Q1071">
        <v>512810</v>
      </c>
      <c r="R1071" s="16" t="s">
        <v>8360</v>
      </c>
      <c r="S1071" s="16" t="s">
        <v>8063</v>
      </c>
      <c r="T1071" t="s">
        <v>7762</v>
      </c>
      <c r="U1071">
        <v>0</v>
      </c>
      <c r="V1071" t="s">
        <v>8654</v>
      </c>
      <c r="W1071" t="s">
        <v>12</v>
      </c>
      <c r="X1071" t="s">
        <v>8659</v>
      </c>
      <c r="Y1071">
        <f t="shared" si="33"/>
        <v>1</v>
      </c>
    </row>
    <row r="1072" spans="1:25" hidden="1">
      <c r="A1072" t="s">
        <v>7698</v>
      </c>
      <c r="B1072" t="s">
        <v>71</v>
      </c>
      <c r="C1072">
        <v>1153</v>
      </c>
      <c r="D1072">
        <v>12</v>
      </c>
      <c r="E1072" t="s">
        <v>72</v>
      </c>
      <c r="F1072" t="s">
        <v>9162</v>
      </c>
      <c r="H1072" t="s">
        <v>296</v>
      </c>
      <c r="J1072" t="s">
        <v>9161</v>
      </c>
      <c r="L1072">
        <f t="shared" si="32"/>
        <v>0</v>
      </c>
      <c r="R1072" s="16" t="s">
        <v>8064</v>
      </c>
      <c r="S1072" s="16" t="s">
        <v>8064</v>
      </c>
      <c r="T1072" t="s">
        <v>7698</v>
      </c>
      <c r="U1072">
        <v>1</v>
      </c>
      <c r="V1072" t="s">
        <v>8655</v>
      </c>
      <c r="X1072" t="s">
        <v>8663</v>
      </c>
      <c r="Y1072">
        <f t="shared" si="33"/>
        <v>0</v>
      </c>
    </row>
    <row r="1073" spans="1:25" hidden="1">
      <c r="A1073" t="s">
        <v>7552</v>
      </c>
      <c r="B1073" t="s">
        <v>84</v>
      </c>
      <c r="C1073">
        <v>1277</v>
      </c>
      <c r="D1073">
        <v>13</v>
      </c>
      <c r="E1073" t="s">
        <v>85</v>
      </c>
      <c r="F1073" t="s">
        <v>1127</v>
      </c>
      <c r="H1073" t="s">
        <v>362</v>
      </c>
      <c r="I1073" t="s">
        <v>8928</v>
      </c>
      <c r="J1073" t="s">
        <v>9090</v>
      </c>
      <c r="L1073">
        <f t="shared" si="32"/>
        <v>1</v>
      </c>
      <c r="M1073" t="s">
        <v>6384</v>
      </c>
      <c r="N1073" t="s">
        <v>6385</v>
      </c>
      <c r="O1073" t="s">
        <v>12</v>
      </c>
      <c r="P1073">
        <v>-22210</v>
      </c>
      <c r="Q1073">
        <v>521920</v>
      </c>
      <c r="R1073" s="16" t="s">
        <v>8358</v>
      </c>
      <c r="S1073" s="16" t="s">
        <v>8061</v>
      </c>
      <c r="T1073" t="s">
        <v>7552</v>
      </c>
      <c r="U1073">
        <v>1</v>
      </c>
      <c r="V1073" t="s">
        <v>8656</v>
      </c>
      <c r="W1073" t="s">
        <v>12</v>
      </c>
      <c r="X1073" t="s">
        <v>8663</v>
      </c>
      <c r="Y1073">
        <f t="shared" si="33"/>
        <v>1</v>
      </c>
    </row>
    <row r="1074" spans="1:25" hidden="1">
      <c r="A1074" t="s">
        <v>7659</v>
      </c>
      <c r="B1074" t="s">
        <v>260</v>
      </c>
      <c r="C1074">
        <v>1278</v>
      </c>
      <c r="D1074">
        <v>13</v>
      </c>
      <c r="E1074" t="s">
        <v>261</v>
      </c>
      <c r="F1074" t="s">
        <v>1184</v>
      </c>
      <c r="H1074" t="s">
        <v>1185</v>
      </c>
      <c r="J1074" t="s">
        <v>8668</v>
      </c>
      <c r="L1074">
        <f t="shared" si="32"/>
        <v>1</v>
      </c>
      <c r="M1074" t="s">
        <v>6870</v>
      </c>
      <c r="N1074" t="s">
        <v>6363</v>
      </c>
      <c r="O1074" t="s">
        <v>12</v>
      </c>
      <c r="P1074" t="s">
        <v>6871</v>
      </c>
      <c r="Q1074" t="s">
        <v>6872</v>
      </c>
      <c r="R1074" s="16" t="s">
        <v>8500</v>
      </c>
      <c r="S1074" s="16" t="s">
        <v>8206</v>
      </c>
      <c r="T1074" t="s">
        <v>7659</v>
      </c>
      <c r="U1074">
        <v>0</v>
      </c>
      <c r="V1074" t="s">
        <v>8654</v>
      </c>
      <c r="W1074" t="s">
        <v>12</v>
      </c>
      <c r="X1074" t="s">
        <v>8661</v>
      </c>
      <c r="Y1074">
        <f t="shared" si="33"/>
        <v>1</v>
      </c>
    </row>
    <row r="1075" spans="1:25" hidden="1">
      <c r="A1075" t="s">
        <v>7546</v>
      </c>
      <c r="B1075">
        <v>1145</v>
      </c>
      <c r="C1075">
        <v>1145</v>
      </c>
      <c r="D1075">
        <v>12</v>
      </c>
      <c r="E1075" t="s">
        <v>78</v>
      </c>
      <c r="F1075" t="s">
        <v>1078</v>
      </c>
      <c r="H1075" t="s">
        <v>301</v>
      </c>
      <c r="J1075">
        <v>0</v>
      </c>
      <c r="L1075">
        <f t="shared" si="32"/>
        <v>1</v>
      </c>
      <c r="M1075" t="s">
        <v>6970</v>
      </c>
      <c r="N1075" t="s">
        <v>6975</v>
      </c>
      <c r="O1075" t="s">
        <v>6976</v>
      </c>
      <c r="P1075">
        <v>98833</v>
      </c>
      <c r="Q1075">
        <v>451667</v>
      </c>
      <c r="R1075" s="16" t="s">
        <v>8513</v>
      </c>
      <c r="S1075" s="16" t="s">
        <v>8219</v>
      </c>
      <c r="T1075" t="s">
        <v>7546</v>
      </c>
      <c r="U1075">
        <v>1</v>
      </c>
      <c r="V1075" t="s">
        <v>8654</v>
      </c>
      <c r="W1075" t="s">
        <v>6976</v>
      </c>
      <c r="X1075" t="s">
        <v>8663</v>
      </c>
      <c r="Y1075">
        <f t="shared" si="33"/>
        <v>1</v>
      </c>
    </row>
    <row r="1076" spans="1:25" hidden="1">
      <c r="A1076" t="s">
        <v>7069</v>
      </c>
      <c r="B1076" t="s">
        <v>408</v>
      </c>
      <c r="C1076">
        <v>1281</v>
      </c>
      <c r="D1076">
        <v>13</v>
      </c>
      <c r="E1076" t="s">
        <v>4043</v>
      </c>
      <c r="F1076" t="s">
        <v>769</v>
      </c>
      <c r="H1076" t="s">
        <v>770</v>
      </c>
      <c r="I1076" t="s">
        <v>8928</v>
      </c>
      <c r="J1076" t="s">
        <v>8932</v>
      </c>
      <c r="L1076">
        <f t="shared" si="32"/>
        <v>1</v>
      </c>
      <c r="M1076" t="s">
        <v>6845</v>
      </c>
      <c r="N1076" t="s">
        <v>6846</v>
      </c>
      <c r="O1076" t="s">
        <v>12</v>
      </c>
      <c r="P1076" t="s">
        <v>6847</v>
      </c>
      <c r="Q1076" t="s">
        <v>6848</v>
      </c>
      <c r="R1076" s="16" t="s">
        <v>8399</v>
      </c>
      <c r="S1076" s="16" t="s">
        <v>8103</v>
      </c>
      <c r="T1076" t="s">
        <v>7744</v>
      </c>
      <c r="U1076">
        <v>1</v>
      </c>
      <c r="V1076" t="s">
        <v>8656</v>
      </c>
      <c r="W1076" t="s">
        <v>12</v>
      </c>
      <c r="X1076" t="s">
        <v>8659</v>
      </c>
      <c r="Y1076">
        <f t="shared" si="33"/>
        <v>1</v>
      </c>
    </row>
    <row r="1077" spans="1:25" hidden="1">
      <c r="A1077" t="s">
        <v>1764</v>
      </c>
      <c r="B1077" t="s">
        <v>4714</v>
      </c>
      <c r="C1077">
        <v>1281</v>
      </c>
      <c r="D1077">
        <v>13</v>
      </c>
      <c r="E1077" t="s">
        <v>4603</v>
      </c>
      <c r="F1077" t="s">
        <v>4870</v>
      </c>
      <c r="J1077" t="s">
        <v>8668</v>
      </c>
      <c r="L1077">
        <f t="shared" si="32"/>
        <v>1</v>
      </c>
      <c r="M1077" t="s">
        <v>6350</v>
      </c>
      <c r="N1077" t="s">
        <v>6349</v>
      </c>
      <c r="O1077" t="s">
        <v>12</v>
      </c>
      <c r="P1077">
        <v>10810</v>
      </c>
      <c r="Q1077">
        <v>512810</v>
      </c>
      <c r="R1077" s="16" t="s">
        <v>8360</v>
      </c>
      <c r="S1077" s="16" t="s">
        <v>8063</v>
      </c>
      <c r="T1077" t="s">
        <v>1764</v>
      </c>
      <c r="U1077">
        <v>0</v>
      </c>
      <c r="V1077" t="s">
        <v>8654</v>
      </c>
      <c r="W1077" t="s">
        <v>12</v>
      </c>
      <c r="X1077" t="s">
        <v>8660</v>
      </c>
      <c r="Y1077">
        <f t="shared" si="33"/>
        <v>1</v>
      </c>
    </row>
    <row r="1078" spans="1:25" hidden="1">
      <c r="A1078" t="s">
        <v>7644</v>
      </c>
      <c r="B1078" t="s">
        <v>1186</v>
      </c>
      <c r="C1078">
        <v>1282</v>
      </c>
      <c r="D1078">
        <v>13</v>
      </c>
      <c r="E1078" t="s">
        <v>112</v>
      </c>
      <c r="F1078" t="s">
        <v>1187</v>
      </c>
      <c r="H1078" t="s">
        <v>1188</v>
      </c>
      <c r="J1078" t="s">
        <v>8668</v>
      </c>
      <c r="L1078">
        <f t="shared" si="32"/>
        <v>1</v>
      </c>
      <c r="M1078" t="s">
        <v>6684</v>
      </c>
      <c r="N1078" t="s">
        <v>6346</v>
      </c>
      <c r="O1078" t="s">
        <v>12</v>
      </c>
      <c r="P1078" t="s">
        <v>6685</v>
      </c>
      <c r="Q1078" t="s">
        <v>6686</v>
      </c>
      <c r="R1078" s="16" t="s">
        <v>8420</v>
      </c>
      <c r="S1078" s="16" t="s">
        <v>8124</v>
      </c>
      <c r="T1078" t="s">
        <v>7865</v>
      </c>
      <c r="U1078">
        <v>0</v>
      </c>
      <c r="V1078" t="s">
        <v>8654</v>
      </c>
      <c r="W1078" t="s">
        <v>12</v>
      </c>
      <c r="X1078" t="s">
        <v>8661</v>
      </c>
      <c r="Y1078">
        <f t="shared" si="33"/>
        <v>1</v>
      </c>
    </row>
    <row r="1079" spans="1:25" hidden="1">
      <c r="A1079" t="s">
        <v>7547</v>
      </c>
      <c r="B1079">
        <v>1282</v>
      </c>
      <c r="C1079">
        <v>1282</v>
      </c>
      <c r="D1079">
        <v>13</v>
      </c>
      <c r="E1079" t="s">
        <v>79</v>
      </c>
      <c r="F1079" t="s">
        <v>1130</v>
      </c>
      <c r="H1079" t="s">
        <v>366</v>
      </c>
      <c r="J1079" t="s">
        <v>8668</v>
      </c>
      <c r="L1079">
        <f t="shared" si="32"/>
        <v>1</v>
      </c>
      <c r="M1079" t="s">
        <v>0</v>
      </c>
      <c r="N1079" t="s">
        <v>6399</v>
      </c>
      <c r="O1079" t="s">
        <v>12</v>
      </c>
      <c r="P1079">
        <v>-12570</v>
      </c>
      <c r="Q1079">
        <v>517520</v>
      </c>
      <c r="R1079" s="16" t="s">
        <v>8457</v>
      </c>
      <c r="S1079" s="16" t="s">
        <v>8060</v>
      </c>
      <c r="T1079" t="s">
        <v>7547</v>
      </c>
      <c r="U1079">
        <v>0</v>
      </c>
      <c r="V1079" t="s">
        <v>8654</v>
      </c>
      <c r="W1079" t="s">
        <v>12</v>
      </c>
      <c r="X1079" t="s">
        <v>8663</v>
      </c>
      <c r="Y1079">
        <f t="shared" si="33"/>
        <v>1</v>
      </c>
    </row>
    <row r="1080" spans="1:25" hidden="1">
      <c r="A1080" t="s">
        <v>7092</v>
      </c>
      <c r="B1080" t="s">
        <v>406</v>
      </c>
      <c r="C1080">
        <v>1283</v>
      </c>
      <c r="D1080">
        <v>13</v>
      </c>
      <c r="E1080" t="s">
        <v>4085</v>
      </c>
      <c r="F1080" t="s">
        <v>763</v>
      </c>
      <c r="H1080" t="s">
        <v>764</v>
      </c>
      <c r="J1080" t="s">
        <v>8668</v>
      </c>
      <c r="L1080">
        <f t="shared" si="32"/>
        <v>1</v>
      </c>
      <c r="M1080" t="s">
        <v>6386</v>
      </c>
      <c r="N1080" t="s">
        <v>6349</v>
      </c>
      <c r="O1080" t="s">
        <v>12</v>
      </c>
      <c r="P1080">
        <v>13210</v>
      </c>
      <c r="Q1080">
        <v>511290</v>
      </c>
      <c r="R1080" s="16" t="s">
        <v>8411</v>
      </c>
      <c r="S1080" s="16" t="s">
        <v>8114</v>
      </c>
      <c r="T1080" t="s">
        <v>7756</v>
      </c>
      <c r="U1080">
        <v>0</v>
      </c>
      <c r="V1080" t="s">
        <v>8654</v>
      </c>
      <c r="W1080" t="s">
        <v>12</v>
      </c>
      <c r="X1080" t="s">
        <v>8659</v>
      </c>
      <c r="Y1080">
        <f t="shared" si="33"/>
        <v>1</v>
      </c>
    </row>
    <row r="1081" spans="1:25" hidden="1">
      <c r="A1081" t="s">
        <v>7534</v>
      </c>
      <c r="B1081" t="s">
        <v>60</v>
      </c>
      <c r="C1081">
        <v>1163</v>
      </c>
      <c r="D1081">
        <v>12</v>
      </c>
      <c r="E1081" t="s">
        <v>61</v>
      </c>
      <c r="F1081" t="s">
        <v>1085</v>
      </c>
      <c r="H1081" t="s">
        <v>308</v>
      </c>
      <c r="J1081" t="s">
        <v>9127</v>
      </c>
      <c r="L1081">
        <f t="shared" si="32"/>
        <v>1</v>
      </c>
      <c r="M1081" t="s">
        <v>61</v>
      </c>
      <c r="N1081" t="s">
        <v>6291</v>
      </c>
      <c r="O1081" t="s">
        <v>3995</v>
      </c>
      <c r="P1081" t="s">
        <v>6814</v>
      </c>
      <c r="Q1081" t="s">
        <v>6815</v>
      </c>
      <c r="R1081" s="16" t="s">
        <v>8508</v>
      </c>
      <c r="S1081" s="16" t="s">
        <v>8214</v>
      </c>
      <c r="T1081" t="s">
        <v>7534</v>
      </c>
      <c r="U1081">
        <v>1</v>
      </c>
      <c r="V1081" t="s">
        <v>8654</v>
      </c>
      <c r="W1081" t="s">
        <v>3995</v>
      </c>
      <c r="X1081" t="s">
        <v>8663</v>
      </c>
      <c r="Y1081">
        <f t="shared" si="33"/>
        <v>1</v>
      </c>
    </row>
    <row r="1082" spans="1:25" hidden="1">
      <c r="A1082" t="s">
        <v>7221</v>
      </c>
      <c r="B1082" t="s">
        <v>1032</v>
      </c>
      <c r="C1082">
        <v>1283</v>
      </c>
      <c r="D1082">
        <v>13</v>
      </c>
      <c r="E1082" t="s">
        <v>4267</v>
      </c>
      <c r="F1082" t="s">
        <v>1033</v>
      </c>
      <c r="H1082" t="s">
        <v>1034</v>
      </c>
      <c r="I1082" t="s">
        <v>8928</v>
      </c>
      <c r="J1082" t="s">
        <v>8971</v>
      </c>
      <c r="L1082">
        <f t="shared" si="32"/>
        <v>1</v>
      </c>
      <c r="M1082" t="s">
        <v>6468</v>
      </c>
      <c r="N1082" t="s">
        <v>6469</v>
      </c>
      <c r="O1082" t="s">
        <v>12</v>
      </c>
      <c r="P1082">
        <v>12970</v>
      </c>
      <c r="Q1082">
        <v>526300</v>
      </c>
      <c r="R1082" s="16" t="s">
        <v>8455</v>
      </c>
      <c r="S1082" s="16" t="s">
        <v>8159</v>
      </c>
      <c r="T1082" t="s">
        <v>7805</v>
      </c>
      <c r="U1082">
        <v>1</v>
      </c>
      <c r="V1082" t="s">
        <v>8656</v>
      </c>
      <c r="W1082" t="s">
        <v>12</v>
      </c>
      <c r="X1082" t="s">
        <v>3012</v>
      </c>
      <c r="Y1082">
        <f t="shared" si="33"/>
        <v>1</v>
      </c>
    </row>
    <row r="1083" spans="1:25" hidden="1">
      <c r="A1083" t="s">
        <v>7060</v>
      </c>
      <c r="B1083" t="s">
        <v>410</v>
      </c>
      <c r="C1083">
        <v>1284</v>
      </c>
      <c r="D1083">
        <v>13</v>
      </c>
      <c r="E1083" t="s">
        <v>248</v>
      </c>
      <c r="F1083" t="s">
        <v>776</v>
      </c>
      <c r="H1083" t="s">
        <v>777</v>
      </c>
      <c r="J1083" t="s">
        <v>8668</v>
      </c>
      <c r="L1083">
        <f t="shared" si="32"/>
        <v>1</v>
      </c>
      <c r="M1083" t="s">
        <v>1</v>
      </c>
      <c r="N1083" t="s">
        <v>6445</v>
      </c>
      <c r="O1083" t="s">
        <v>12</v>
      </c>
      <c r="P1083" t="s">
        <v>6446</v>
      </c>
      <c r="Q1083">
        <v>515074</v>
      </c>
      <c r="R1083" s="16" t="s">
        <v>6446</v>
      </c>
      <c r="S1083" s="16" t="s">
        <v>8068</v>
      </c>
      <c r="T1083" t="s">
        <v>7060</v>
      </c>
      <c r="U1083">
        <v>0</v>
      </c>
      <c r="V1083" t="s">
        <v>8654</v>
      </c>
      <c r="W1083" t="s">
        <v>12</v>
      </c>
      <c r="X1083" t="s">
        <v>8659</v>
      </c>
      <c r="Y1083">
        <f t="shared" si="33"/>
        <v>1</v>
      </c>
    </row>
    <row r="1084" spans="1:25" hidden="1">
      <c r="A1084" t="s">
        <v>7621</v>
      </c>
      <c r="B1084" t="s">
        <v>222</v>
      </c>
      <c r="C1084">
        <v>1163</v>
      </c>
      <c r="D1084">
        <v>12</v>
      </c>
      <c r="E1084" t="s">
        <v>223</v>
      </c>
      <c r="F1084" t="s">
        <v>1086</v>
      </c>
      <c r="H1084" t="s">
        <v>313</v>
      </c>
      <c r="J1084" t="s">
        <v>8668</v>
      </c>
      <c r="L1084">
        <f t="shared" si="32"/>
        <v>0</v>
      </c>
      <c r="R1084" s="16" t="s">
        <v>8064</v>
      </c>
      <c r="S1084" s="16" t="s">
        <v>8064</v>
      </c>
      <c r="T1084" t="s">
        <v>7621</v>
      </c>
      <c r="U1084">
        <v>0</v>
      </c>
      <c r="V1084" t="s">
        <v>8655</v>
      </c>
      <c r="X1084" t="s">
        <v>8663</v>
      </c>
      <c r="Y1084">
        <f t="shared" si="33"/>
        <v>0</v>
      </c>
    </row>
    <row r="1085" spans="1:25" hidden="1">
      <c r="A1085" t="s">
        <v>5562</v>
      </c>
      <c r="B1085" t="s">
        <v>1035</v>
      </c>
      <c r="C1085">
        <v>1284</v>
      </c>
      <c r="D1085">
        <v>13</v>
      </c>
      <c r="E1085" t="s">
        <v>4237</v>
      </c>
      <c r="F1085" t="s">
        <v>1036</v>
      </c>
      <c r="H1085" t="s">
        <v>1037</v>
      </c>
      <c r="J1085" t="s">
        <v>8668</v>
      </c>
      <c r="L1085">
        <f t="shared" si="32"/>
        <v>1</v>
      </c>
      <c r="M1085" t="s">
        <v>7010</v>
      </c>
      <c r="N1085" t="s">
        <v>7011</v>
      </c>
      <c r="O1085" t="s">
        <v>6984</v>
      </c>
      <c r="P1085">
        <v>-10530</v>
      </c>
      <c r="Q1085">
        <v>521180</v>
      </c>
      <c r="R1085" s="16" t="s">
        <v>8547</v>
      </c>
      <c r="S1085" s="16" t="s">
        <v>8253</v>
      </c>
      <c r="T1085" t="s">
        <v>5562</v>
      </c>
      <c r="U1085">
        <v>0</v>
      </c>
      <c r="V1085" t="s">
        <v>8654</v>
      </c>
      <c r="W1085" t="s">
        <v>6984</v>
      </c>
      <c r="X1085" t="s">
        <v>3012</v>
      </c>
      <c r="Y1085">
        <f t="shared" si="33"/>
        <v>1</v>
      </c>
    </row>
    <row r="1086" spans="1:25" hidden="1">
      <c r="A1086" t="s">
        <v>7563</v>
      </c>
      <c r="B1086" t="s">
        <v>33</v>
      </c>
      <c r="C1086">
        <v>1167</v>
      </c>
      <c r="D1086">
        <v>12</v>
      </c>
      <c r="E1086" t="s">
        <v>22</v>
      </c>
      <c r="F1086" t="s">
        <v>1088</v>
      </c>
      <c r="H1086" t="s">
        <v>315</v>
      </c>
      <c r="J1086" t="s">
        <v>8668</v>
      </c>
      <c r="L1086">
        <f t="shared" si="32"/>
        <v>1</v>
      </c>
      <c r="M1086" t="s">
        <v>4502</v>
      </c>
      <c r="N1086" t="s">
        <v>6456</v>
      </c>
      <c r="O1086" t="s">
        <v>104</v>
      </c>
      <c r="P1086">
        <v>23522</v>
      </c>
      <c r="Q1086">
        <v>488566</v>
      </c>
      <c r="R1086" s="16" t="s">
        <v>8364</v>
      </c>
      <c r="S1086" s="16" t="s">
        <v>8069</v>
      </c>
      <c r="T1086" t="s">
        <v>7563</v>
      </c>
      <c r="U1086">
        <v>0</v>
      </c>
      <c r="V1086" t="s">
        <v>8654</v>
      </c>
      <c r="W1086" t="s">
        <v>104</v>
      </c>
      <c r="X1086" t="s">
        <v>8663</v>
      </c>
      <c r="Y1086">
        <f t="shared" si="33"/>
        <v>1</v>
      </c>
    </row>
    <row r="1087" spans="1:25" hidden="1">
      <c r="A1087" t="s">
        <v>7605</v>
      </c>
      <c r="B1087" t="s">
        <v>33</v>
      </c>
      <c r="C1087">
        <v>1167</v>
      </c>
      <c r="D1087">
        <v>12</v>
      </c>
      <c r="E1087" t="s">
        <v>32</v>
      </c>
      <c r="F1087" t="s">
        <v>1089</v>
      </c>
      <c r="H1087" t="s">
        <v>317</v>
      </c>
      <c r="J1087" t="s">
        <v>8668</v>
      </c>
      <c r="L1087">
        <f t="shared" si="32"/>
        <v>1</v>
      </c>
      <c r="M1087" t="s">
        <v>4502</v>
      </c>
      <c r="N1087" t="s">
        <v>6456</v>
      </c>
      <c r="O1087" t="s">
        <v>104</v>
      </c>
      <c r="P1087">
        <v>23522</v>
      </c>
      <c r="Q1087">
        <v>488566</v>
      </c>
      <c r="R1087" s="16" t="s">
        <v>8364</v>
      </c>
      <c r="S1087" s="16" t="s">
        <v>8069</v>
      </c>
      <c r="T1087" t="s">
        <v>7605</v>
      </c>
      <c r="U1087">
        <v>0</v>
      </c>
      <c r="V1087" t="s">
        <v>8654</v>
      </c>
      <c r="W1087" t="s">
        <v>104</v>
      </c>
      <c r="X1087" t="s">
        <v>8663</v>
      </c>
      <c r="Y1087">
        <f t="shared" si="33"/>
        <v>1</v>
      </c>
    </row>
    <row r="1088" spans="1:25">
      <c r="A1088" t="s">
        <v>7549</v>
      </c>
      <c r="B1088" t="s">
        <v>81</v>
      </c>
      <c r="C1088">
        <v>1166</v>
      </c>
      <c r="D1088">
        <v>12</v>
      </c>
      <c r="E1088" t="s">
        <v>82</v>
      </c>
      <c r="F1088" t="s">
        <v>1090</v>
      </c>
      <c r="G1088" t="str">
        <f>VLOOKUP(TRIM(F1088),[1]mss!$AA:$AA,1,0)</f>
        <v>Ox I 418</v>
      </c>
      <c r="H1088" t="s">
        <v>316</v>
      </c>
      <c r="J1088" t="s">
        <v>8668</v>
      </c>
      <c r="L1088">
        <f t="shared" si="32"/>
        <v>0</v>
      </c>
      <c r="R1088" s="16" t="s">
        <v>8064</v>
      </c>
      <c r="S1088" s="16" t="s">
        <v>8064</v>
      </c>
      <c r="T1088" t="s">
        <v>7876</v>
      </c>
      <c r="U1088">
        <v>0</v>
      </c>
      <c r="V1088" t="s">
        <v>8655</v>
      </c>
      <c r="X1088" t="s">
        <v>8663</v>
      </c>
      <c r="Y1088">
        <f t="shared" si="33"/>
        <v>0</v>
      </c>
    </row>
    <row r="1089" spans="1:25">
      <c r="A1089" t="s">
        <v>7592</v>
      </c>
      <c r="B1089" t="s">
        <v>126</v>
      </c>
      <c r="C1089">
        <v>1174</v>
      </c>
      <c r="D1089">
        <v>12</v>
      </c>
      <c r="E1089" t="s">
        <v>12</v>
      </c>
      <c r="F1089" t="s">
        <v>1091</v>
      </c>
      <c r="G1089" t="str">
        <f>VLOOKUP(TRIM(F1089),[1]mss!$AA:$AA,1,0)</f>
        <v>Ox I 691</v>
      </c>
      <c r="H1089" t="s">
        <v>318</v>
      </c>
      <c r="J1089" t="s">
        <v>8668</v>
      </c>
      <c r="L1089">
        <f t="shared" si="32"/>
        <v>0</v>
      </c>
      <c r="R1089" s="16" t="s">
        <v>8064</v>
      </c>
      <c r="S1089" s="16" t="s">
        <v>8064</v>
      </c>
      <c r="T1089" t="s">
        <v>7592</v>
      </c>
      <c r="U1089">
        <v>0</v>
      </c>
      <c r="V1089" t="s">
        <v>8655</v>
      </c>
      <c r="X1089" t="s">
        <v>8663</v>
      </c>
      <c r="Y1089">
        <f t="shared" si="33"/>
        <v>0</v>
      </c>
    </row>
    <row r="1090" spans="1:25" hidden="1">
      <c r="A1090" t="s">
        <v>7562</v>
      </c>
      <c r="B1090" t="s">
        <v>31</v>
      </c>
      <c r="C1090">
        <v>1174</v>
      </c>
      <c r="D1090">
        <v>12</v>
      </c>
      <c r="E1090" t="s">
        <v>32</v>
      </c>
      <c r="F1090" t="s">
        <v>1092</v>
      </c>
      <c r="H1090" t="s">
        <v>319</v>
      </c>
      <c r="J1090" t="s">
        <v>8668</v>
      </c>
      <c r="L1090">
        <f t="shared" ref="L1090:L1153" si="34">IF(M1090&lt;&gt;"",1,0)</f>
        <v>1</v>
      </c>
      <c r="M1090" t="s">
        <v>4502</v>
      </c>
      <c r="N1090" t="s">
        <v>6456</v>
      </c>
      <c r="O1090" t="s">
        <v>104</v>
      </c>
      <c r="P1090">
        <v>23522</v>
      </c>
      <c r="Q1090">
        <v>488566</v>
      </c>
      <c r="R1090" s="16" t="s">
        <v>8364</v>
      </c>
      <c r="S1090" s="16" t="s">
        <v>8069</v>
      </c>
      <c r="T1090" t="s">
        <v>7562</v>
      </c>
      <c r="U1090">
        <v>0</v>
      </c>
      <c r="V1090" t="s">
        <v>8654</v>
      </c>
      <c r="W1090" t="s">
        <v>104</v>
      </c>
      <c r="X1090" t="s">
        <v>8663</v>
      </c>
      <c r="Y1090">
        <f t="shared" ref="Y1090:Y1153" si="35">IF(OR(V1090="Loc",V1090="IIIF"),1,0)</f>
        <v>1</v>
      </c>
    </row>
    <row r="1091" spans="1:25" hidden="1">
      <c r="A1091" t="s">
        <v>7536</v>
      </c>
      <c r="B1091" t="s">
        <v>2</v>
      </c>
      <c r="C1091">
        <v>1186</v>
      </c>
      <c r="D1091">
        <v>12</v>
      </c>
      <c r="E1091" t="s">
        <v>65</v>
      </c>
      <c r="F1091" t="s">
        <v>1093</v>
      </c>
      <c r="H1091" t="s">
        <v>320</v>
      </c>
      <c r="J1091" t="s">
        <v>9130</v>
      </c>
      <c r="L1091">
        <f t="shared" si="34"/>
        <v>1</v>
      </c>
      <c r="M1091" t="s">
        <v>6417</v>
      </c>
      <c r="N1091" t="s">
        <v>6418</v>
      </c>
      <c r="O1091" t="s">
        <v>3995</v>
      </c>
      <c r="P1091">
        <v>86330</v>
      </c>
      <c r="Q1091">
        <v>486660</v>
      </c>
      <c r="R1091" s="16" t="s">
        <v>8509</v>
      </c>
      <c r="S1091" s="16" t="s">
        <v>8215</v>
      </c>
      <c r="T1091" t="s">
        <v>7536</v>
      </c>
      <c r="U1091">
        <v>1</v>
      </c>
      <c r="V1091" t="s">
        <v>8654</v>
      </c>
      <c r="W1091" t="s">
        <v>3995</v>
      </c>
      <c r="X1091" t="s">
        <v>8663</v>
      </c>
      <c r="Y1091">
        <f t="shared" si="35"/>
        <v>1</v>
      </c>
    </row>
    <row r="1092" spans="1:25" hidden="1">
      <c r="A1092" t="s">
        <v>7194</v>
      </c>
      <c r="B1092" t="s">
        <v>778</v>
      </c>
      <c r="C1092">
        <v>1286</v>
      </c>
      <c r="D1092">
        <v>13</v>
      </c>
      <c r="E1092" t="s">
        <v>4228</v>
      </c>
      <c r="F1092" t="s">
        <v>781</v>
      </c>
      <c r="H1092" t="s">
        <v>782</v>
      </c>
      <c r="J1092" t="s">
        <v>8668</v>
      </c>
      <c r="L1092">
        <f t="shared" si="34"/>
        <v>1</v>
      </c>
      <c r="M1092" t="s">
        <v>6867</v>
      </c>
      <c r="N1092" t="s">
        <v>6346</v>
      </c>
      <c r="O1092" t="s">
        <v>12</v>
      </c>
      <c r="P1092" t="s">
        <v>6868</v>
      </c>
      <c r="Q1092" t="s">
        <v>6869</v>
      </c>
      <c r="R1092" s="16" t="s">
        <v>8450</v>
      </c>
      <c r="S1092" s="16" t="s">
        <v>8154</v>
      </c>
      <c r="T1092" t="s">
        <v>7194</v>
      </c>
      <c r="U1092">
        <v>0</v>
      </c>
      <c r="V1092" t="s">
        <v>8654</v>
      </c>
      <c r="W1092" t="s">
        <v>12</v>
      </c>
      <c r="X1092" t="s">
        <v>8659</v>
      </c>
      <c r="Y1092">
        <f t="shared" si="35"/>
        <v>1</v>
      </c>
    </row>
    <row r="1093" spans="1:25">
      <c r="A1093" t="s">
        <v>7548</v>
      </c>
      <c r="B1093" t="s">
        <v>302</v>
      </c>
      <c r="C1093">
        <v>1179</v>
      </c>
      <c r="D1093">
        <v>12</v>
      </c>
      <c r="E1093" t="s">
        <v>12</v>
      </c>
      <c r="F1093" t="s">
        <v>1079</v>
      </c>
      <c r="G1093" t="str">
        <f>VLOOKUP(TRIM(F1093),[1]mss!$AA:$AA,1,0)</f>
        <v>Ox I 417</v>
      </c>
      <c r="H1093" t="s">
        <v>322</v>
      </c>
      <c r="J1093" t="s">
        <v>8668</v>
      </c>
      <c r="L1093">
        <f t="shared" si="34"/>
        <v>0</v>
      </c>
      <c r="R1093" s="16" t="s">
        <v>8064</v>
      </c>
      <c r="S1093" s="16" t="s">
        <v>8064</v>
      </c>
      <c r="T1093" t="s">
        <v>7875</v>
      </c>
      <c r="U1093">
        <v>0</v>
      </c>
      <c r="V1093" t="s">
        <v>8655</v>
      </c>
      <c r="X1093" t="s">
        <v>8663</v>
      </c>
      <c r="Y1093">
        <f t="shared" si="35"/>
        <v>0</v>
      </c>
    </row>
    <row r="1094" spans="1:25" hidden="1">
      <c r="A1094" t="s">
        <v>7577</v>
      </c>
      <c r="B1094" t="s">
        <v>110</v>
      </c>
      <c r="C1094">
        <v>1182</v>
      </c>
      <c r="D1094">
        <v>12</v>
      </c>
      <c r="E1094" t="s">
        <v>111</v>
      </c>
      <c r="F1094" t="s">
        <v>1095</v>
      </c>
      <c r="H1094" t="s">
        <v>323</v>
      </c>
      <c r="J1094" t="s">
        <v>9134</v>
      </c>
      <c r="L1094">
        <f t="shared" si="34"/>
        <v>1</v>
      </c>
      <c r="M1094" t="s">
        <v>6696</v>
      </c>
      <c r="N1094" t="s">
        <v>6455</v>
      </c>
      <c r="O1094" t="s">
        <v>3995</v>
      </c>
      <c r="P1094" t="s">
        <v>6697</v>
      </c>
      <c r="Q1094" t="s">
        <v>6698</v>
      </c>
      <c r="R1094" s="16" t="s">
        <v>8521</v>
      </c>
      <c r="S1094" s="16" t="s">
        <v>8226</v>
      </c>
      <c r="T1094" t="s">
        <v>7884</v>
      </c>
      <c r="U1094">
        <v>1</v>
      </c>
      <c r="V1094" t="s">
        <v>8654</v>
      </c>
      <c r="W1094" t="s">
        <v>3995</v>
      </c>
      <c r="X1094" t="s">
        <v>8663</v>
      </c>
      <c r="Y1094">
        <f t="shared" si="35"/>
        <v>1</v>
      </c>
    </row>
    <row r="1095" spans="1:25" hidden="1">
      <c r="A1095" t="s">
        <v>7663</v>
      </c>
      <c r="B1095">
        <v>1286</v>
      </c>
      <c r="C1095">
        <v>1286</v>
      </c>
      <c r="D1095">
        <v>13</v>
      </c>
      <c r="E1095" t="s">
        <v>231</v>
      </c>
      <c r="F1095" t="s">
        <v>1202</v>
      </c>
      <c r="J1095" t="s">
        <v>8668</v>
      </c>
      <c r="L1095">
        <f t="shared" si="34"/>
        <v>1</v>
      </c>
      <c r="M1095" t="s">
        <v>6462</v>
      </c>
      <c r="N1095" t="s">
        <v>6463</v>
      </c>
      <c r="O1095" t="s">
        <v>12</v>
      </c>
      <c r="P1095">
        <v>-10160</v>
      </c>
      <c r="Q1095">
        <v>530000</v>
      </c>
      <c r="R1095" s="16" t="s">
        <v>8501</v>
      </c>
      <c r="S1095" s="16" t="s">
        <v>8207</v>
      </c>
      <c r="T1095" t="s">
        <v>7663</v>
      </c>
      <c r="U1095">
        <v>0</v>
      </c>
      <c r="V1095" t="s">
        <v>8654</v>
      </c>
      <c r="W1095" t="s">
        <v>12</v>
      </c>
      <c r="X1095" t="s">
        <v>8661</v>
      </c>
      <c r="Y1095">
        <f t="shared" si="35"/>
        <v>1</v>
      </c>
    </row>
    <row r="1096" spans="1:25" hidden="1">
      <c r="A1096" t="s">
        <v>7640</v>
      </c>
      <c r="B1096" t="s">
        <v>266</v>
      </c>
      <c r="C1096">
        <v>1288</v>
      </c>
      <c r="D1096">
        <v>13</v>
      </c>
      <c r="E1096" t="s">
        <v>267</v>
      </c>
      <c r="F1096" t="s">
        <v>1195</v>
      </c>
      <c r="H1096" t="s">
        <v>1196</v>
      </c>
      <c r="J1096" t="s">
        <v>8668</v>
      </c>
      <c r="L1096">
        <f t="shared" si="34"/>
        <v>1</v>
      </c>
      <c r="M1096" t="s">
        <v>1</v>
      </c>
      <c r="N1096" t="s">
        <v>6445</v>
      </c>
      <c r="O1096" t="s">
        <v>12</v>
      </c>
      <c r="P1096" t="s">
        <v>6446</v>
      </c>
      <c r="Q1096">
        <v>515074</v>
      </c>
      <c r="R1096" s="16" t="s">
        <v>6446</v>
      </c>
      <c r="S1096" s="16" t="s">
        <v>8068</v>
      </c>
      <c r="T1096" t="s">
        <v>7640</v>
      </c>
      <c r="U1096">
        <v>0</v>
      </c>
      <c r="V1096" t="s">
        <v>8654</v>
      </c>
      <c r="W1096" t="s">
        <v>12</v>
      </c>
      <c r="X1096" t="s">
        <v>8661</v>
      </c>
      <c r="Y1096">
        <f t="shared" si="35"/>
        <v>1</v>
      </c>
    </row>
    <row r="1097" spans="1:25" hidden="1">
      <c r="A1097" t="s">
        <v>7182</v>
      </c>
      <c r="B1097" t="s">
        <v>409</v>
      </c>
      <c r="C1097">
        <v>1291</v>
      </c>
      <c r="D1097">
        <v>13</v>
      </c>
      <c r="E1097" t="s">
        <v>248</v>
      </c>
      <c r="F1097" t="s">
        <v>771</v>
      </c>
      <c r="H1097" t="s">
        <v>772</v>
      </c>
      <c r="J1097" t="s">
        <v>8668</v>
      </c>
      <c r="L1097">
        <f t="shared" si="34"/>
        <v>1</v>
      </c>
      <c r="M1097" t="s">
        <v>1</v>
      </c>
      <c r="N1097" t="s">
        <v>6445</v>
      </c>
      <c r="O1097" t="s">
        <v>12</v>
      </c>
      <c r="P1097" t="s">
        <v>6446</v>
      </c>
      <c r="Q1097">
        <v>515074</v>
      </c>
      <c r="R1097" s="16" t="s">
        <v>6446</v>
      </c>
      <c r="S1097" s="16" t="s">
        <v>8068</v>
      </c>
      <c r="T1097" t="s">
        <v>7182</v>
      </c>
      <c r="U1097">
        <v>0</v>
      </c>
      <c r="V1097" t="s">
        <v>8654</v>
      </c>
      <c r="W1097" t="s">
        <v>12</v>
      </c>
      <c r="X1097" t="s">
        <v>8659</v>
      </c>
      <c r="Y1097">
        <f t="shared" si="35"/>
        <v>1</v>
      </c>
    </row>
    <row r="1098" spans="1:25" hidden="1">
      <c r="A1098" t="s">
        <v>7661</v>
      </c>
      <c r="B1098" t="s">
        <v>229</v>
      </c>
      <c r="C1098">
        <v>1291</v>
      </c>
      <c r="D1098">
        <v>13</v>
      </c>
      <c r="E1098" t="s">
        <v>45</v>
      </c>
      <c r="F1098" t="s">
        <v>1191</v>
      </c>
      <c r="H1098" t="s">
        <v>1192</v>
      </c>
      <c r="J1098" t="s">
        <v>8668</v>
      </c>
      <c r="L1098">
        <f t="shared" si="34"/>
        <v>1</v>
      </c>
      <c r="M1098" t="s">
        <v>6339</v>
      </c>
      <c r="N1098" t="s">
        <v>6340</v>
      </c>
      <c r="O1098" t="s">
        <v>12</v>
      </c>
      <c r="P1098" t="s">
        <v>6341</v>
      </c>
      <c r="Q1098">
        <v>522480</v>
      </c>
      <c r="R1098" s="16" t="s">
        <v>8414</v>
      </c>
      <c r="S1098" s="16" t="s">
        <v>8118</v>
      </c>
      <c r="T1098" t="s">
        <v>7870</v>
      </c>
      <c r="U1098">
        <v>0</v>
      </c>
      <c r="V1098" t="s">
        <v>8654</v>
      </c>
      <c r="W1098" t="s">
        <v>12</v>
      </c>
      <c r="X1098" t="s">
        <v>8661</v>
      </c>
      <c r="Y1098">
        <f t="shared" si="35"/>
        <v>1</v>
      </c>
    </row>
    <row r="1099" spans="1:25" hidden="1">
      <c r="A1099" t="s">
        <v>7590</v>
      </c>
      <c r="B1099">
        <v>1199</v>
      </c>
      <c r="C1099">
        <v>1199</v>
      </c>
      <c r="D1099">
        <v>12</v>
      </c>
      <c r="E1099" t="s">
        <v>124</v>
      </c>
      <c r="F1099" t="s">
        <v>1100</v>
      </c>
      <c r="H1099" t="s">
        <v>328</v>
      </c>
      <c r="J1099" t="s">
        <v>8668</v>
      </c>
      <c r="L1099">
        <f t="shared" si="34"/>
        <v>0</v>
      </c>
      <c r="R1099" s="16" t="s">
        <v>8064</v>
      </c>
      <c r="S1099" s="16" t="s">
        <v>8064</v>
      </c>
      <c r="T1099" t="s">
        <v>7590</v>
      </c>
      <c r="U1099">
        <v>0</v>
      </c>
      <c r="V1099" t="s">
        <v>8655</v>
      </c>
      <c r="X1099" t="s">
        <v>8663</v>
      </c>
      <c r="Y1099">
        <f t="shared" si="35"/>
        <v>0</v>
      </c>
    </row>
    <row r="1100" spans="1:25" hidden="1">
      <c r="A1100" t="s">
        <v>7537</v>
      </c>
      <c r="B1100" t="s">
        <v>66</v>
      </c>
      <c r="C1100">
        <v>1208</v>
      </c>
      <c r="D1100">
        <v>13</v>
      </c>
      <c r="E1100" t="s">
        <v>67</v>
      </c>
      <c r="F1100" t="s">
        <v>1101</v>
      </c>
      <c r="H1100" t="s">
        <v>329</v>
      </c>
      <c r="J1100" t="s">
        <v>9131</v>
      </c>
      <c r="L1100">
        <f t="shared" si="34"/>
        <v>1</v>
      </c>
      <c r="M1100" t="s">
        <v>67</v>
      </c>
      <c r="N1100" t="s">
        <v>6416</v>
      </c>
      <c r="O1100" t="s">
        <v>11</v>
      </c>
      <c r="P1100" t="s">
        <v>6633</v>
      </c>
      <c r="Q1100" t="s">
        <v>6634</v>
      </c>
      <c r="R1100" s="16" t="s">
        <v>8510</v>
      </c>
      <c r="S1100" s="16" t="s">
        <v>8216</v>
      </c>
      <c r="T1100" t="s">
        <v>7537</v>
      </c>
      <c r="U1100">
        <v>1</v>
      </c>
      <c r="V1100" t="s">
        <v>8654</v>
      </c>
      <c r="W1100" t="s">
        <v>11</v>
      </c>
      <c r="X1100" t="s">
        <v>8663</v>
      </c>
      <c r="Y1100">
        <f t="shared" si="35"/>
        <v>1</v>
      </c>
    </row>
    <row r="1101" spans="1:25" hidden="1">
      <c r="A1101" t="s">
        <v>7523</v>
      </c>
      <c r="B1101" t="s">
        <v>17</v>
      </c>
      <c r="C1101">
        <v>1210</v>
      </c>
      <c r="D1101">
        <v>13</v>
      </c>
      <c r="E1101" t="s">
        <v>11</v>
      </c>
      <c r="F1101" t="s">
        <v>38</v>
      </c>
      <c r="H1101" t="s">
        <v>330</v>
      </c>
      <c r="J1101" t="s">
        <v>8668</v>
      </c>
      <c r="L1101">
        <f t="shared" si="34"/>
        <v>0</v>
      </c>
      <c r="R1101" s="16" t="s">
        <v>8064</v>
      </c>
      <c r="S1101" s="16" t="s">
        <v>8064</v>
      </c>
      <c r="T1101" t="s">
        <v>7523</v>
      </c>
      <c r="U1101">
        <v>0</v>
      </c>
      <c r="V1101" t="s">
        <v>8655</v>
      </c>
      <c r="X1101" t="s">
        <v>8663</v>
      </c>
      <c r="Y1101">
        <f t="shared" si="35"/>
        <v>0</v>
      </c>
    </row>
    <row r="1102" spans="1:25" hidden="1">
      <c r="A1102" t="s">
        <v>7542</v>
      </c>
      <c r="B1102">
        <v>1204</v>
      </c>
      <c r="C1102">
        <v>1204</v>
      </c>
      <c r="D1102">
        <v>13</v>
      </c>
      <c r="E1102" t="s">
        <v>75</v>
      </c>
      <c r="F1102" t="s">
        <v>1102</v>
      </c>
      <c r="H1102" t="s">
        <v>331</v>
      </c>
      <c r="J1102" t="s">
        <v>8668</v>
      </c>
      <c r="L1102">
        <f t="shared" si="34"/>
        <v>1</v>
      </c>
      <c r="M1102" t="s">
        <v>6473</v>
      </c>
      <c r="N1102" t="s">
        <v>6473</v>
      </c>
      <c r="O1102" t="s">
        <v>11</v>
      </c>
      <c r="P1102" t="s">
        <v>6911</v>
      </c>
      <c r="Q1102" t="s">
        <v>6912</v>
      </c>
      <c r="R1102" s="16" t="s">
        <v>8512</v>
      </c>
      <c r="S1102" s="16" t="s">
        <v>8218</v>
      </c>
      <c r="T1102" t="s">
        <v>7542</v>
      </c>
      <c r="U1102">
        <v>0</v>
      </c>
      <c r="V1102" t="s">
        <v>8654</v>
      </c>
      <c r="W1102" t="s">
        <v>11</v>
      </c>
      <c r="X1102" t="s">
        <v>8663</v>
      </c>
      <c r="Y1102">
        <f t="shared" si="35"/>
        <v>1</v>
      </c>
    </row>
    <row r="1103" spans="1:25">
      <c r="A1103" t="s">
        <v>7586</v>
      </c>
      <c r="B1103" t="s">
        <v>6</v>
      </c>
      <c r="C1103">
        <v>1208</v>
      </c>
      <c r="D1103">
        <v>13</v>
      </c>
      <c r="E1103" t="s">
        <v>12</v>
      </c>
      <c r="F1103" t="s">
        <v>1103</v>
      </c>
      <c r="G1103" t="str">
        <f>VLOOKUP(TRIM(F1103),[1]mss!$AA:$AA,1,0)</f>
        <v>Ox I 658</v>
      </c>
      <c r="H1103" t="s">
        <v>332</v>
      </c>
      <c r="J1103" t="s">
        <v>8668</v>
      </c>
      <c r="L1103">
        <f t="shared" si="34"/>
        <v>0</v>
      </c>
      <c r="R1103" s="16" t="s">
        <v>8064</v>
      </c>
      <c r="S1103" s="16" t="s">
        <v>8064</v>
      </c>
      <c r="T1103" t="s">
        <v>7586</v>
      </c>
      <c r="U1103">
        <v>0</v>
      </c>
      <c r="V1103" t="s">
        <v>8655</v>
      </c>
      <c r="X1103" t="s">
        <v>8663</v>
      </c>
      <c r="Y1103">
        <f t="shared" si="35"/>
        <v>0</v>
      </c>
    </row>
    <row r="1104" spans="1:25" hidden="1">
      <c r="A1104" t="s">
        <v>7570</v>
      </c>
      <c r="B1104" t="s">
        <v>103</v>
      </c>
      <c r="C1104">
        <v>1219</v>
      </c>
      <c r="D1104">
        <v>13</v>
      </c>
      <c r="E1104" t="s">
        <v>104</v>
      </c>
      <c r="F1104" t="s">
        <v>1104</v>
      </c>
      <c r="H1104" t="s">
        <v>334</v>
      </c>
      <c r="J1104" t="s">
        <v>8668</v>
      </c>
      <c r="L1104">
        <f t="shared" si="34"/>
        <v>0</v>
      </c>
      <c r="R1104" s="16" t="s">
        <v>8064</v>
      </c>
      <c r="S1104" s="16" t="s">
        <v>8064</v>
      </c>
      <c r="T1104" t="s">
        <v>7570</v>
      </c>
      <c r="U1104">
        <v>0</v>
      </c>
      <c r="V1104" t="s">
        <v>8655</v>
      </c>
      <c r="X1104" t="s">
        <v>8663</v>
      </c>
      <c r="Y1104">
        <f t="shared" si="35"/>
        <v>0</v>
      </c>
    </row>
    <row r="1105" spans="1:25" hidden="1">
      <c r="A1105" t="s">
        <v>7591</v>
      </c>
      <c r="B1105" t="s">
        <v>125</v>
      </c>
      <c r="C1105">
        <v>1292</v>
      </c>
      <c r="D1105">
        <v>13</v>
      </c>
      <c r="E1105" t="s">
        <v>52</v>
      </c>
      <c r="F1105" t="s">
        <v>1134</v>
      </c>
      <c r="H1105" t="s">
        <v>372</v>
      </c>
      <c r="J1105" t="s">
        <v>8668</v>
      </c>
      <c r="L1105">
        <f t="shared" si="34"/>
        <v>1</v>
      </c>
      <c r="M1105" t="s">
        <v>6673</v>
      </c>
      <c r="N1105" t="s">
        <v>6399</v>
      </c>
      <c r="O1105" t="s">
        <v>12</v>
      </c>
      <c r="P1105" t="s">
        <v>6674</v>
      </c>
      <c r="Q1105" t="s">
        <v>6675</v>
      </c>
      <c r="R1105" s="16" t="s">
        <v>8503</v>
      </c>
      <c r="S1105" s="16" t="s">
        <v>8209</v>
      </c>
      <c r="T1105" t="s">
        <v>7889</v>
      </c>
      <c r="U1105">
        <v>0</v>
      </c>
      <c r="V1105" t="s">
        <v>8654</v>
      </c>
      <c r="W1105" t="s">
        <v>12</v>
      </c>
      <c r="X1105" t="s">
        <v>8663</v>
      </c>
      <c r="Y1105">
        <f t="shared" si="35"/>
        <v>1</v>
      </c>
    </row>
    <row r="1106" spans="1:25" hidden="1">
      <c r="A1106" t="s">
        <v>7729</v>
      </c>
      <c r="B1106" s="4">
        <v>1097</v>
      </c>
      <c r="C1106" s="4">
        <v>1097</v>
      </c>
      <c r="D1106" s="4">
        <v>11</v>
      </c>
      <c r="E1106" t="s">
        <v>6172</v>
      </c>
      <c r="F1106" t="s">
        <v>2597</v>
      </c>
      <c r="H1106" t="s">
        <v>2592</v>
      </c>
      <c r="J1106" t="s">
        <v>8668</v>
      </c>
      <c r="L1106">
        <f t="shared" si="34"/>
        <v>1</v>
      </c>
      <c r="M1106" t="s">
        <v>4646</v>
      </c>
      <c r="N1106" t="s">
        <v>6295</v>
      </c>
      <c r="O1106" t="s">
        <v>11</v>
      </c>
      <c r="P1106">
        <v>124964</v>
      </c>
      <c r="Q1106">
        <v>419028</v>
      </c>
      <c r="R1106" s="16" t="s">
        <v>8368</v>
      </c>
      <c r="S1106" s="16" t="s">
        <v>8073</v>
      </c>
      <c r="T1106" t="s">
        <v>7741</v>
      </c>
      <c r="U1106">
        <v>0</v>
      </c>
      <c r="V1106" t="s">
        <v>8654</v>
      </c>
      <c r="W1106" t="s">
        <v>11</v>
      </c>
      <c r="X1106" t="s">
        <v>8662</v>
      </c>
      <c r="Y1106">
        <f t="shared" si="35"/>
        <v>1</v>
      </c>
    </row>
    <row r="1107" spans="1:25" hidden="1">
      <c r="A1107" t="s">
        <v>7721</v>
      </c>
      <c r="B1107" s="4">
        <v>1242</v>
      </c>
      <c r="C1107" s="4">
        <v>1242</v>
      </c>
      <c r="D1107" s="4">
        <v>13</v>
      </c>
      <c r="E1107" t="s">
        <v>1444</v>
      </c>
      <c r="F1107" t="s">
        <v>2600</v>
      </c>
      <c r="H1107" t="s">
        <v>2591</v>
      </c>
      <c r="J1107" t="s">
        <v>8668</v>
      </c>
      <c r="L1107">
        <f t="shared" si="34"/>
        <v>0</v>
      </c>
      <c r="R1107" s="16" t="s">
        <v>8064</v>
      </c>
      <c r="S1107" s="16" t="s">
        <v>8064</v>
      </c>
      <c r="T1107" t="s">
        <v>7721</v>
      </c>
      <c r="U1107">
        <v>0</v>
      </c>
      <c r="V1107" t="s">
        <v>8655</v>
      </c>
      <c r="X1107" t="s">
        <v>8662</v>
      </c>
      <c r="Y1107">
        <f t="shared" si="35"/>
        <v>0</v>
      </c>
    </row>
    <row r="1108" spans="1:25" hidden="1">
      <c r="A1108" t="s">
        <v>7723</v>
      </c>
      <c r="B1108" s="4">
        <v>1250</v>
      </c>
      <c r="C1108" s="4">
        <v>1250</v>
      </c>
      <c r="D1108" s="4">
        <v>13</v>
      </c>
      <c r="E1108" t="s">
        <v>6174</v>
      </c>
      <c r="F1108" t="s">
        <v>2602</v>
      </c>
      <c r="H1108" t="s">
        <v>2591</v>
      </c>
      <c r="J1108" t="s">
        <v>8668</v>
      </c>
      <c r="L1108">
        <f t="shared" si="34"/>
        <v>1</v>
      </c>
      <c r="M1108" t="s">
        <v>6174</v>
      </c>
      <c r="N1108" t="s">
        <v>6295</v>
      </c>
      <c r="O1108" t="s">
        <v>11</v>
      </c>
      <c r="P1108">
        <v>121077</v>
      </c>
      <c r="Q1108">
        <v>424200</v>
      </c>
      <c r="R1108" s="16" t="s">
        <v>8379</v>
      </c>
      <c r="S1108" s="16" t="s">
        <v>8083</v>
      </c>
      <c r="T1108" t="s">
        <v>7738</v>
      </c>
      <c r="U1108">
        <v>0</v>
      </c>
      <c r="V1108" t="s">
        <v>8654</v>
      </c>
      <c r="W1108" t="s">
        <v>11</v>
      </c>
      <c r="X1108" t="s">
        <v>8662</v>
      </c>
      <c r="Y1108">
        <f t="shared" si="35"/>
        <v>1</v>
      </c>
    </row>
    <row r="1109" spans="1:25" hidden="1">
      <c r="A1109" t="s">
        <v>7727</v>
      </c>
      <c r="B1109" s="4">
        <v>1269</v>
      </c>
      <c r="C1109" s="4">
        <v>1269</v>
      </c>
      <c r="D1109" s="4">
        <v>13</v>
      </c>
      <c r="E1109" t="s">
        <v>1444</v>
      </c>
      <c r="F1109" t="s">
        <v>2607</v>
      </c>
      <c r="H1109" t="s">
        <v>2591</v>
      </c>
      <c r="J1109" t="s">
        <v>8668</v>
      </c>
      <c r="L1109">
        <f t="shared" si="34"/>
        <v>0</v>
      </c>
      <c r="R1109" s="16" t="s">
        <v>8064</v>
      </c>
      <c r="S1109" s="16" t="s">
        <v>8064</v>
      </c>
      <c r="T1109" t="s">
        <v>7740</v>
      </c>
      <c r="U1109">
        <v>0</v>
      </c>
      <c r="V1109" t="s">
        <v>8655</v>
      </c>
      <c r="X1109" t="s">
        <v>8662</v>
      </c>
      <c r="Y1109">
        <f t="shared" si="35"/>
        <v>0</v>
      </c>
    </row>
    <row r="1110" spans="1:25" hidden="1">
      <c r="A1110" t="s">
        <v>7730</v>
      </c>
      <c r="B1110" s="4">
        <v>1270</v>
      </c>
      <c r="C1110" s="4">
        <v>1270</v>
      </c>
      <c r="D1110" s="4">
        <v>13</v>
      </c>
      <c r="E1110" t="s">
        <v>6173</v>
      </c>
      <c r="F1110" t="s">
        <v>2596</v>
      </c>
      <c r="H1110" t="s">
        <v>2591</v>
      </c>
      <c r="J1110" t="s">
        <v>8668</v>
      </c>
      <c r="L1110">
        <f t="shared" si="34"/>
        <v>1</v>
      </c>
      <c r="M1110" t="s">
        <v>6173</v>
      </c>
      <c r="N1110" t="s">
        <v>6662</v>
      </c>
      <c r="O1110" t="s">
        <v>11</v>
      </c>
      <c r="P1110" t="s">
        <v>6913</v>
      </c>
      <c r="Q1110" t="s">
        <v>6914</v>
      </c>
      <c r="R1110" s="16" t="s">
        <v>8380</v>
      </c>
      <c r="S1110" s="16" t="s">
        <v>8084</v>
      </c>
      <c r="T1110" t="s">
        <v>7730</v>
      </c>
      <c r="U1110">
        <v>0</v>
      </c>
      <c r="V1110" t="s">
        <v>8654</v>
      </c>
      <c r="W1110" t="s">
        <v>11</v>
      </c>
      <c r="X1110" t="s">
        <v>8662</v>
      </c>
      <c r="Y1110">
        <f t="shared" si="35"/>
        <v>1</v>
      </c>
    </row>
    <row r="1111" spans="1:25" hidden="1">
      <c r="A1111" t="s">
        <v>7720</v>
      </c>
      <c r="B1111" s="4">
        <v>1278</v>
      </c>
      <c r="C1111" s="4">
        <v>1278</v>
      </c>
      <c r="D1111" s="4">
        <v>13</v>
      </c>
      <c r="E1111" t="s">
        <v>1444</v>
      </c>
      <c r="F1111" t="s">
        <v>2599</v>
      </c>
      <c r="H1111" t="s">
        <v>2590</v>
      </c>
      <c r="J1111" t="s">
        <v>8668</v>
      </c>
      <c r="L1111">
        <f t="shared" si="34"/>
        <v>0</v>
      </c>
      <c r="R1111" s="16" t="s">
        <v>8064</v>
      </c>
      <c r="S1111" s="16" t="s">
        <v>8064</v>
      </c>
      <c r="T1111" t="s">
        <v>7737</v>
      </c>
      <c r="U1111">
        <v>0</v>
      </c>
      <c r="V1111" t="s">
        <v>8655</v>
      </c>
      <c r="X1111" t="s">
        <v>8662</v>
      </c>
      <c r="Y1111">
        <f t="shared" si="35"/>
        <v>0</v>
      </c>
    </row>
    <row r="1112" spans="1:25" hidden="1">
      <c r="A1112" t="s">
        <v>7724</v>
      </c>
      <c r="B1112" s="4">
        <v>1292</v>
      </c>
      <c r="C1112" s="4">
        <v>1292</v>
      </c>
      <c r="D1112" s="4">
        <v>13</v>
      </c>
      <c r="E1112" t="s">
        <v>1444</v>
      </c>
      <c r="F1112" t="s">
        <v>2595</v>
      </c>
      <c r="H1112" t="s">
        <v>2590</v>
      </c>
      <c r="J1112" t="s">
        <v>8668</v>
      </c>
      <c r="L1112">
        <f t="shared" si="34"/>
        <v>0</v>
      </c>
      <c r="R1112" s="16" t="s">
        <v>8064</v>
      </c>
      <c r="S1112" s="16" t="s">
        <v>8064</v>
      </c>
      <c r="T1112" t="s">
        <v>7724</v>
      </c>
      <c r="U1112">
        <v>0</v>
      </c>
      <c r="V1112" t="s">
        <v>8655</v>
      </c>
      <c r="X1112" t="s">
        <v>8662</v>
      </c>
      <c r="Y1112">
        <f t="shared" si="35"/>
        <v>0</v>
      </c>
    </row>
    <row r="1113" spans="1:25" hidden="1">
      <c r="A1113" t="s">
        <v>7725</v>
      </c>
      <c r="B1113" s="4">
        <v>1290</v>
      </c>
      <c r="C1113" s="4">
        <v>1290</v>
      </c>
      <c r="D1113" s="4">
        <v>13</v>
      </c>
      <c r="E1113" t="s">
        <v>1444</v>
      </c>
      <c r="F1113" t="s">
        <v>2605</v>
      </c>
      <c r="H1113" t="s">
        <v>2590</v>
      </c>
      <c r="J1113" t="s">
        <v>8668</v>
      </c>
      <c r="L1113">
        <f t="shared" si="34"/>
        <v>0</v>
      </c>
      <c r="R1113" s="16" t="s">
        <v>8064</v>
      </c>
      <c r="S1113" s="16" t="s">
        <v>8064</v>
      </c>
      <c r="T1113" t="s">
        <v>7725</v>
      </c>
      <c r="U1113">
        <v>0</v>
      </c>
      <c r="V1113" t="s">
        <v>8655</v>
      </c>
      <c r="X1113" t="s">
        <v>8662</v>
      </c>
      <c r="Y1113">
        <f t="shared" si="35"/>
        <v>0</v>
      </c>
    </row>
    <row r="1114" spans="1:25" hidden="1">
      <c r="A1114" t="s">
        <v>7728</v>
      </c>
      <c r="B1114" s="4">
        <v>1285</v>
      </c>
      <c r="C1114" s="4">
        <v>1285</v>
      </c>
      <c r="D1114" s="4">
        <v>13</v>
      </c>
      <c r="E1114" t="s">
        <v>1444</v>
      </c>
      <c r="F1114" t="s">
        <v>2608</v>
      </c>
      <c r="H1114" t="s">
        <v>2590</v>
      </c>
      <c r="J1114" t="s">
        <v>8668</v>
      </c>
      <c r="L1114">
        <f t="shared" si="34"/>
        <v>0</v>
      </c>
      <c r="R1114" s="16" t="s">
        <v>8064</v>
      </c>
      <c r="S1114" s="16" t="s">
        <v>8064</v>
      </c>
      <c r="T1114" t="s">
        <v>7728</v>
      </c>
      <c r="U1114">
        <v>0</v>
      </c>
      <c r="V1114" t="s">
        <v>8655</v>
      </c>
      <c r="X1114" t="s">
        <v>8662</v>
      </c>
      <c r="Y1114">
        <f t="shared" si="35"/>
        <v>0</v>
      </c>
    </row>
    <row r="1115" spans="1:25" hidden="1">
      <c r="A1115" t="s">
        <v>7719</v>
      </c>
      <c r="B1115" s="4">
        <v>1296</v>
      </c>
      <c r="C1115" s="4">
        <v>1296</v>
      </c>
      <c r="D1115" s="4">
        <v>13</v>
      </c>
      <c r="E1115" t="s">
        <v>1444</v>
      </c>
      <c r="F1115" t="s">
        <v>2598</v>
      </c>
      <c r="H1115" t="s">
        <v>2593</v>
      </c>
      <c r="J1115" t="s">
        <v>8668</v>
      </c>
      <c r="L1115">
        <f t="shared" si="34"/>
        <v>0</v>
      </c>
      <c r="R1115" s="16" t="s">
        <v>8064</v>
      </c>
      <c r="S1115" s="16" t="s">
        <v>8064</v>
      </c>
      <c r="T1115" t="s">
        <v>7719</v>
      </c>
      <c r="U1115">
        <v>0</v>
      </c>
      <c r="V1115" t="s">
        <v>8655</v>
      </c>
      <c r="X1115" t="s">
        <v>8662</v>
      </c>
      <c r="Y1115">
        <f t="shared" si="35"/>
        <v>0</v>
      </c>
    </row>
    <row r="1116" spans="1:25" hidden="1">
      <c r="A1116" t="s">
        <v>7722</v>
      </c>
      <c r="B1116" s="4">
        <v>1296</v>
      </c>
      <c r="C1116" s="4">
        <v>1296</v>
      </c>
      <c r="D1116" s="4">
        <v>13</v>
      </c>
      <c r="E1116" t="s">
        <v>1444</v>
      </c>
      <c r="F1116" t="s">
        <v>2601</v>
      </c>
      <c r="H1116" t="s">
        <v>2593</v>
      </c>
      <c r="J1116" t="s">
        <v>8668</v>
      </c>
      <c r="L1116">
        <f t="shared" si="34"/>
        <v>0</v>
      </c>
      <c r="R1116" s="16" t="s">
        <v>8064</v>
      </c>
      <c r="S1116" s="16" t="s">
        <v>8064</v>
      </c>
      <c r="T1116" t="s">
        <v>7722</v>
      </c>
      <c r="U1116">
        <v>0</v>
      </c>
      <c r="V1116" t="s">
        <v>8655</v>
      </c>
      <c r="X1116" t="s">
        <v>8662</v>
      </c>
      <c r="Y1116">
        <f t="shared" si="35"/>
        <v>0</v>
      </c>
    </row>
    <row r="1117" spans="1:25" hidden="1">
      <c r="A1117" t="s">
        <v>7726</v>
      </c>
      <c r="B1117" s="4">
        <v>1300</v>
      </c>
      <c r="C1117" s="4">
        <v>1300</v>
      </c>
      <c r="D1117" s="4">
        <v>13</v>
      </c>
      <c r="E1117" t="s">
        <v>1444</v>
      </c>
      <c r="F1117" t="s">
        <v>2606</v>
      </c>
      <c r="H1117" t="s">
        <v>2593</v>
      </c>
      <c r="J1117" t="s">
        <v>8668</v>
      </c>
      <c r="L1117">
        <f t="shared" si="34"/>
        <v>0</v>
      </c>
      <c r="R1117" s="16" t="s">
        <v>8064</v>
      </c>
      <c r="S1117" s="16" t="s">
        <v>8064</v>
      </c>
      <c r="T1117" t="s">
        <v>7739</v>
      </c>
      <c r="U1117">
        <v>0</v>
      </c>
      <c r="V1117" t="s">
        <v>8655</v>
      </c>
      <c r="X1117" t="s">
        <v>8662</v>
      </c>
      <c r="Y1117">
        <f t="shared" si="35"/>
        <v>0</v>
      </c>
    </row>
    <row r="1118" spans="1:25" hidden="1">
      <c r="A1118" t="s">
        <v>2784</v>
      </c>
      <c r="B1118">
        <v>1263</v>
      </c>
      <c r="C1118">
        <v>1263</v>
      </c>
      <c r="D1118">
        <v>13</v>
      </c>
      <c r="E1118" t="s">
        <v>1444</v>
      </c>
      <c r="H1118" t="s">
        <v>5768</v>
      </c>
      <c r="J1118" t="s">
        <v>8668</v>
      </c>
      <c r="L1118">
        <f t="shared" si="34"/>
        <v>0</v>
      </c>
      <c r="R1118" s="16" t="s">
        <v>8064</v>
      </c>
      <c r="S1118" s="16" t="s">
        <v>8064</v>
      </c>
      <c r="T1118" t="s">
        <v>2784</v>
      </c>
      <c r="U1118">
        <v>0</v>
      </c>
      <c r="V1118" t="s">
        <v>8655</v>
      </c>
      <c r="X1118" t="s">
        <v>8664</v>
      </c>
      <c r="Y1118">
        <f t="shared" si="35"/>
        <v>0</v>
      </c>
    </row>
    <row r="1119" spans="1:25" hidden="1">
      <c r="A1119" t="s">
        <v>2564</v>
      </c>
      <c r="B1119" t="s">
        <v>2557</v>
      </c>
      <c r="C1119">
        <v>1053</v>
      </c>
      <c r="D1119">
        <v>11</v>
      </c>
      <c r="E1119" t="s">
        <v>2558</v>
      </c>
      <c r="F1119" t="s">
        <v>5176</v>
      </c>
      <c r="H1119" t="s">
        <v>5174</v>
      </c>
      <c r="J1119" t="s">
        <v>8668</v>
      </c>
      <c r="K1119" t="s">
        <v>2567</v>
      </c>
      <c r="L1119">
        <f t="shared" si="34"/>
        <v>1</v>
      </c>
      <c r="M1119" t="s">
        <v>6389</v>
      </c>
      <c r="N1119" t="s">
        <v>6389</v>
      </c>
      <c r="O1119" t="s">
        <v>6390</v>
      </c>
      <c r="P1119">
        <v>64790</v>
      </c>
      <c r="Q1119">
        <v>498110</v>
      </c>
      <c r="R1119" s="16" t="s">
        <v>8576</v>
      </c>
      <c r="S1119" s="16" t="s">
        <v>8281</v>
      </c>
      <c r="T1119" t="s">
        <v>2564</v>
      </c>
      <c r="U1119">
        <v>0</v>
      </c>
      <c r="V1119" t="s">
        <v>8654</v>
      </c>
      <c r="W1119" t="s">
        <v>6390</v>
      </c>
      <c r="X1119" t="s">
        <v>3504</v>
      </c>
      <c r="Y1119">
        <f t="shared" si="35"/>
        <v>1</v>
      </c>
    </row>
    <row r="1120" spans="1:25" hidden="1">
      <c r="A1120" t="s">
        <v>2373</v>
      </c>
      <c r="B1120" t="s">
        <v>2559</v>
      </c>
      <c r="C1120">
        <v>1087</v>
      </c>
      <c r="D1120">
        <v>11</v>
      </c>
      <c r="E1120" t="s">
        <v>11</v>
      </c>
      <c r="F1120" t="s">
        <v>5176</v>
      </c>
      <c r="H1120" t="s">
        <v>3046</v>
      </c>
      <c r="J1120" t="s">
        <v>8668</v>
      </c>
      <c r="K1120" t="s">
        <v>2374</v>
      </c>
      <c r="L1120">
        <f t="shared" si="34"/>
        <v>0</v>
      </c>
      <c r="R1120" s="16" t="s">
        <v>8064</v>
      </c>
      <c r="S1120" s="16" t="s">
        <v>8064</v>
      </c>
      <c r="T1120" t="s">
        <v>2373</v>
      </c>
      <c r="U1120">
        <v>0</v>
      </c>
      <c r="V1120" t="s">
        <v>8655</v>
      </c>
      <c r="X1120" t="s">
        <v>3504</v>
      </c>
      <c r="Y1120">
        <f t="shared" si="35"/>
        <v>0</v>
      </c>
    </row>
    <row r="1121" spans="1:25" hidden="1">
      <c r="A1121" t="s">
        <v>8870</v>
      </c>
      <c r="B1121" t="s">
        <v>2560</v>
      </c>
      <c r="C1121">
        <v>1239</v>
      </c>
      <c r="D1121">
        <v>13</v>
      </c>
      <c r="E1121" t="s">
        <v>104</v>
      </c>
      <c r="F1121" t="s">
        <v>5176</v>
      </c>
      <c r="H1121" t="s">
        <v>5175</v>
      </c>
      <c r="J1121" t="s">
        <v>8668</v>
      </c>
      <c r="K1121" t="s">
        <v>2377</v>
      </c>
      <c r="L1121">
        <f t="shared" si="34"/>
        <v>0</v>
      </c>
      <c r="R1121" s="16" t="s">
        <v>8064</v>
      </c>
      <c r="S1121" s="16" t="s">
        <v>8064</v>
      </c>
      <c r="T1121" t="s">
        <v>2563</v>
      </c>
      <c r="U1121">
        <v>0</v>
      </c>
      <c r="V1121" t="s">
        <v>8655</v>
      </c>
      <c r="X1121" t="s">
        <v>3504</v>
      </c>
      <c r="Y1121">
        <f t="shared" si="35"/>
        <v>0</v>
      </c>
    </row>
    <row r="1122" spans="1:25" hidden="1">
      <c r="A1122" t="s">
        <v>2565</v>
      </c>
      <c r="B1122" t="s">
        <v>2561</v>
      </c>
      <c r="C1122">
        <v>1264</v>
      </c>
      <c r="D1122">
        <v>13</v>
      </c>
      <c r="E1122" t="s">
        <v>11</v>
      </c>
      <c r="F1122" t="s">
        <v>5176</v>
      </c>
      <c r="H1122" t="s">
        <v>5179</v>
      </c>
      <c r="J1122" t="s">
        <v>8668</v>
      </c>
      <c r="K1122" t="s">
        <v>2568</v>
      </c>
      <c r="L1122">
        <f t="shared" si="34"/>
        <v>0</v>
      </c>
      <c r="R1122" s="16" t="s">
        <v>8064</v>
      </c>
      <c r="S1122" s="16" t="s">
        <v>8064</v>
      </c>
      <c r="T1122" t="s">
        <v>2565</v>
      </c>
      <c r="U1122">
        <v>0</v>
      </c>
      <c r="V1122" t="s">
        <v>8655</v>
      </c>
      <c r="X1122" t="s">
        <v>3504</v>
      </c>
      <c r="Y1122">
        <f t="shared" si="35"/>
        <v>0</v>
      </c>
    </row>
    <row r="1123" spans="1:25" hidden="1">
      <c r="A1123" t="s">
        <v>2375</v>
      </c>
      <c r="B1123" t="s">
        <v>5177</v>
      </c>
      <c r="C1123">
        <v>1282</v>
      </c>
      <c r="D1123">
        <v>13</v>
      </c>
      <c r="E1123" t="s">
        <v>104</v>
      </c>
      <c r="F1123" t="s">
        <v>5176</v>
      </c>
      <c r="H1123" t="s">
        <v>5178</v>
      </c>
      <c r="J1123" t="s">
        <v>8668</v>
      </c>
      <c r="K1123" t="s">
        <v>2376</v>
      </c>
      <c r="L1123">
        <f t="shared" si="34"/>
        <v>0</v>
      </c>
      <c r="R1123" s="16" t="s">
        <v>8064</v>
      </c>
      <c r="S1123" s="16" t="s">
        <v>8064</v>
      </c>
      <c r="T1123" t="s">
        <v>2375</v>
      </c>
      <c r="U1123">
        <v>0</v>
      </c>
      <c r="V1123" t="s">
        <v>8655</v>
      </c>
      <c r="X1123" t="s">
        <v>3504</v>
      </c>
      <c r="Y1123">
        <f t="shared" si="35"/>
        <v>0</v>
      </c>
    </row>
    <row r="1124" spans="1:25" hidden="1">
      <c r="A1124" t="s">
        <v>5180</v>
      </c>
      <c r="B1124">
        <v>1293</v>
      </c>
      <c r="C1124">
        <v>1293</v>
      </c>
      <c r="D1124">
        <v>13</v>
      </c>
      <c r="E1124" t="s">
        <v>1444</v>
      </c>
      <c r="F1124" t="s">
        <v>5176</v>
      </c>
      <c r="H1124" t="s">
        <v>5181</v>
      </c>
      <c r="J1124" t="s">
        <v>8668</v>
      </c>
      <c r="L1124">
        <f t="shared" si="34"/>
        <v>0</v>
      </c>
      <c r="R1124" s="16" t="s">
        <v>8064</v>
      </c>
      <c r="S1124" s="16" t="s">
        <v>8064</v>
      </c>
      <c r="T1124" t="s">
        <v>5180</v>
      </c>
      <c r="U1124">
        <v>0</v>
      </c>
      <c r="V1124" t="s">
        <v>8655</v>
      </c>
      <c r="X1124" t="s">
        <v>3504</v>
      </c>
      <c r="Y1124">
        <f t="shared" si="35"/>
        <v>0</v>
      </c>
    </row>
    <row r="1125" spans="1:25" hidden="1">
      <c r="A1125" t="s">
        <v>5183</v>
      </c>
      <c r="B1125" t="s">
        <v>5184</v>
      </c>
      <c r="C1125">
        <v>1198</v>
      </c>
      <c r="D1125">
        <v>12</v>
      </c>
      <c r="E1125" t="s">
        <v>5185</v>
      </c>
      <c r="F1125" t="s">
        <v>5186</v>
      </c>
      <c r="H1125" t="s">
        <v>3794</v>
      </c>
      <c r="J1125" t="s">
        <v>8668</v>
      </c>
      <c r="L1125">
        <f t="shared" si="34"/>
        <v>0</v>
      </c>
      <c r="R1125" s="16" t="s">
        <v>8064</v>
      </c>
      <c r="S1125" s="16" t="s">
        <v>8064</v>
      </c>
      <c r="T1125" t="s">
        <v>5183</v>
      </c>
      <c r="U1125">
        <v>0</v>
      </c>
      <c r="V1125" t="s">
        <v>8655</v>
      </c>
      <c r="X1125" t="s">
        <v>3504</v>
      </c>
      <c r="Y1125">
        <f t="shared" si="35"/>
        <v>0</v>
      </c>
    </row>
    <row r="1126" spans="1:25" hidden="1">
      <c r="A1126" t="s">
        <v>2372</v>
      </c>
      <c r="B1126">
        <v>1299</v>
      </c>
      <c r="C1126">
        <v>1299</v>
      </c>
      <c r="D1126">
        <v>13</v>
      </c>
      <c r="E1126" t="s">
        <v>5187</v>
      </c>
      <c r="F1126" t="s">
        <v>5186</v>
      </c>
      <c r="H1126" t="s">
        <v>5188</v>
      </c>
      <c r="J1126" t="s">
        <v>8668</v>
      </c>
      <c r="K1126" s="5" t="s">
        <v>2371</v>
      </c>
      <c r="L1126">
        <f t="shared" si="34"/>
        <v>1</v>
      </c>
      <c r="M1126" t="s">
        <v>6405</v>
      </c>
      <c r="N1126" t="s">
        <v>6369</v>
      </c>
      <c r="O1126" t="s">
        <v>104</v>
      </c>
      <c r="P1126">
        <v>43890</v>
      </c>
      <c r="Q1126">
        <v>476360</v>
      </c>
      <c r="R1126" s="16" t="s">
        <v>8496</v>
      </c>
      <c r="S1126" s="16" t="s">
        <v>8202</v>
      </c>
      <c r="T1126" t="s">
        <v>2372</v>
      </c>
      <c r="U1126">
        <v>0</v>
      </c>
      <c r="V1126" t="s">
        <v>8654</v>
      </c>
      <c r="W1126" t="s">
        <v>104</v>
      </c>
      <c r="X1126" t="s">
        <v>3504</v>
      </c>
      <c r="Y1126">
        <f t="shared" si="35"/>
        <v>1</v>
      </c>
    </row>
    <row r="1127" spans="1:25" hidden="1">
      <c r="A1127" t="s">
        <v>2311</v>
      </c>
      <c r="B1127" t="s">
        <v>6163</v>
      </c>
      <c r="C1127">
        <v>1088</v>
      </c>
      <c r="D1127">
        <v>11</v>
      </c>
      <c r="E1127" t="s">
        <v>6164</v>
      </c>
      <c r="F1127" t="s">
        <v>3793</v>
      </c>
      <c r="H1127" t="s">
        <v>3793</v>
      </c>
      <c r="J1127" s="5" t="s">
        <v>9136</v>
      </c>
      <c r="K1127" t="s">
        <v>2312</v>
      </c>
      <c r="L1127">
        <f t="shared" si="34"/>
        <v>1</v>
      </c>
      <c r="M1127" t="s">
        <v>5813</v>
      </c>
      <c r="N1127" t="s">
        <v>6480</v>
      </c>
      <c r="O1127" t="s">
        <v>6394</v>
      </c>
      <c r="P1127">
        <v>86330</v>
      </c>
      <c r="Q1127">
        <v>476960</v>
      </c>
      <c r="R1127" s="16" t="s">
        <v>8509</v>
      </c>
      <c r="S1127" s="16" t="s">
        <v>8339</v>
      </c>
      <c r="T1127" t="s">
        <v>2311</v>
      </c>
      <c r="U1127">
        <v>1</v>
      </c>
      <c r="V1127" t="s">
        <v>8654</v>
      </c>
      <c r="W1127" t="s">
        <v>6394</v>
      </c>
      <c r="X1127" t="s">
        <v>3793</v>
      </c>
      <c r="Y1127">
        <f t="shared" si="35"/>
        <v>1</v>
      </c>
    </row>
    <row r="1128" spans="1:25" hidden="1">
      <c r="A1128" t="s">
        <v>2313</v>
      </c>
      <c r="B1128" t="s">
        <v>6163</v>
      </c>
      <c r="C1128">
        <v>1088</v>
      </c>
      <c r="D1128">
        <v>11</v>
      </c>
      <c r="E1128" t="s">
        <v>6164</v>
      </c>
      <c r="F1128" t="s">
        <v>3793</v>
      </c>
      <c r="H1128" t="s">
        <v>3793</v>
      </c>
      <c r="J1128" s="5" t="s">
        <v>9137</v>
      </c>
      <c r="K1128" t="s">
        <v>2314</v>
      </c>
      <c r="L1128">
        <f t="shared" si="34"/>
        <v>1</v>
      </c>
      <c r="M1128" t="s">
        <v>5813</v>
      </c>
      <c r="N1128" t="s">
        <v>6480</v>
      </c>
      <c r="O1128" t="s">
        <v>6394</v>
      </c>
      <c r="P1128">
        <v>86330</v>
      </c>
      <c r="Q1128">
        <v>476960</v>
      </c>
      <c r="R1128" s="16" t="s">
        <v>8509</v>
      </c>
      <c r="S1128" s="16" t="s">
        <v>8339</v>
      </c>
      <c r="T1128" t="s">
        <v>2313</v>
      </c>
      <c r="U1128">
        <v>1</v>
      </c>
      <c r="V1128" t="s">
        <v>8654</v>
      </c>
      <c r="W1128" t="s">
        <v>6394</v>
      </c>
      <c r="X1128" t="s">
        <v>3793</v>
      </c>
      <c r="Y1128">
        <f t="shared" si="35"/>
        <v>1</v>
      </c>
    </row>
    <row r="1129" spans="1:25" hidden="1">
      <c r="A1129" t="s">
        <v>2315</v>
      </c>
      <c r="B1129" t="s">
        <v>6163</v>
      </c>
      <c r="C1129">
        <v>1088</v>
      </c>
      <c r="D1129">
        <v>11</v>
      </c>
      <c r="E1129" t="s">
        <v>6164</v>
      </c>
      <c r="F1129" t="s">
        <v>3793</v>
      </c>
      <c r="H1129" t="s">
        <v>3793</v>
      </c>
      <c r="J1129" s="5" t="s">
        <v>9138</v>
      </c>
      <c r="K1129" t="s">
        <v>2316</v>
      </c>
      <c r="L1129">
        <f t="shared" si="34"/>
        <v>1</v>
      </c>
      <c r="M1129" t="s">
        <v>5813</v>
      </c>
      <c r="N1129" t="s">
        <v>6480</v>
      </c>
      <c r="O1129" t="s">
        <v>6394</v>
      </c>
      <c r="P1129">
        <v>86330</v>
      </c>
      <c r="Q1129">
        <v>476960</v>
      </c>
      <c r="R1129" s="16" t="s">
        <v>8509</v>
      </c>
      <c r="S1129" s="16" t="s">
        <v>8339</v>
      </c>
      <c r="T1129" t="s">
        <v>2315</v>
      </c>
      <c r="U1129">
        <v>1</v>
      </c>
      <c r="V1129" t="s">
        <v>8654</v>
      </c>
      <c r="W1129" t="s">
        <v>6394</v>
      </c>
      <c r="X1129" t="s">
        <v>3793</v>
      </c>
      <c r="Y1129">
        <f t="shared" si="35"/>
        <v>1</v>
      </c>
    </row>
    <row r="1130" spans="1:25" hidden="1">
      <c r="A1130" t="s">
        <v>2317</v>
      </c>
      <c r="B1130" t="s">
        <v>6163</v>
      </c>
      <c r="C1130">
        <v>1088</v>
      </c>
      <c r="D1130">
        <v>11</v>
      </c>
      <c r="E1130" t="s">
        <v>6164</v>
      </c>
      <c r="F1130" t="s">
        <v>3793</v>
      </c>
      <c r="H1130" t="s">
        <v>3793</v>
      </c>
      <c r="J1130" s="5" t="s">
        <v>9139</v>
      </c>
      <c r="K1130" s="5" t="s">
        <v>2318</v>
      </c>
      <c r="L1130">
        <f t="shared" si="34"/>
        <v>1</v>
      </c>
      <c r="M1130" t="s">
        <v>5813</v>
      </c>
      <c r="N1130" t="s">
        <v>6480</v>
      </c>
      <c r="O1130" t="s">
        <v>6394</v>
      </c>
      <c r="P1130">
        <v>86330</v>
      </c>
      <c r="Q1130">
        <v>476960</v>
      </c>
      <c r="R1130" s="16" t="s">
        <v>8509</v>
      </c>
      <c r="S1130" s="16" t="s">
        <v>8339</v>
      </c>
      <c r="T1130" t="s">
        <v>2317</v>
      </c>
      <c r="U1130">
        <v>1</v>
      </c>
      <c r="V1130" t="s">
        <v>8654</v>
      </c>
      <c r="W1130" t="s">
        <v>6394</v>
      </c>
      <c r="X1130" t="s">
        <v>3793</v>
      </c>
      <c r="Y1130">
        <f t="shared" si="35"/>
        <v>1</v>
      </c>
    </row>
    <row r="1131" spans="1:25" hidden="1">
      <c r="A1131" t="s">
        <v>2319</v>
      </c>
      <c r="B1131" t="s">
        <v>6163</v>
      </c>
      <c r="C1131">
        <v>1088</v>
      </c>
      <c r="D1131">
        <v>11</v>
      </c>
      <c r="E1131" t="s">
        <v>6164</v>
      </c>
      <c r="F1131" t="s">
        <v>3793</v>
      </c>
      <c r="H1131" t="s">
        <v>3793</v>
      </c>
      <c r="J1131" s="5" t="s">
        <v>9140</v>
      </c>
      <c r="K1131" t="str">
        <f>"https://www.e-codices.unifr.ch/en/searchresult/list/one/sbs/min00"&amp;J1131</f>
        <v>https://www.e-codices.unifr.ch/en/searchresult/list/one/sbs/min00https://www.e-codices.unifr.ch/metadata/iiif/sbs-min0028/manifest.json</v>
      </c>
      <c r="L1131">
        <f t="shared" si="34"/>
        <v>1</v>
      </c>
      <c r="M1131" t="s">
        <v>5813</v>
      </c>
      <c r="N1131" t="s">
        <v>6480</v>
      </c>
      <c r="O1131" t="s">
        <v>6394</v>
      </c>
      <c r="P1131">
        <v>86330</v>
      </c>
      <c r="Q1131">
        <v>476960</v>
      </c>
      <c r="R1131" s="16" t="s">
        <v>8509</v>
      </c>
      <c r="S1131" s="16" t="s">
        <v>8339</v>
      </c>
      <c r="T1131" t="s">
        <v>2319</v>
      </c>
      <c r="U1131">
        <v>1</v>
      </c>
      <c r="V1131" t="s">
        <v>8654</v>
      </c>
      <c r="W1131" t="s">
        <v>6394</v>
      </c>
      <c r="X1131" t="s">
        <v>3793</v>
      </c>
      <c r="Y1131">
        <f t="shared" si="35"/>
        <v>1</v>
      </c>
    </row>
    <row r="1132" spans="1:25" hidden="1">
      <c r="A1132" t="s">
        <v>2322</v>
      </c>
      <c r="B1132" t="s">
        <v>6163</v>
      </c>
      <c r="C1132">
        <v>1088</v>
      </c>
      <c r="D1132">
        <v>11</v>
      </c>
      <c r="E1132" t="s">
        <v>6164</v>
      </c>
      <c r="F1132" t="s">
        <v>3793</v>
      </c>
      <c r="H1132" t="s">
        <v>3793</v>
      </c>
      <c r="J1132" s="5" t="s">
        <v>9141</v>
      </c>
      <c r="K1132" t="s">
        <v>2323</v>
      </c>
      <c r="L1132">
        <f t="shared" si="34"/>
        <v>1</v>
      </c>
      <c r="M1132" t="s">
        <v>5813</v>
      </c>
      <c r="N1132" t="s">
        <v>6480</v>
      </c>
      <c r="O1132" t="s">
        <v>6394</v>
      </c>
      <c r="P1132">
        <v>86330</v>
      </c>
      <c r="Q1132">
        <v>476960</v>
      </c>
      <c r="R1132" s="16" t="s">
        <v>8509</v>
      </c>
      <c r="S1132" s="16" t="s">
        <v>8339</v>
      </c>
      <c r="T1132" t="s">
        <v>2322</v>
      </c>
      <c r="U1132">
        <v>1</v>
      </c>
      <c r="V1132" t="s">
        <v>8654</v>
      </c>
      <c r="W1132" t="s">
        <v>6394</v>
      </c>
      <c r="X1132" t="s">
        <v>3793</v>
      </c>
      <c r="Y1132">
        <f t="shared" si="35"/>
        <v>1</v>
      </c>
    </row>
    <row r="1133" spans="1:25" hidden="1">
      <c r="A1133" t="s">
        <v>2324</v>
      </c>
      <c r="B1133" t="s">
        <v>6163</v>
      </c>
      <c r="C1133">
        <v>1088</v>
      </c>
      <c r="D1133">
        <v>11</v>
      </c>
      <c r="E1133" t="s">
        <v>6164</v>
      </c>
      <c r="F1133" t="s">
        <v>3793</v>
      </c>
      <c r="H1133" t="s">
        <v>3793</v>
      </c>
      <c r="J1133" s="5" t="s">
        <v>9142</v>
      </c>
      <c r="K1133" t="s">
        <v>2325</v>
      </c>
      <c r="L1133">
        <f t="shared" si="34"/>
        <v>1</v>
      </c>
      <c r="M1133" t="s">
        <v>5813</v>
      </c>
      <c r="N1133" t="s">
        <v>6480</v>
      </c>
      <c r="O1133" t="s">
        <v>6394</v>
      </c>
      <c r="P1133">
        <v>86330</v>
      </c>
      <c r="Q1133">
        <v>476960</v>
      </c>
      <c r="R1133" s="16" t="s">
        <v>8509</v>
      </c>
      <c r="S1133" s="16" t="s">
        <v>8339</v>
      </c>
      <c r="T1133" t="s">
        <v>2324</v>
      </c>
      <c r="U1133">
        <v>1</v>
      </c>
      <c r="V1133" t="s">
        <v>8654</v>
      </c>
      <c r="W1133" t="s">
        <v>6394</v>
      </c>
      <c r="X1133" t="s">
        <v>3793</v>
      </c>
      <c r="Y1133">
        <f t="shared" si="35"/>
        <v>1</v>
      </c>
    </row>
    <row r="1134" spans="1:25" hidden="1">
      <c r="A1134" t="s">
        <v>2326</v>
      </c>
      <c r="B1134" t="s">
        <v>6163</v>
      </c>
      <c r="C1134">
        <v>1088</v>
      </c>
      <c r="D1134">
        <v>11</v>
      </c>
      <c r="E1134" t="s">
        <v>6164</v>
      </c>
      <c r="F1134" t="s">
        <v>3793</v>
      </c>
      <c r="H1134" t="s">
        <v>3793</v>
      </c>
      <c r="J1134" s="5" t="s">
        <v>9143</v>
      </c>
      <c r="K1134" t="s">
        <v>2327</v>
      </c>
      <c r="L1134">
        <f t="shared" si="34"/>
        <v>1</v>
      </c>
      <c r="M1134" t="s">
        <v>5813</v>
      </c>
      <c r="N1134" t="s">
        <v>6480</v>
      </c>
      <c r="O1134" t="s">
        <v>6394</v>
      </c>
      <c r="P1134">
        <v>86330</v>
      </c>
      <c r="Q1134">
        <v>476960</v>
      </c>
      <c r="R1134" s="16" t="s">
        <v>8509</v>
      </c>
      <c r="S1134" s="16" t="s">
        <v>8339</v>
      </c>
      <c r="T1134" t="s">
        <v>2326</v>
      </c>
      <c r="U1134">
        <v>1</v>
      </c>
      <c r="V1134" t="s">
        <v>8654</v>
      </c>
      <c r="W1134" t="s">
        <v>6394</v>
      </c>
      <c r="X1134" t="s">
        <v>3793</v>
      </c>
      <c r="Y1134">
        <f t="shared" si="35"/>
        <v>1</v>
      </c>
    </row>
    <row r="1135" spans="1:25" hidden="1">
      <c r="A1135" t="s">
        <v>2328</v>
      </c>
      <c r="B1135" t="s">
        <v>6163</v>
      </c>
      <c r="C1135">
        <v>1088</v>
      </c>
      <c r="D1135">
        <v>11</v>
      </c>
      <c r="E1135" t="s">
        <v>6164</v>
      </c>
      <c r="F1135" t="s">
        <v>3793</v>
      </c>
      <c r="H1135" t="s">
        <v>3793</v>
      </c>
      <c r="J1135" s="5" t="s">
        <v>9144</v>
      </c>
      <c r="K1135" t="s">
        <v>2329</v>
      </c>
      <c r="L1135">
        <f t="shared" si="34"/>
        <v>1</v>
      </c>
      <c r="M1135" t="s">
        <v>5813</v>
      </c>
      <c r="N1135" t="s">
        <v>6480</v>
      </c>
      <c r="O1135" t="s">
        <v>6394</v>
      </c>
      <c r="P1135">
        <v>86330</v>
      </c>
      <c r="Q1135">
        <v>476960</v>
      </c>
      <c r="R1135" s="16" t="s">
        <v>8509</v>
      </c>
      <c r="S1135" s="16" t="s">
        <v>8339</v>
      </c>
      <c r="T1135" t="s">
        <v>2328</v>
      </c>
      <c r="U1135">
        <v>1</v>
      </c>
      <c r="V1135" t="s">
        <v>8654</v>
      </c>
      <c r="W1135" t="s">
        <v>6394</v>
      </c>
      <c r="X1135" t="s">
        <v>3793</v>
      </c>
      <c r="Y1135">
        <f t="shared" si="35"/>
        <v>1</v>
      </c>
    </row>
    <row r="1136" spans="1:25" hidden="1">
      <c r="A1136" t="s">
        <v>2330</v>
      </c>
      <c r="B1136" t="s">
        <v>6163</v>
      </c>
      <c r="C1136">
        <v>1088</v>
      </c>
      <c r="D1136">
        <v>11</v>
      </c>
      <c r="E1136" t="s">
        <v>6164</v>
      </c>
      <c r="F1136" t="s">
        <v>3793</v>
      </c>
      <c r="H1136" t="s">
        <v>3793</v>
      </c>
      <c r="J1136" s="5" t="s">
        <v>9145</v>
      </c>
      <c r="K1136" t="s">
        <v>2331</v>
      </c>
      <c r="L1136">
        <f t="shared" si="34"/>
        <v>1</v>
      </c>
      <c r="M1136" t="s">
        <v>5813</v>
      </c>
      <c r="N1136" t="s">
        <v>6480</v>
      </c>
      <c r="O1136" t="s">
        <v>6394</v>
      </c>
      <c r="P1136">
        <v>86330</v>
      </c>
      <c r="Q1136">
        <v>476960</v>
      </c>
      <c r="R1136" s="16" t="s">
        <v>8509</v>
      </c>
      <c r="S1136" s="16" t="s">
        <v>8339</v>
      </c>
      <c r="T1136" t="s">
        <v>2330</v>
      </c>
      <c r="U1136">
        <v>1</v>
      </c>
      <c r="V1136" t="s">
        <v>8654</v>
      </c>
      <c r="W1136" t="s">
        <v>6394</v>
      </c>
      <c r="X1136" t="s">
        <v>3793</v>
      </c>
      <c r="Y1136">
        <f t="shared" si="35"/>
        <v>1</v>
      </c>
    </row>
    <row r="1137" spans="1:25" hidden="1">
      <c r="A1137" t="s">
        <v>2332</v>
      </c>
      <c r="B1137" t="s">
        <v>6163</v>
      </c>
      <c r="C1137">
        <v>1088</v>
      </c>
      <c r="D1137">
        <v>11</v>
      </c>
      <c r="E1137" t="s">
        <v>6164</v>
      </c>
      <c r="F1137" t="s">
        <v>3793</v>
      </c>
      <c r="H1137" t="s">
        <v>3793</v>
      </c>
      <c r="J1137" s="5" t="s">
        <v>9146</v>
      </c>
      <c r="K1137" t="s">
        <v>2333</v>
      </c>
      <c r="L1137">
        <f t="shared" si="34"/>
        <v>1</v>
      </c>
      <c r="M1137" t="s">
        <v>5813</v>
      </c>
      <c r="N1137" t="s">
        <v>6480</v>
      </c>
      <c r="O1137" t="s">
        <v>6394</v>
      </c>
      <c r="P1137">
        <v>86330</v>
      </c>
      <c r="Q1137">
        <v>476960</v>
      </c>
      <c r="R1137" s="16" t="s">
        <v>8509</v>
      </c>
      <c r="S1137" s="16" t="s">
        <v>8339</v>
      </c>
      <c r="T1137" t="s">
        <v>2332</v>
      </c>
      <c r="U1137">
        <v>1</v>
      </c>
      <c r="V1137" t="s">
        <v>8654</v>
      </c>
      <c r="W1137" t="s">
        <v>6394</v>
      </c>
      <c r="X1137" t="s">
        <v>3793</v>
      </c>
      <c r="Y1137">
        <f t="shared" si="35"/>
        <v>1</v>
      </c>
    </row>
    <row r="1138" spans="1:25" hidden="1">
      <c r="A1138" t="s">
        <v>2334</v>
      </c>
      <c r="B1138" t="s">
        <v>6163</v>
      </c>
      <c r="C1138">
        <v>1088</v>
      </c>
      <c r="D1138">
        <v>11</v>
      </c>
      <c r="E1138" t="s">
        <v>6164</v>
      </c>
      <c r="F1138" t="s">
        <v>3793</v>
      </c>
      <c r="H1138" t="s">
        <v>3793</v>
      </c>
      <c r="J1138" s="5" t="s">
        <v>9147</v>
      </c>
      <c r="K1138" t="s">
        <v>2335</v>
      </c>
      <c r="L1138">
        <f t="shared" si="34"/>
        <v>1</v>
      </c>
      <c r="M1138" t="s">
        <v>5813</v>
      </c>
      <c r="N1138" t="s">
        <v>6480</v>
      </c>
      <c r="O1138" t="s">
        <v>6394</v>
      </c>
      <c r="P1138">
        <v>86330</v>
      </c>
      <c r="Q1138">
        <v>476960</v>
      </c>
      <c r="R1138" s="16" t="s">
        <v>8509</v>
      </c>
      <c r="S1138" s="16" t="s">
        <v>8339</v>
      </c>
      <c r="T1138" t="s">
        <v>2334</v>
      </c>
      <c r="U1138">
        <v>1</v>
      </c>
      <c r="V1138" t="s">
        <v>8654</v>
      </c>
      <c r="W1138" t="s">
        <v>6394</v>
      </c>
      <c r="X1138" t="s">
        <v>3793</v>
      </c>
      <c r="Y1138">
        <f t="shared" si="35"/>
        <v>1</v>
      </c>
    </row>
    <row r="1139" spans="1:25" hidden="1">
      <c r="A1139" t="s">
        <v>2336</v>
      </c>
      <c r="B1139" t="s">
        <v>6163</v>
      </c>
      <c r="C1139">
        <v>1088</v>
      </c>
      <c r="D1139">
        <v>11</v>
      </c>
      <c r="E1139" t="s">
        <v>6164</v>
      </c>
      <c r="F1139" t="s">
        <v>3793</v>
      </c>
      <c r="H1139" t="s">
        <v>3793</v>
      </c>
      <c r="J1139" s="5" t="s">
        <v>9148</v>
      </c>
      <c r="K1139" t="s">
        <v>2337</v>
      </c>
      <c r="L1139">
        <f t="shared" si="34"/>
        <v>1</v>
      </c>
      <c r="M1139" t="s">
        <v>5813</v>
      </c>
      <c r="N1139" t="s">
        <v>6480</v>
      </c>
      <c r="O1139" t="s">
        <v>6394</v>
      </c>
      <c r="P1139">
        <v>86330</v>
      </c>
      <c r="Q1139">
        <v>476960</v>
      </c>
      <c r="R1139" s="16" t="s">
        <v>8509</v>
      </c>
      <c r="S1139" s="16" t="s">
        <v>8339</v>
      </c>
      <c r="T1139" t="s">
        <v>2336</v>
      </c>
      <c r="U1139">
        <v>1</v>
      </c>
      <c r="V1139" t="s">
        <v>8654</v>
      </c>
      <c r="W1139" t="s">
        <v>6394</v>
      </c>
      <c r="X1139" t="s">
        <v>3793</v>
      </c>
      <c r="Y1139">
        <f t="shared" si="35"/>
        <v>1</v>
      </c>
    </row>
    <row r="1140" spans="1:25" hidden="1">
      <c r="A1140" t="s">
        <v>2352</v>
      </c>
      <c r="B1140" t="s">
        <v>6163</v>
      </c>
      <c r="C1140">
        <v>1088</v>
      </c>
      <c r="D1140">
        <v>11</v>
      </c>
      <c r="E1140" t="s">
        <v>5813</v>
      </c>
      <c r="F1140" t="s">
        <v>3793</v>
      </c>
      <c r="H1140" t="s">
        <v>3793</v>
      </c>
      <c r="J1140" s="5" t="s">
        <v>9149</v>
      </c>
      <c r="K1140" t="s">
        <v>2353</v>
      </c>
      <c r="L1140">
        <f t="shared" si="34"/>
        <v>1</v>
      </c>
      <c r="M1140" t="s">
        <v>5813</v>
      </c>
      <c r="N1140" t="s">
        <v>6480</v>
      </c>
      <c r="O1140" t="s">
        <v>6394</v>
      </c>
      <c r="P1140">
        <v>86330</v>
      </c>
      <c r="Q1140">
        <v>476960</v>
      </c>
      <c r="R1140" s="16" t="s">
        <v>8509</v>
      </c>
      <c r="S1140" s="16" t="s">
        <v>8339</v>
      </c>
      <c r="T1140" t="s">
        <v>2352</v>
      </c>
      <c r="U1140">
        <v>1</v>
      </c>
      <c r="V1140" t="s">
        <v>8654</v>
      </c>
      <c r="W1140" t="s">
        <v>6394</v>
      </c>
      <c r="X1140" t="s">
        <v>3793</v>
      </c>
      <c r="Y1140">
        <f t="shared" si="35"/>
        <v>1</v>
      </c>
    </row>
    <row r="1141" spans="1:25" hidden="1">
      <c r="A1141" t="s">
        <v>2309</v>
      </c>
      <c r="B1141" t="s">
        <v>6163</v>
      </c>
      <c r="C1141">
        <v>1088</v>
      </c>
      <c r="D1141">
        <v>11</v>
      </c>
      <c r="E1141" t="s">
        <v>5813</v>
      </c>
      <c r="F1141" t="s">
        <v>3793</v>
      </c>
      <c r="H1141" t="s">
        <v>3793</v>
      </c>
      <c r="J1141" s="5" t="s">
        <v>9150</v>
      </c>
      <c r="K1141" t="s">
        <v>2310</v>
      </c>
      <c r="L1141">
        <f t="shared" si="34"/>
        <v>1</v>
      </c>
      <c r="M1141" t="s">
        <v>5813</v>
      </c>
      <c r="N1141" t="s">
        <v>6480</v>
      </c>
      <c r="O1141" t="s">
        <v>6394</v>
      </c>
      <c r="P1141">
        <v>86330</v>
      </c>
      <c r="Q1141">
        <v>476960</v>
      </c>
      <c r="R1141" s="16" t="s">
        <v>8509</v>
      </c>
      <c r="S1141" s="16" t="s">
        <v>8339</v>
      </c>
      <c r="T1141" t="s">
        <v>2309</v>
      </c>
      <c r="U1141">
        <v>1</v>
      </c>
      <c r="V1141" t="s">
        <v>8654</v>
      </c>
      <c r="W1141" t="s">
        <v>6394</v>
      </c>
      <c r="X1141" t="s">
        <v>3793</v>
      </c>
      <c r="Y1141">
        <f t="shared" si="35"/>
        <v>1</v>
      </c>
    </row>
    <row r="1142" spans="1:25" hidden="1">
      <c r="A1142" t="s">
        <v>2303</v>
      </c>
      <c r="B1142" t="s">
        <v>6163</v>
      </c>
      <c r="C1142">
        <v>1088</v>
      </c>
      <c r="D1142">
        <v>11</v>
      </c>
      <c r="E1142" t="s">
        <v>5813</v>
      </c>
      <c r="F1142" t="s">
        <v>3793</v>
      </c>
      <c r="H1142" t="s">
        <v>3793</v>
      </c>
      <c r="J1142" s="5" t="s">
        <v>9151</v>
      </c>
      <c r="K1142" s="5" t="s">
        <v>2304</v>
      </c>
      <c r="L1142">
        <f t="shared" si="34"/>
        <v>1</v>
      </c>
      <c r="M1142" t="s">
        <v>5813</v>
      </c>
      <c r="N1142" t="s">
        <v>6480</v>
      </c>
      <c r="O1142" t="s">
        <v>6394</v>
      </c>
      <c r="P1142">
        <v>86330</v>
      </c>
      <c r="Q1142">
        <v>476960</v>
      </c>
      <c r="R1142" s="16" t="s">
        <v>8509</v>
      </c>
      <c r="S1142" s="16" t="s">
        <v>8339</v>
      </c>
      <c r="T1142" t="s">
        <v>2303</v>
      </c>
      <c r="U1142">
        <v>1</v>
      </c>
      <c r="V1142" t="s">
        <v>8654</v>
      </c>
      <c r="W1142" t="s">
        <v>6394</v>
      </c>
      <c r="X1142" t="s">
        <v>3793</v>
      </c>
      <c r="Y1142">
        <f t="shared" si="35"/>
        <v>1</v>
      </c>
    </row>
    <row r="1143" spans="1:25" hidden="1">
      <c r="A1143" t="s">
        <v>2305</v>
      </c>
      <c r="B1143" t="s">
        <v>6163</v>
      </c>
      <c r="C1143">
        <v>1088</v>
      </c>
      <c r="D1143">
        <v>11</v>
      </c>
      <c r="E1143" t="s">
        <v>5813</v>
      </c>
      <c r="F1143" t="s">
        <v>3793</v>
      </c>
      <c r="H1143" t="s">
        <v>3793</v>
      </c>
      <c r="J1143" s="5" t="s">
        <v>9152</v>
      </c>
      <c r="K1143" t="s">
        <v>2306</v>
      </c>
      <c r="L1143">
        <f t="shared" si="34"/>
        <v>1</v>
      </c>
      <c r="M1143" t="s">
        <v>5813</v>
      </c>
      <c r="N1143" t="s">
        <v>6480</v>
      </c>
      <c r="O1143" t="s">
        <v>6394</v>
      </c>
      <c r="P1143">
        <v>86330</v>
      </c>
      <c r="Q1143">
        <v>476960</v>
      </c>
      <c r="R1143" s="16" t="s">
        <v>8509</v>
      </c>
      <c r="S1143" s="16" t="s">
        <v>8339</v>
      </c>
      <c r="T1143" t="s">
        <v>2305</v>
      </c>
      <c r="U1143">
        <v>1</v>
      </c>
      <c r="V1143" t="s">
        <v>8654</v>
      </c>
      <c r="W1143" t="s">
        <v>6394</v>
      </c>
      <c r="X1143" t="s">
        <v>3793</v>
      </c>
      <c r="Y1143">
        <f t="shared" si="35"/>
        <v>1</v>
      </c>
    </row>
    <row r="1144" spans="1:25" hidden="1">
      <c r="A1144" t="s">
        <v>2338</v>
      </c>
      <c r="B1144" t="s">
        <v>6163</v>
      </c>
      <c r="C1144">
        <v>1088</v>
      </c>
      <c r="D1144">
        <v>11</v>
      </c>
      <c r="E1144" t="s">
        <v>5813</v>
      </c>
      <c r="F1144" t="s">
        <v>3793</v>
      </c>
      <c r="H1144" t="s">
        <v>3793</v>
      </c>
      <c r="J1144" s="5" t="s">
        <v>9153</v>
      </c>
      <c r="K1144" t="s">
        <v>2339</v>
      </c>
      <c r="L1144">
        <f t="shared" si="34"/>
        <v>1</v>
      </c>
      <c r="M1144" t="s">
        <v>5813</v>
      </c>
      <c r="N1144" t="s">
        <v>6480</v>
      </c>
      <c r="O1144" t="s">
        <v>6394</v>
      </c>
      <c r="P1144">
        <v>86330</v>
      </c>
      <c r="Q1144">
        <v>476960</v>
      </c>
      <c r="R1144" s="16" t="s">
        <v>8509</v>
      </c>
      <c r="S1144" s="16" t="s">
        <v>8339</v>
      </c>
      <c r="T1144" t="s">
        <v>2338</v>
      </c>
      <c r="U1144">
        <v>1</v>
      </c>
      <c r="V1144" t="s">
        <v>8654</v>
      </c>
      <c r="W1144" t="s">
        <v>6394</v>
      </c>
      <c r="X1144" t="s">
        <v>3793</v>
      </c>
      <c r="Y1144">
        <f t="shared" si="35"/>
        <v>1</v>
      </c>
    </row>
    <row r="1145" spans="1:25" hidden="1">
      <c r="A1145" t="s">
        <v>2340</v>
      </c>
      <c r="B1145" t="s">
        <v>6163</v>
      </c>
      <c r="C1145">
        <v>1088</v>
      </c>
      <c r="D1145">
        <v>11</v>
      </c>
      <c r="E1145" t="s">
        <v>5813</v>
      </c>
      <c r="F1145" t="s">
        <v>3793</v>
      </c>
      <c r="H1145" t="s">
        <v>3793</v>
      </c>
      <c r="J1145" s="5" t="s">
        <v>9154</v>
      </c>
      <c r="K1145" t="s">
        <v>2341</v>
      </c>
      <c r="L1145">
        <f t="shared" si="34"/>
        <v>1</v>
      </c>
      <c r="M1145" t="s">
        <v>5813</v>
      </c>
      <c r="N1145" t="s">
        <v>6480</v>
      </c>
      <c r="O1145" t="s">
        <v>6394</v>
      </c>
      <c r="P1145">
        <v>86330</v>
      </c>
      <c r="Q1145">
        <v>476960</v>
      </c>
      <c r="R1145" s="16" t="s">
        <v>8509</v>
      </c>
      <c r="S1145" s="16" t="s">
        <v>8339</v>
      </c>
      <c r="T1145" t="s">
        <v>2340</v>
      </c>
      <c r="U1145">
        <v>1</v>
      </c>
      <c r="V1145" t="s">
        <v>8654</v>
      </c>
      <c r="W1145" t="s">
        <v>6394</v>
      </c>
      <c r="X1145" t="s">
        <v>3793</v>
      </c>
      <c r="Y1145">
        <f t="shared" si="35"/>
        <v>1</v>
      </c>
    </row>
    <row r="1146" spans="1:25" hidden="1">
      <c r="A1146" t="s">
        <v>2342</v>
      </c>
      <c r="B1146" t="s">
        <v>6163</v>
      </c>
      <c r="C1146">
        <v>1088</v>
      </c>
      <c r="D1146">
        <v>11</v>
      </c>
      <c r="E1146" t="s">
        <v>5813</v>
      </c>
      <c r="F1146" t="s">
        <v>3793</v>
      </c>
      <c r="H1146" t="s">
        <v>3793</v>
      </c>
      <c r="J1146" s="5" t="s">
        <v>9155</v>
      </c>
      <c r="K1146" t="s">
        <v>2343</v>
      </c>
      <c r="L1146">
        <f t="shared" si="34"/>
        <v>1</v>
      </c>
      <c r="M1146" t="s">
        <v>5813</v>
      </c>
      <c r="N1146" t="s">
        <v>6480</v>
      </c>
      <c r="O1146" t="s">
        <v>6394</v>
      </c>
      <c r="P1146">
        <v>86330</v>
      </c>
      <c r="Q1146">
        <v>476960</v>
      </c>
      <c r="R1146" s="16" t="s">
        <v>8509</v>
      </c>
      <c r="S1146" s="16" t="s">
        <v>8339</v>
      </c>
      <c r="T1146" t="s">
        <v>2342</v>
      </c>
      <c r="U1146">
        <v>1</v>
      </c>
      <c r="V1146" t="s">
        <v>8654</v>
      </c>
      <c r="W1146" t="s">
        <v>6394</v>
      </c>
      <c r="X1146" t="s">
        <v>3793</v>
      </c>
      <c r="Y1146">
        <f t="shared" si="35"/>
        <v>1</v>
      </c>
    </row>
    <row r="1147" spans="1:25" hidden="1">
      <c r="A1147" t="s">
        <v>2344</v>
      </c>
      <c r="B1147" t="s">
        <v>6163</v>
      </c>
      <c r="C1147">
        <v>1088</v>
      </c>
      <c r="D1147">
        <v>11</v>
      </c>
      <c r="E1147" t="s">
        <v>5813</v>
      </c>
      <c r="F1147" t="s">
        <v>3793</v>
      </c>
      <c r="H1147" t="s">
        <v>3793</v>
      </c>
      <c r="J1147" s="5" t="s">
        <v>9156</v>
      </c>
      <c r="K1147" t="s">
        <v>2345</v>
      </c>
      <c r="L1147">
        <f t="shared" si="34"/>
        <v>1</v>
      </c>
      <c r="M1147" t="s">
        <v>5813</v>
      </c>
      <c r="N1147" t="s">
        <v>6480</v>
      </c>
      <c r="O1147" t="s">
        <v>6394</v>
      </c>
      <c r="P1147">
        <v>86330</v>
      </c>
      <c r="Q1147">
        <v>476960</v>
      </c>
      <c r="R1147" s="16" t="s">
        <v>8509</v>
      </c>
      <c r="S1147" s="16" t="s">
        <v>8339</v>
      </c>
      <c r="T1147" t="s">
        <v>2344</v>
      </c>
      <c r="U1147">
        <v>1</v>
      </c>
      <c r="V1147" t="s">
        <v>8654</v>
      </c>
      <c r="W1147" t="s">
        <v>6394</v>
      </c>
      <c r="X1147" t="s">
        <v>3793</v>
      </c>
      <c r="Y1147">
        <f t="shared" si="35"/>
        <v>1</v>
      </c>
    </row>
    <row r="1148" spans="1:25" hidden="1">
      <c r="A1148" t="s">
        <v>2346</v>
      </c>
      <c r="B1148" t="s">
        <v>6163</v>
      </c>
      <c r="C1148">
        <v>1088</v>
      </c>
      <c r="D1148">
        <v>11</v>
      </c>
      <c r="E1148" t="s">
        <v>5813</v>
      </c>
      <c r="F1148" t="s">
        <v>3793</v>
      </c>
      <c r="H1148" t="s">
        <v>3793</v>
      </c>
      <c r="J1148" s="5" t="s">
        <v>9157</v>
      </c>
      <c r="K1148" t="s">
        <v>2347</v>
      </c>
      <c r="L1148">
        <f t="shared" si="34"/>
        <v>1</v>
      </c>
      <c r="M1148" t="s">
        <v>5813</v>
      </c>
      <c r="N1148" t="s">
        <v>6480</v>
      </c>
      <c r="O1148" t="s">
        <v>6394</v>
      </c>
      <c r="P1148">
        <v>86330</v>
      </c>
      <c r="Q1148">
        <v>476960</v>
      </c>
      <c r="R1148" s="16" t="s">
        <v>8509</v>
      </c>
      <c r="S1148" s="16" t="s">
        <v>8339</v>
      </c>
      <c r="T1148" t="s">
        <v>2346</v>
      </c>
      <c r="U1148">
        <v>1</v>
      </c>
      <c r="V1148" t="s">
        <v>8654</v>
      </c>
      <c r="W1148" t="s">
        <v>6394</v>
      </c>
      <c r="X1148" t="s">
        <v>3793</v>
      </c>
      <c r="Y1148">
        <f t="shared" si="35"/>
        <v>1</v>
      </c>
    </row>
    <row r="1149" spans="1:25" hidden="1">
      <c r="A1149" t="s">
        <v>2348</v>
      </c>
      <c r="B1149" t="s">
        <v>6163</v>
      </c>
      <c r="C1149">
        <v>1088</v>
      </c>
      <c r="D1149">
        <v>11</v>
      </c>
      <c r="E1149" t="s">
        <v>5813</v>
      </c>
      <c r="F1149" t="s">
        <v>3793</v>
      </c>
      <c r="H1149" t="s">
        <v>3793</v>
      </c>
      <c r="J1149" s="5" t="s">
        <v>9158</v>
      </c>
      <c r="K1149" t="s">
        <v>2349</v>
      </c>
      <c r="L1149">
        <f t="shared" si="34"/>
        <v>1</v>
      </c>
      <c r="M1149" t="s">
        <v>5813</v>
      </c>
      <c r="N1149" t="s">
        <v>6480</v>
      </c>
      <c r="O1149" t="s">
        <v>6394</v>
      </c>
      <c r="P1149">
        <v>86330</v>
      </c>
      <c r="Q1149">
        <v>476960</v>
      </c>
      <c r="R1149" s="16" t="s">
        <v>8509</v>
      </c>
      <c r="S1149" s="16" t="s">
        <v>8339</v>
      </c>
      <c r="T1149" t="s">
        <v>2348</v>
      </c>
      <c r="U1149">
        <v>1</v>
      </c>
      <c r="V1149" t="s">
        <v>8654</v>
      </c>
      <c r="W1149" t="s">
        <v>6394</v>
      </c>
      <c r="X1149" t="s">
        <v>3793</v>
      </c>
      <c r="Y1149">
        <f t="shared" si="35"/>
        <v>1</v>
      </c>
    </row>
    <row r="1150" spans="1:25" hidden="1">
      <c r="A1150" t="s">
        <v>2320</v>
      </c>
      <c r="B1150" t="s">
        <v>6163</v>
      </c>
      <c r="C1150">
        <v>1088</v>
      </c>
      <c r="D1150">
        <v>11</v>
      </c>
      <c r="E1150" t="s">
        <v>6164</v>
      </c>
      <c r="F1150" t="s">
        <v>3793</v>
      </c>
      <c r="H1150" t="s">
        <v>3793</v>
      </c>
      <c r="J1150" s="5" t="s">
        <v>9094</v>
      </c>
      <c r="K1150" t="s">
        <v>2321</v>
      </c>
      <c r="L1150">
        <f t="shared" si="34"/>
        <v>1</v>
      </c>
      <c r="M1150" t="s">
        <v>5813</v>
      </c>
      <c r="N1150" t="s">
        <v>6480</v>
      </c>
      <c r="O1150" t="s">
        <v>6394</v>
      </c>
      <c r="P1150">
        <v>86330</v>
      </c>
      <c r="Q1150">
        <v>476960</v>
      </c>
      <c r="R1150" s="16" t="s">
        <v>8509</v>
      </c>
      <c r="S1150" s="16" t="s">
        <v>8339</v>
      </c>
      <c r="T1150" t="s">
        <v>2320</v>
      </c>
      <c r="U1150">
        <v>1</v>
      </c>
      <c r="V1150" t="s">
        <v>8656</v>
      </c>
      <c r="W1150" t="s">
        <v>6394</v>
      </c>
      <c r="X1150" t="s">
        <v>3793</v>
      </c>
      <c r="Y1150">
        <f t="shared" si="35"/>
        <v>1</v>
      </c>
    </row>
    <row r="1151" spans="1:25" hidden="1">
      <c r="A1151" t="s">
        <v>2307</v>
      </c>
      <c r="B1151" t="s">
        <v>6163</v>
      </c>
      <c r="C1151">
        <v>1088</v>
      </c>
      <c r="D1151">
        <v>11</v>
      </c>
      <c r="E1151" t="s">
        <v>6164</v>
      </c>
      <c r="F1151" t="s">
        <v>3793</v>
      </c>
      <c r="H1151" t="s">
        <v>3793</v>
      </c>
      <c r="J1151" t="s">
        <v>9095</v>
      </c>
      <c r="K1151" t="s">
        <v>2308</v>
      </c>
      <c r="L1151">
        <f t="shared" si="34"/>
        <v>1</v>
      </c>
      <c r="M1151" t="s">
        <v>5813</v>
      </c>
      <c r="N1151" t="s">
        <v>6480</v>
      </c>
      <c r="O1151" t="s">
        <v>6394</v>
      </c>
      <c r="P1151">
        <v>86330</v>
      </c>
      <c r="Q1151">
        <v>476960</v>
      </c>
      <c r="R1151" s="16" t="s">
        <v>8509</v>
      </c>
      <c r="S1151" s="16" t="s">
        <v>8339</v>
      </c>
      <c r="T1151" t="s">
        <v>2307</v>
      </c>
      <c r="U1151">
        <v>1</v>
      </c>
      <c r="V1151" t="s">
        <v>8656</v>
      </c>
      <c r="W1151" t="s">
        <v>6394</v>
      </c>
      <c r="X1151" t="s">
        <v>3793</v>
      </c>
      <c r="Y1151">
        <f t="shared" si="35"/>
        <v>1</v>
      </c>
    </row>
    <row r="1152" spans="1:25" hidden="1">
      <c r="A1152" t="s">
        <v>2350</v>
      </c>
      <c r="B1152" t="s">
        <v>6163</v>
      </c>
      <c r="C1152">
        <v>1088</v>
      </c>
      <c r="D1152">
        <v>11</v>
      </c>
      <c r="E1152" t="s">
        <v>5813</v>
      </c>
      <c r="F1152" t="s">
        <v>3793</v>
      </c>
      <c r="H1152" t="s">
        <v>3793</v>
      </c>
      <c r="J1152" t="s">
        <v>9096</v>
      </c>
      <c r="K1152" t="s">
        <v>2351</v>
      </c>
      <c r="L1152">
        <f t="shared" si="34"/>
        <v>1</v>
      </c>
      <c r="M1152" t="s">
        <v>5813</v>
      </c>
      <c r="N1152" t="s">
        <v>6480</v>
      </c>
      <c r="O1152" t="s">
        <v>6394</v>
      </c>
      <c r="P1152">
        <v>86330</v>
      </c>
      <c r="Q1152">
        <v>476960</v>
      </c>
      <c r="R1152" s="16" t="s">
        <v>8509</v>
      </c>
      <c r="S1152" s="16" t="s">
        <v>8339</v>
      </c>
      <c r="T1152" t="s">
        <v>2350</v>
      </c>
      <c r="U1152">
        <v>1</v>
      </c>
      <c r="V1152" t="s">
        <v>8656</v>
      </c>
      <c r="W1152" t="s">
        <v>6394</v>
      </c>
      <c r="X1152" t="s">
        <v>3793</v>
      </c>
      <c r="Y1152">
        <f t="shared" si="35"/>
        <v>1</v>
      </c>
    </row>
    <row r="1153" spans="1:25" hidden="1">
      <c r="A1153" t="s">
        <v>2355</v>
      </c>
      <c r="B1153" t="s">
        <v>6159</v>
      </c>
      <c r="C1153">
        <v>1160</v>
      </c>
      <c r="D1153">
        <v>12</v>
      </c>
      <c r="E1153" t="s">
        <v>6158</v>
      </c>
      <c r="F1153" t="s">
        <v>3793</v>
      </c>
      <c r="H1153" t="s">
        <v>3793</v>
      </c>
      <c r="J1153" s="5" t="s">
        <v>9159</v>
      </c>
      <c r="K1153" s="5" t="s">
        <v>2356</v>
      </c>
      <c r="L1153">
        <f t="shared" si="34"/>
        <v>1</v>
      </c>
      <c r="M1153" t="s">
        <v>6158</v>
      </c>
      <c r="N1153" t="s">
        <v>6393</v>
      </c>
      <c r="O1153" t="s">
        <v>6394</v>
      </c>
      <c r="P1153">
        <v>84100</v>
      </c>
      <c r="Q1153">
        <v>468220</v>
      </c>
      <c r="R1153" s="16" t="s">
        <v>8355</v>
      </c>
      <c r="S1153" s="16" t="s">
        <v>8058</v>
      </c>
      <c r="T1153" t="s">
        <v>8040</v>
      </c>
      <c r="U1153">
        <v>1</v>
      </c>
      <c r="V1153" t="s">
        <v>8654</v>
      </c>
      <c r="W1153" t="s">
        <v>6394</v>
      </c>
      <c r="X1153" t="s">
        <v>3793</v>
      </c>
      <c r="Y1153">
        <f t="shared" si="35"/>
        <v>1</v>
      </c>
    </row>
    <row r="1154" spans="1:25" hidden="1">
      <c r="A1154" t="s">
        <v>6013</v>
      </c>
      <c r="B1154" t="s">
        <v>6162</v>
      </c>
      <c r="C1154">
        <v>1170</v>
      </c>
      <c r="D1154">
        <v>12</v>
      </c>
      <c r="E1154" t="s">
        <v>6158</v>
      </c>
      <c r="F1154" t="s">
        <v>3793</v>
      </c>
      <c r="H1154" t="s">
        <v>3793</v>
      </c>
      <c r="J1154" t="s">
        <v>9093</v>
      </c>
      <c r="K1154" t="s">
        <v>2354</v>
      </c>
      <c r="L1154">
        <f t="shared" ref="L1154:L1217" si="36">IF(M1154&lt;&gt;"",1,0)</f>
        <v>1</v>
      </c>
      <c r="M1154" t="s">
        <v>6158</v>
      </c>
      <c r="N1154" t="s">
        <v>6393</v>
      </c>
      <c r="O1154" t="s">
        <v>6394</v>
      </c>
      <c r="P1154">
        <v>84100</v>
      </c>
      <c r="Q1154">
        <v>468220</v>
      </c>
      <c r="R1154" s="16" t="s">
        <v>8355</v>
      </c>
      <c r="S1154" s="16" t="s">
        <v>8058</v>
      </c>
      <c r="T1154" t="s">
        <v>6013</v>
      </c>
      <c r="U1154">
        <v>1</v>
      </c>
      <c r="V1154" t="s">
        <v>8656</v>
      </c>
      <c r="W1154" t="s">
        <v>6394</v>
      </c>
      <c r="X1154" t="s">
        <v>3793</v>
      </c>
      <c r="Y1154">
        <f t="shared" ref="Y1154:Y1217" si="37">IF(OR(V1154="Loc",V1154="IIIF"),1,0)</f>
        <v>1</v>
      </c>
    </row>
    <row r="1155" spans="1:25" hidden="1">
      <c r="A1155" t="s">
        <v>6011</v>
      </c>
      <c r="B1155">
        <v>1292</v>
      </c>
      <c r="C1155">
        <v>1292</v>
      </c>
      <c r="D1155">
        <v>13</v>
      </c>
      <c r="E1155" t="s">
        <v>6166</v>
      </c>
      <c r="F1155" t="s">
        <v>3793</v>
      </c>
      <c r="H1155" t="s">
        <v>3793</v>
      </c>
      <c r="J1155" s="5" t="s">
        <v>9160</v>
      </c>
      <c r="K1155" s="5" t="s">
        <v>2362</v>
      </c>
      <c r="L1155">
        <f t="shared" si="36"/>
        <v>1</v>
      </c>
      <c r="M1155" t="s">
        <v>6829</v>
      </c>
      <c r="N1155" t="s">
        <v>6830</v>
      </c>
      <c r="O1155" t="s">
        <v>6290</v>
      </c>
      <c r="P1155" t="s">
        <v>6831</v>
      </c>
      <c r="Q1155" t="s">
        <v>6832</v>
      </c>
      <c r="R1155" s="16" t="s">
        <v>8629</v>
      </c>
      <c r="S1155" s="16" t="s">
        <v>8334</v>
      </c>
      <c r="T1155" t="s">
        <v>6011</v>
      </c>
      <c r="U1155">
        <v>1</v>
      </c>
      <c r="V1155" t="s">
        <v>8656</v>
      </c>
      <c r="W1155" t="s">
        <v>6290</v>
      </c>
      <c r="X1155" t="s">
        <v>3793</v>
      </c>
      <c r="Y1155">
        <f t="shared" si="37"/>
        <v>1</v>
      </c>
    </row>
    <row r="1156" spans="1:25" hidden="1">
      <c r="A1156" t="s">
        <v>5798</v>
      </c>
      <c r="B1156">
        <v>1236</v>
      </c>
      <c r="C1156">
        <v>1236</v>
      </c>
      <c r="D1156">
        <v>13</v>
      </c>
      <c r="E1156" t="s">
        <v>1444</v>
      </c>
      <c r="F1156" t="s">
        <v>5795</v>
      </c>
      <c r="H1156" t="s">
        <v>5830</v>
      </c>
      <c r="J1156" t="s">
        <v>8668</v>
      </c>
      <c r="L1156">
        <f t="shared" si="36"/>
        <v>0</v>
      </c>
      <c r="R1156" s="16" t="s">
        <v>8064</v>
      </c>
      <c r="S1156" s="16" t="s">
        <v>8064</v>
      </c>
      <c r="T1156" t="s">
        <v>5798</v>
      </c>
      <c r="U1156">
        <v>0</v>
      </c>
      <c r="V1156" t="s">
        <v>8655</v>
      </c>
      <c r="X1156" t="s">
        <v>3793</v>
      </c>
      <c r="Y1156">
        <f t="shared" si="37"/>
        <v>0</v>
      </c>
    </row>
    <row r="1157" spans="1:25" hidden="1">
      <c r="A1157" t="s">
        <v>5799</v>
      </c>
      <c r="B1157" t="s">
        <v>5796</v>
      </c>
      <c r="C1157">
        <v>1282</v>
      </c>
      <c r="D1157">
        <v>13</v>
      </c>
      <c r="E1157" t="s">
        <v>5801</v>
      </c>
      <c r="F1157" t="s">
        <v>5797</v>
      </c>
      <c r="H1157" t="s">
        <v>6003</v>
      </c>
      <c r="J1157" t="s">
        <v>8668</v>
      </c>
      <c r="L1157">
        <f t="shared" si="36"/>
        <v>1</v>
      </c>
      <c r="M1157" t="s">
        <v>6749</v>
      </c>
      <c r="N1157" t="s">
        <v>6604</v>
      </c>
      <c r="O1157" t="s">
        <v>3995</v>
      </c>
      <c r="P1157" t="s">
        <v>6750</v>
      </c>
      <c r="Q1157" t="s">
        <v>6751</v>
      </c>
      <c r="R1157" s="16" t="s">
        <v>8630</v>
      </c>
      <c r="S1157" s="16" t="s">
        <v>8335</v>
      </c>
      <c r="T1157" t="s">
        <v>5799</v>
      </c>
      <c r="U1157">
        <v>0</v>
      </c>
      <c r="V1157" t="s">
        <v>8654</v>
      </c>
      <c r="W1157" t="s">
        <v>3995</v>
      </c>
      <c r="X1157" t="s">
        <v>3793</v>
      </c>
      <c r="Y1157">
        <f t="shared" si="37"/>
        <v>1</v>
      </c>
    </row>
    <row r="1158" spans="1:25" hidden="1">
      <c r="A1158" t="s">
        <v>5800</v>
      </c>
      <c r="B1158">
        <v>1286</v>
      </c>
      <c r="C1158">
        <v>1286</v>
      </c>
      <c r="D1158">
        <v>13</v>
      </c>
      <c r="E1158" t="s">
        <v>1444</v>
      </c>
      <c r="F1158" t="s">
        <v>5802</v>
      </c>
      <c r="H1158" t="s">
        <v>6004</v>
      </c>
      <c r="J1158" t="s">
        <v>8668</v>
      </c>
      <c r="L1158">
        <f t="shared" si="36"/>
        <v>0</v>
      </c>
      <c r="R1158" s="16" t="s">
        <v>8064</v>
      </c>
      <c r="S1158" s="16" t="s">
        <v>8064</v>
      </c>
      <c r="T1158" t="s">
        <v>5800</v>
      </c>
      <c r="U1158">
        <v>0</v>
      </c>
      <c r="V1158" t="s">
        <v>8655</v>
      </c>
      <c r="X1158" t="s">
        <v>3793</v>
      </c>
      <c r="Y1158">
        <f t="shared" si="37"/>
        <v>0</v>
      </c>
    </row>
    <row r="1159" spans="1:25" hidden="1">
      <c r="A1159" t="s">
        <v>5861</v>
      </c>
      <c r="B1159" s="4" t="s">
        <v>207</v>
      </c>
      <c r="C1159" s="4">
        <v>1271</v>
      </c>
      <c r="D1159" s="4">
        <v>13</v>
      </c>
      <c r="E1159" t="s">
        <v>1444</v>
      </c>
      <c r="F1159" s="4" t="s">
        <v>5922</v>
      </c>
      <c r="G1159" s="4"/>
      <c r="H1159" t="s">
        <v>5977</v>
      </c>
      <c r="J1159" t="s">
        <v>8668</v>
      </c>
      <c r="L1159">
        <f t="shared" si="36"/>
        <v>0</v>
      </c>
      <c r="R1159" s="16" t="s">
        <v>8064</v>
      </c>
      <c r="S1159" s="16" t="s">
        <v>8064</v>
      </c>
      <c r="T1159" t="s">
        <v>5861</v>
      </c>
      <c r="U1159">
        <v>0</v>
      </c>
      <c r="V1159" t="s">
        <v>8655</v>
      </c>
      <c r="X1159" s="4" t="s">
        <v>3793</v>
      </c>
      <c r="Y1159">
        <f t="shared" si="37"/>
        <v>0</v>
      </c>
    </row>
    <row r="1160" spans="1:25" hidden="1">
      <c r="A1160" t="s">
        <v>5872</v>
      </c>
      <c r="B1160" s="4">
        <v>1277</v>
      </c>
      <c r="C1160" s="4">
        <v>1277</v>
      </c>
      <c r="D1160" s="4">
        <v>13</v>
      </c>
      <c r="E1160" t="s">
        <v>1444</v>
      </c>
      <c r="F1160" s="4" t="s">
        <v>5933</v>
      </c>
      <c r="G1160" s="4"/>
      <c r="H1160" t="s">
        <v>5988</v>
      </c>
      <c r="J1160" t="s">
        <v>8668</v>
      </c>
      <c r="L1160">
        <f t="shared" si="36"/>
        <v>0</v>
      </c>
      <c r="R1160" s="16" t="s">
        <v>8064</v>
      </c>
      <c r="S1160" s="16" t="s">
        <v>8064</v>
      </c>
      <c r="T1160" t="s">
        <v>5872</v>
      </c>
      <c r="U1160">
        <v>0</v>
      </c>
      <c r="V1160" t="s">
        <v>8655</v>
      </c>
      <c r="X1160" s="4" t="s">
        <v>3793</v>
      </c>
      <c r="Y1160">
        <f t="shared" si="37"/>
        <v>0</v>
      </c>
    </row>
    <row r="1161" spans="1:25" hidden="1">
      <c r="A1161" t="s">
        <v>5833</v>
      </c>
      <c r="B1161" s="4">
        <v>1279</v>
      </c>
      <c r="C1161" s="4">
        <v>1279</v>
      </c>
      <c r="D1161" s="4">
        <v>13</v>
      </c>
      <c r="E1161" t="s">
        <v>1444</v>
      </c>
      <c r="F1161" s="4" t="s">
        <v>5893</v>
      </c>
      <c r="G1161" s="4"/>
      <c r="H1161" t="s">
        <v>5948</v>
      </c>
      <c r="J1161" t="s">
        <v>8668</v>
      </c>
      <c r="L1161">
        <f t="shared" si="36"/>
        <v>0</v>
      </c>
      <c r="R1161" s="16" t="s">
        <v>8064</v>
      </c>
      <c r="S1161" s="16" t="s">
        <v>8064</v>
      </c>
      <c r="T1161" t="s">
        <v>8016</v>
      </c>
      <c r="U1161">
        <v>0</v>
      </c>
      <c r="V1161" t="s">
        <v>8655</v>
      </c>
      <c r="X1161" s="4" t="s">
        <v>3793</v>
      </c>
      <c r="Y1161">
        <f t="shared" si="37"/>
        <v>0</v>
      </c>
    </row>
    <row r="1162" spans="1:25" hidden="1">
      <c r="A1162" t="s">
        <v>5841</v>
      </c>
      <c r="B1162" s="4">
        <v>1280</v>
      </c>
      <c r="C1162" s="4">
        <v>1280</v>
      </c>
      <c r="D1162" s="4">
        <v>13</v>
      </c>
      <c r="E1162" t="s">
        <v>1444</v>
      </c>
      <c r="F1162" s="4" t="s">
        <v>5899</v>
      </c>
      <c r="G1162" s="4"/>
      <c r="H1162" t="s">
        <v>5953</v>
      </c>
      <c r="J1162" s="5" t="s">
        <v>8872</v>
      </c>
      <c r="K1162" s="5" t="s">
        <v>2357</v>
      </c>
      <c r="L1162">
        <f t="shared" si="36"/>
        <v>0</v>
      </c>
      <c r="R1162" s="16" t="s">
        <v>8064</v>
      </c>
      <c r="S1162" s="16" t="s">
        <v>8064</v>
      </c>
      <c r="T1162" t="s">
        <v>5841</v>
      </c>
      <c r="U1162">
        <v>1</v>
      </c>
      <c r="V1162" t="s">
        <v>8655</v>
      </c>
      <c r="X1162" s="4" t="s">
        <v>3793</v>
      </c>
      <c r="Y1162">
        <f t="shared" si="37"/>
        <v>0</v>
      </c>
    </row>
    <row r="1163" spans="1:25" hidden="1">
      <c r="A1163" t="s">
        <v>5838</v>
      </c>
      <c r="B1163" s="4">
        <v>1285</v>
      </c>
      <c r="C1163" s="4">
        <v>1285</v>
      </c>
      <c r="D1163" s="4">
        <v>13</v>
      </c>
      <c r="E1163" t="s">
        <v>1444</v>
      </c>
      <c r="F1163" s="4" t="s">
        <v>5896</v>
      </c>
      <c r="G1163" s="4"/>
      <c r="H1163" t="s">
        <v>5950</v>
      </c>
      <c r="J1163" t="s">
        <v>8668</v>
      </c>
      <c r="L1163">
        <f t="shared" si="36"/>
        <v>0</v>
      </c>
      <c r="R1163" s="16" t="s">
        <v>8064</v>
      </c>
      <c r="S1163" s="16" t="s">
        <v>8064</v>
      </c>
      <c r="T1163" t="s">
        <v>5838</v>
      </c>
      <c r="U1163">
        <v>0</v>
      </c>
      <c r="V1163" t="s">
        <v>8655</v>
      </c>
      <c r="X1163" s="4" t="s">
        <v>3793</v>
      </c>
      <c r="Y1163">
        <f t="shared" si="37"/>
        <v>0</v>
      </c>
    </row>
    <row r="1164" spans="1:25" hidden="1">
      <c r="A1164" t="s">
        <v>5845</v>
      </c>
      <c r="B1164" s="4">
        <v>1288</v>
      </c>
      <c r="C1164" s="4">
        <v>1288</v>
      </c>
      <c r="D1164" s="4">
        <v>13</v>
      </c>
      <c r="E1164" t="s">
        <v>1444</v>
      </c>
      <c r="F1164" s="4" t="s">
        <v>5903</v>
      </c>
      <c r="G1164" s="4"/>
      <c r="H1164" t="s">
        <v>5957</v>
      </c>
      <c r="J1164" s="5" t="s">
        <v>8876</v>
      </c>
      <c r="K1164" t="s">
        <v>2358</v>
      </c>
      <c r="L1164">
        <f t="shared" si="36"/>
        <v>0</v>
      </c>
      <c r="R1164" s="16" t="s">
        <v>8064</v>
      </c>
      <c r="S1164" s="16" t="s">
        <v>8064</v>
      </c>
      <c r="T1164" t="s">
        <v>5845</v>
      </c>
      <c r="U1164">
        <v>1</v>
      </c>
      <c r="V1164" t="s">
        <v>8655</v>
      </c>
      <c r="X1164" s="4" t="s">
        <v>3793</v>
      </c>
      <c r="Y1164">
        <f t="shared" si="37"/>
        <v>0</v>
      </c>
    </row>
    <row r="1165" spans="1:25" hidden="1">
      <c r="A1165" t="s">
        <v>5839</v>
      </c>
      <c r="B1165" s="4">
        <v>1289</v>
      </c>
      <c r="C1165" s="4">
        <v>1289</v>
      </c>
      <c r="D1165" s="4">
        <v>13</v>
      </c>
      <c r="E1165" t="s">
        <v>1444</v>
      </c>
      <c r="F1165" s="4" t="s">
        <v>5897</v>
      </c>
      <c r="G1165" s="4"/>
      <c r="H1165" t="s">
        <v>5951</v>
      </c>
      <c r="J1165" t="s">
        <v>8668</v>
      </c>
      <c r="L1165">
        <f t="shared" si="36"/>
        <v>0</v>
      </c>
      <c r="R1165" s="16" t="s">
        <v>8064</v>
      </c>
      <c r="S1165" s="16" t="s">
        <v>8064</v>
      </c>
      <c r="T1165" t="s">
        <v>8037</v>
      </c>
      <c r="U1165">
        <v>0</v>
      </c>
      <c r="V1165" t="s">
        <v>8655</v>
      </c>
      <c r="X1165" s="4" t="s">
        <v>3793</v>
      </c>
      <c r="Y1165">
        <f t="shared" si="37"/>
        <v>0</v>
      </c>
    </row>
    <row r="1166" spans="1:25" hidden="1">
      <c r="A1166" t="s">
        <v>5807</v>
      </c>
      <c r="B1166" t="s">
        <v>5803</v>
      </c>
      <c r="C1166">
        <v>982</v>
      </c>
      <c r="D1166">
        <v>10</v>
      </c>
      <c r="E1166" t="s">
        <v>5773</v>
      </c>
      <c r="F1166" t="s">
        <v>5823</v>
      </c>
      <c r="H1166" t="s">
        <v>6006</v>
      </c>
      <c r="J1166">
        <v>0</v>
      </c>
      <c r="L1166">
        <f t="shared" si="36"/>
        <v>1</v>
      </c>
      <c r="M1166" t="s">
        <v>5773</v>
      </c>
      <c r="N1166" t="s">
        <v>6604</v>
      </c>
      <c r="O1166" t="s">
        <v>3995</v>
      </c>
      <c r="P1166" t="s">
        <v>6733</v>
      </c>
      <c r="Q1166" t="s">
        <v>6734</v>
      </c>
      <c r="R1166" s="16" t="s">
        <v>8633</v>
      </c>
      <c r="S1166" s="16" t="s">
        <v>8337</v>
      </c>
      <c r="T1166" t="s">
        <v>5807</v>
      </c>
      <c r="U1166">
        <v>1</v>
      </c>
      <c r="V1166" t="s">
        <v>8654</v>
      </c>
      <c r="W1166" t="s">
        <v>3995</v>
      </c>
      <c r="X1166" t="s">
        <v>3793</v>
      </c>
      <c r="Y1166">
        <f t="shared" si="37"/>
        <v>1</v>
      </c>
    </row>
    <row r="1167" spans="1:25" hidden="1">
      <c r="A1167" t="s">
        <v>5832</v>
      </c>
      <c r="B1167" s="4" t="s">
        <v>4375</v>
      </c>
      <c r="C1167" s="4">
        <v>996</v>
      </c>
      <c r="D1167" s="4">
        <v>10</v>
      </c>
      <c r="E1167" t="s">
        <v>1444</v>
      </c>
      <c r="F1167" s="4" t="s">
        <v>5892</v>
      </c>
      <c r="G1167" s="4"/>
      <c r="H1167" s="13" t="s">
        <v>6001</v>
      </c>
      <c r="I1167" s="13"/>
      <c r="J1167" t="s">
        <v>8668</v>
      </c>
      <c r="L1167">
        <f t="shared" si="36"/>
        <v>0</v>
      </c>
      <c r="R1167" s="16" t="s">
        <v>8064</v>
      </c>
      <c r="S1167" s="16" t="s">
        <v>8064</v>
      </c>
      <c r="T1167" t="s">
        <v>5832</v>
      </c>
      <c r="U1167">
        <v>0</v>
      </c>
      <c r="V1167" t="s">
        <v>8655</v>
      </c>
      <c r="X1167" s="4" t="s">
        <v>3793</v>
      </c>
      <c r="Y1167">
        <f t="shared" si="37"/>
        <v>0</v>
      </c>
    </row>
    <row r="1168" spans="1:25" hidden="1">
      <c r="A1168" t="s">
        <v>5829</v>
      </c>
      <c r="B1168">
        <v>1004</v>
      </c>
      <c r="C1168">
        <v>1004</v>
      </c>
      <c r="D1168">
        <v>11</v>
      </c>
      <c r="E1168" t="s">
        <v>6160</v>
      </c>
      <c r="F1168" s="4" t="s">
        <v>5890</v>
      </c>
      <c r="G1168" s="4"/>
      <c r="H1168" t="s">
        <v>5946</v>
      </c>
      <c r="J1168" s="5" t="s">
        <v>2300</v>
      </c>
      <c r="K1168" s="5" t="s">
        <v>2301</v>
      </c>
      <c r="L1168">
        <f t="shared" si="36"/>
        <v>1</v>
      </c>
      <c r="M1168" t="s">
        <v>6447</v>
      </c>
      <c r="N1168" t="s">
        <v>6448</v>
      </c>
      <c r="O1168" t="s">
        <v>104</v>
      </c>
      <c r="P1168">
        <v>63330</v>
      </c>
      <c r="Q1168">
        <v>478310</v>
      </c>
      <c r="R1168" s="16" t="s">
        <v>8631</v>
      </c>
      <c r="S1168" s="16" t="s">
        <v>8336</v>
      </c>
      <c r="T1168" t="s">
        <v>5829</v>
      </c>
      <c r="U1168">
        <v>1</v>
      </c>
      <c r="V1168" t="s">
        <v>8656</v>
      </c>
      <c r="W1168" t="s">
        <v>104</v>
      </c>
      <c r="X1168" s="4" t="s">
        <v>3793</v>
      </c>
      <c r="Y1168">
        <f t="shared" si="37"/>
        <v>1</v>
      </c>
    </row>
    <row r="1169" spans="1:25" hidden="1">
      <c r="A1169" t="s">
        <v>5840</v>
      </c>
      <c r="B1169" s="4">
        <v>1071</v>
      </c>
      <c r="C1169" s="4">
        <v>1071</v>
      </c>
      <c r="D1169" s="4">
        <v>11</v>
      </c>
      <c r="E1169" t="s">
        <v>1444</v>
      </c>
      <c r="F1169" s="4" t="s">
        <v>5898</v>
      </c>
      <c r="G1169" s="4"/>
      <c r="H1169" t="s">
        <v>5952</v>
      </c>
      <c r="J1169" s="5" t="s">
        <v>8871</v>
      </c>
      <c r="K1169" t="s">
        <v>2302</v>
      </c>
      <c r="L1169">
        <f t="shared" si="36"/>
        <v>0</v>
      </c>
      <c r="R1169" s="16" t="s">
        <v>8064</v>
      </c>
      <c r="S1169" s="16" t="s">
        <v>8064</v>
      </c>
      <c r="T1169" t="s">
        <v>5840</v>
      </c>
      <c r="U1169">
        <v>1</v>
      </c>
      <c r="V1169" t="s">
        <v>8655</v>
      </c>
      <c r="X1169" s="4" t="s">
        <v>3793</v>
      </c>
      <c r="Y1169">
        <f t="shared" si="37"/>
        <v>0</v>
      </c>
    </row>
    <row r="1170" spans="1:25" hidden="1">
      <c r="A1170" t="s">
        <v>5834</v>
      </c>
      <c r="B1170" s="4" t="s">
        <v>5815</v>
      </c>
      <c r="C1170" s="4">
        <v>1143</v>
      </c>
      <c r="D1170" s="4">
        <v>12</v>
      </c>
      <c r="E1170" t="s">
        <v>5835</v>
      </c>
      <c r="F1170" s="4" t="s">
        <v>5894</v>
      </c>
      <c r="G1170" s="4"/>
      <c r="H1170" t="s">
        <v>5949</v>
      </c>
      <c r="J1170">
        <v>0</v>
      </c>
      <c r="L1170">
        <f t="shared" si="36"/>
        <v>1</v>
      </c>
      <c r="M1170" t="s">
        <v>5835</v>
      </c>
      <c r="N1170" t="s">
        <v>6293</v>
      </c>
      <c r="O1170" t="s">
        <v>3995</v>
      </c>
      <c r="P1170" t="s">
        <v>6518</v>
      </c>
      <c r="Q1170" t="s">
        <v>6519</v>
      </c>
      <c r="R1170" s="16" t="s">
        <v>8632</v>
      </c>
      <c r="S1170" s="16" t="s">
        <v>8300</v>
      </c>
      <c r="T1170" t="s">
        <v>5834</v>
      </c>
      <c r="U1170">
        <v>1</v>
      </c>
      <c r="V1170" t="s">
        <v>8654</v>
      </c>
      <c r="W1170" t="s">
        <v>3995</v>
      </c>
      <c r="X1170" s="4" t="s">
        <v>3793</v>
      </c>
      <c r="Y1170">
        <f t="shared" si="37"/>
        <v>1</v>
      </c>
    </row>
    <row r="1171" spans="1:25" hidden="1">
      <c r="A1171" t="s">
        <v>5847</v>
      </c>
      <c r="B1171" s="4" t="s">
        <v>5816</v>
      </c>
      <c r="C1171" s="4">
        <v>1162</v>
      </c>
      <c r="D1171" s="4">
        <v>12</v>
      </c>
      <c r="E1171" t="s">
        <v>1444</v>
      </c>
      <c r="F1171" t="s">
        <v>5906</v>
      </c>
      <c r="H1171" t="s">
        <v>5961</v>
      </c>
      <c r="J1171" t="s">
        <v>8879</v>
      </c>
      <c r="L1171">
        <f t="shared" si="36"/>
        <v>0</v>
      </c>
      <c r="R1171" s="16" t="s">
        <v>8064</v>
      </c>
      <c r="S1171" s="16" t="s">
        <v>8064</v>
      </c>
      <c r="T1171" t="s">
        <v>5847</v>
      </c>
      <c r="U1171">
        <v>1</v>
      </c>
      <c r="V1171" t="s">
        <v>8655</v>
      </c>
      <c r="X1171" t="s">
        <v>3793</v>
      </c>
      <c r="Y1171">
        <f t="shared" si="37"/>
        <v>0</v>
      </c>
    </row>
    <row r="1172" spans="1:25" hidden="1">
      <c r="A1172" t="s">
        <v>5876</v>
      </c>
      <c r="B1172" s="4" t="s">
        <v>5816</v>
      </c>
      <c r="C1172" s="4">
        <v>1162</v>
      </c>
      <c r="D1172" s="4">
        <v>12</v>
      </c>
      <c r="E1172" t="s">
        <v>1444</v>
      </c>
      <c r="F1172" t="s">
        <v>5905</v>
      </c>
      <c r="H1172" t="s">
        <v>5960</v>
      </c>
      <c r="J1172" s="5" t="s">
        <v>8878</v>
      </c>
      <c r="L1172">
        <f t="shared" si="36"/>
        <v>0</v>
      </c>
      <c r="R1172" s="16" t="s">
        <v>8064</v>
      </c>
      <c r="S1172" s="16" t="s">
        <v>8064</v>
      </c>
      <c r="T1172" t="s">
        <v>8013</v>
      </c>
      <c r="U1172">
        <v>1</v>
      </c>
      <c r="V1172" t="s">
        <v>8655</v>
      </c>
      <c r="X1172" t="s">
        <v>3793</v>
      </c>
      <c r="Y1172">
        <f t="shared" si="37"/>
        <v>0</v>
      </c>
    </row>
    <row r="1173" spans="1:25" hidden="1">
      <c r="A1173" t="s">
        <v>5846</v>
      </c>
      <c r="B1173" s="4" t="s">
        <v>5816</v>
      </c>
      <c r="C1173" s="4">
        <v>1162</v>
      </c>
      <c r="D1173" s="4">
        <v>12</v>
      </c>
      <c r="E1173" t="s">
        <v>1444</v>
      </c>
      <c r="F1173" t="s">
        <v>5904</v>
      </c>
      <c r="H1173" t="s">
        <v>5958</v>
      </c>
      <c r="J1173" s="5" t="s">
        <v>8877</v>
      </c>
      <c r="L1173">
        <f t="shared" si="36"/>
        <v>0</v>
      </c>
      <c r="R1173" s="16" t="s">
        <v>8064</v>
      </c>
      <c r="S1173" s="16" t="s">
        <v>8064</v>
      </c>
      <c r="T1173" t="s">
        <v>5846</v>
      </c>
      <c r="U1173">
        <v>1</v>
      </c>
      <c r="V1173" t="s">
        <v>8655</v>
      </c>
      <c r="X1173" t="s">
        <v>3793</v>
      </c>
      <c r="Y1173">
        <f t="shared" si="37"/>
        <v>0</v>
      </c>
    </row>
    <row r="1174" spans="1:25" hidden="1">
      <c r="A1174" t="s">
        <v>5875</v>
      </c>
      <c r="B1174" s="4" t="s">
        <v>5816</v>
      </c>
      <c r="C1174" s="4">
        <v>1162</v>
      </c>
      <c r="D1174" s="4">
        <v>12</v>
      </c>
      <c r="E1174" t="s">
        <v>1444</v>
      </c>
      <c r="F1174" t="s">
        <v>5905</v>
      </c>
      <c r="H1174" t="s">
        <v>5959</v>
      </c>
      <c r="J1174" s="5" t="s">
        <v>8878</v>
      </c>
      <c r="L1174">
        <f t="shared" si="36"/>
        <v>0</v>
      </c>
      <c r="R1174" s="16" t="s">
        <v>8064</v>
      </c>
      <c r="S1174" s="16" t="s">
        <v>8064</v>
      </c>
      <c r="T1174" t="s">
        <v>8013</v>
      </c>
      <c r="U1174">
        <v>1</v>
      </c>
      <c r="V1174" t="s">
        <v>8655</v>
      </c>
      <c r="X1174" t="s">
        <v>3793</v>
      </c>
      <c r="Y1174">
        <f t="shared" si="37"/>
        <v>0</v>
      </c>
    </row>
    <row r="1175" spans="1:25" hidden="1">
      <c r="A1175" t="s">
        <v>5878</v>
      </c>
      <c r="B1175" s="4" t="s">
        <v>5816</v>
      </c>
      <c r="C1175" s="4">
        <v>1162</v>
      </c>
      <c r="D1175" s="4">
        <v>12</v>
      </c>
      <c r="E1175" t="s">
        <v>1444</v>
      </c>
      <c r="F1175" t="s">
        <v>5908</v>
      </c>
      <c r="H1175" t="s">
        <v>5963</v>
      </c>
      <c r="J1175" s="5" t="s">
        <v>8880</v>
      </c>
      <c r="L1175">
        <f t="shared" si="36"/>
        <v>0</v>
      </c>
      <c r="R1175" s="16" t="s">
        <v>8064</v>
      </c>
      <c r="S1175" s="16" t="s">
        <v>8064</v>
      </c>
      <c r="T1175" t="s">
        <v>8015</v>
      </c>
      <c r="U1175">
        <v>1</v>
      </c>
      <c r="V1175" t="s">
        <v>8655</v>
      </c>
      <c r="X1175" t="s">
        <v>3793</v>
      </c>
      <c r="Y1175">
        <f t="shared" si="37"/>
        <v>0</v>
      </c>
    </row>
    <row r="1176" spans="1:25" hidden="1">
      <c r="A1176" t="s">
        <v>5848</v>
      </c>
      <c r="B1176" s="4" t="s">
        <v>5816</v>
      </c>
      <c r="C1176" s="4">
        <v>1162</v>
      </c>
      <c r="D1176" s="4">
        <v>12</v>
      </c>
      <c r="E1176" t="s">
        <v>1444</v>
      </c>
      <c r="F1176" t="s">
        <v>5909</v>
      </c>
      <c r="H1176" t="s">
        <v>5964</v>
      </c>
      <c r="J1176" s="5" t="s">
        <v>8881</v>
      </c>
      <c r="L1176">
        <f t="shared" si="36"/>
        <v>0</v>
      </c>
      <c r="R1176" s="16" t="s">
        <v>8064</v>
      </c>
      <c r="S1176" s="16" t="s">
        <v>8064</v>
      </c>
      <c r="T1176" t="s">
        <v>5848</v>
      </c>
      <c r="U1176">
        <v>1</v>
      </c>
      <c r="V1176" t="s">
        <v>8655</v>
      </c>
      <c r="X1176" t="s">
        <v>3793</v>
      </c>
      <c r="Y1176">
        <f t="shared" si="37"/>
        <v>0</v>
      </c>
    </row>
    <row r="1177" spans="1:25" hidden="1">
      <c r="A1177" t="s">
        <v>5850</v>
      </c>
      <c r="B1177" s="4" t="s">
        <v>5816</v>
      </c>
      <c r="C1177" s="4">
        <v>1162</v>
      </c>
      <c r="D1177" s="4">
        <v>12</v>
      </c>
      <c r="E1177" t="s">
        <v>1444</v>
      </c>
      <c r="F1177" t="s">
        <v>5911</v>
      </c>
      <c r="H1177" t="s">
        <v>5966</v>
      </c>
      <c r="J1177" s="5" t="s">
        <v>8883</v>
      </c>
      <c r="L1177">
        <f t="shared" si="36"/>
        <v>0</v>
      </c>
      <c r="R1177" s="16" t="s">
        <v>8064</v>
      </c>
      <c r="S1177" s="16" t="s">
        <v>8064</v>
      </c>
      <c r="T1177" t="s">
        <v>5850</v>
      </c>
      <c r="U1177">
        <v>1</v>
      </c>
      <c r="V1177" t="s">
        <v>8655</v>
      </c>
      <c r="X1177" t="s">
        <v>3793</v>
      </c>
      <c r="Y1177">
        <f t="shared" si="37"/>
        <v>0</v>
      </c>
    </row>
    <row r="1178" spans="1:25" hidden="1">
      <c r="A1178" t="s">
        <v>5851</v>
      </c>
      <c r="B1178" s="4" t="s">
        <v>5816</v>
      </c>
      <c r="C1178" s="4">
        <v>1162</v>
      </c>
      <c r="D1178" s="4">
        <v>12</v>
      </c>
      <c r="E1178" t="s">
        <v>1444</v>
      </c>
      <c r="F1178" t="s">
        <v>5912</v>
      </c>
      <c r="H1178" t="s">
        <v>5967</v>
      </c>
      <c r="J1178" s="5" t="s">
        <v>8884</v>
      </c>
      <c r="L1178">
        <f t="shared" si="36"/>
        <v>0</v>
      </c>
      <c r="R1178" s="16" t="s">
        <v>8064</v>
      </c>
      <c r="S1178" s="16" t="s">
        <v>8064</v>
      </c>
      <c r="T1178" t="s">
        <v>5851</v>
      </c>
      <c r="U1178">
        <v>1</v>
      </c>
      <c r="V1178" t="s">
        <v>8655</v>
      </c>
      <c r="X1178" t="s">
        <v>3793</v>
      </c>
      <c r="Y1178">
        <f t="shared" si="37"/>
        <v>0</v>
      </c>
    </row>
    <row r="1179" spans="1:25" hidden="1">
      <c r="A1179" t="s">
        <v>5852</v>
      </c>
      <c r="B1179" s="4" t="s">
        <v>5816</v>
      </c>
      <c r="C1179" s="4">
        <v>1162</v>
      </c>
      <c r="D1179" s="4">
        <v>12</v>
      </c>
      <c r="E1179" t="s">
        <v>1444</v>
      </c>
      <c r="F1179" t="s">
        <v>5913</v>
      </c>
      <c r="H1179" t="s">
        <v>5968</v>
      </c>
      <c r="J1179" s="5" t="s">
        <v>8885</v>
      </c>
      <c r="L1179">
        <f t="shared" si="36"/>
        <v>0</v>
      </c>
      <c r="R1179" s="16" t="s">
        <v>8064</v>
      </c>
      <c r="S1179" s="16" t="s">
        <v>8064</v>
      </c>
      <c r="T1179" t="s">
        <v>5852</v>
      </c>
      <c r="U1179">
        <v>1</v>
      </c>
      <c r="V1179" t="s">
        <v>8655</v>
      </c>
      <c r="X1179" t="s">
        <v>3793</v>
      </c>
      <c r="Y1179">
        <f t="shared" si="37"/>
        <v>0</v>
      </c>
    </row>
    <row r="1180" spans="1:25" hidden="1">
      <c r="A1180" t="s">
        <v>5853</v>
      </c>
      <c r="B1180" s="4" t="s">
        <v>5816</v>
      </c>
      <c r="C1180" s="4">
        <v>1162</v>
      </c>
      <c r="D1180" s="4">
        <v>12</v>
      </c>
      <c r="E1180" t="s">
        <v>1444</v>
      </c>
      <c r="F1180" t="s">
        <v>5914</v>
      </c>
      <c r="H1180" t="s">
        <v>5969</v>
      </c>
      <c r="J1180" s="5" t="s">
        <v>8886</v>
      </c>
      <c r="L1180">
        <f t="shared" si="36"/>
        <v>0</v>
      </c>
      <c r="R1180" s="16" t="s">
        <v>8064</v>
      </c>
      <c r="S1180" s="16" t="s">
        <v>8064</v>
      </c>
      <c r="T1180" t="s">
        <v>5853</v>
      </c>
      <c r="U1180">
        <v>1</v>
      </c>
      <c r="V1180" t="s">
        <v>8655</v>
      </c>
      <c r="X1180" t="s">
        <v>3793</v>
      </c>
      <c r="Y1180">
        <f t="shared" si="37"/>
        <v>0</v>
      </c>
    </row>
    <row r="1181" spans="1:25" hidden="1">
      <c r="A1181" t="s">
        <v>5854</v>
      </c>
      <c r="B1181" s="4" t="s">
        <v>5816</v>
      </c>
      <c r="C1181" s="4">
        <v>1162</v>
      </c>
      <c r="D1181" s="4">
        <v>12</v>
      </c>
      <c r="E1181" t="s">
        <v>1444</v>
      </c>
      <c r="F1181" t="s">
        <v>5915</v>
      </c>
      <c r="H1181" t="s">
        <v>5970</v>
      </c>
      <c r="J1181" s="5" t="s">
        <v>8887</v>
      </c>
      <c r="L1181">
        <f t="shared" si="36"/>
        <v>0</v>
      </c>
      <c r="R1181" s="16" t="s">
        <v>8064</v>
      </c>
      <c r="S1181" s="16" t="s">
        <v>8064</v>
      </c>
      <c r="T1181" t="s">
        <v>5854</v>
      </c>
      <c r="U1181">
        <v>1</v>
      </c>
      <c r="V1181" t="s">
        <v>8655</v>
      </c>
      <c r="X1181" t="s">
        <v>3793</v>
      </c>
      <c r="Y1181">
        <f t="shared" si="37"/>
        <v>0</v>
      </c>
    </row>
    <row r="1182" spans="1:25" hidden="1">
      <c r="A1182" t="s">
        <v>5855</v>
      </c>
      <c r="B1182" s="4" t="s">
        <v>5816</v>
      </c>
      <c r="C1182" s="4">
        <v>1162</v>
      </c>
      <c r="D1182" s="4">
        <v>12</v>
      </c>
      <c r="E1182" t="s">
        <v>1444</v>
      </c>
      <c r="F1182" t="s">
        <v>5916</v>
      </c>
      <c r="H1182" t="s">
        <v>5971</v>
      </c>
      <c r="J1182" s="5" t="s">
        <v>8888</v>
      </c>
      <c r="L1182">
        <f t="shared" si="36"/>
        <v>0</v>
      </c>
      <c r="R1182" s="16" t="s">
        <v>8064</v>
      </c>
      <c r="S1182" s="16" t="s">
        <v>8064</v>
      </c>
      <c r="T1182" t="s">
        <v>5855</v>
      </c>
      <c r="U1182">
        <v>1</v>
      </c>
      <c r="V1182" t="s">
        <v>8655</v>
      </c>
      <c r="X1182" t="s">
        <v>3793</v>
      </c>
      <c r="Y1182">
        <f t="shared" si="37"/>
        <v>0</v>
      </c>
    </row>
    <row r="1183" spans="1:25" hidden="1">
      <c r="A1183" t="s">
        <v>5856</v>
      </c>
      <c r="B1183" s="4" t="s">
        <v>5816</v>
      </c>
      <c r="C1183" s="4">
        <v>1162</v>
      </c>
      <c r="D1183" s="4">
        <v>12</v>
      </c>
      <c r="E1183" t="s">
        <v>1444</v>
      </c>
      <c r="F1183" t="s">
        <v>5917</v>
      </c>
      <c r="H1183" t="s">
        <v>5972</v>
      </c>
      <c r="J1183" s="5" t="s">
        <v>8889</v>
      </c>
      <c r="L1183">
        <f t="shared" si="36"/>
        <v>0</v>
      </c>
      <c r="R1183" s="16" t="s">
        <v>8064</v>
      </c>
      <c r="S1183" s="16" t="s">
        <v>8064</v>
      </c>
      <c r="T1183" t="s">
        <v>5856</v>
      </c>
      <c r="U1183">
        <v>1</v>
      </c>
      <c r="V1183" t="s">
        <v>8655</v>
      </c>
      <c r="X1183" t="s">
        <v>3793</v>
      </c>
      <c r="Y1183">
        <f t="shared" si="37"/>
        <v>0</v>
      </c>
    </row>
    <row r="1184" spans="1:25" hidden="1">
      <c r="A1184" t="s">
        <v>5857</v>
      </c>
      <c r="B1184" s="4" t="s">
        <v>5816</v>
      </c>
      <c r="C1184" s="4">
        <v>1162</v>
      </c>
      <c r="D1184" s="4">
        <v>12</v>
      </c>
      <c r="E1184" t="s">
        <v>1444</v>
      </c>
      <c r="F1184" t="s">
        <v>5918</v>
      </c>
      <c r="H1184" t="s">
        <v>5973</v>
      </c>
      <c r="J1184" s="5" t="s">
        <v>8890</v>
      </c>
      <c r="L1184">
        <f t="shared" si="36"/>
        <v>0</v>
      </c>
      <c r="R1184" s="16" t="s">
        <v>8064</v>
      </c>
      <c r="S1184" s="16" t="s">
        <v>8064</v>
      </c>
      <c r="T1184" t="s">
        <v>5857</v>
      </c>
      <c r="U1184">
        <v>1</v>
      </c>
      <c r="V1184" t="s">
        <v>8655</v>
      </c>
      <c r="X1184" t="s">
        <v>3793</v>
      </c>
      <c r="Y1184">
        <f t="shared" si="37"/>
        <v>0</v>
      </c>
    </row>
    <row r="1185" spans="1:25" hidden="1">
      <c r="A1185" t="s">
        <v>5858</v>
      </c>
      <c r="B1185" s="4" t="s">
        <v>5816</v>
      </c>
      <c r="C1185" s="4">
        <v>1162</v>
      </c>
      <c r="D1185" s="4">
        <v>12</v>
      </c>
      <c r="E1185" t="s">
        <v>1444</v>
      </c>
      <c r="F1185" t="s">
        <v>5919</v>
      </c>
      <c r="H1185" t="s">
        <v>5974</v>
      </c>
      <c r="J1185" s="5" t="s">
        <v>8891</v>
      </c>
      <c r="L1185">
        <f t="shared" si="36"/>
        <v>0</v>
      </c>
      <c r="R1185" s="16" t="s">
        <v>8064</v>
      </c>
      <c r="S1185" s="16" t="s">
        <v>8064</v>
      </c>
      <c r="T1185" t="s">
        <v>5858</v>
      </c>
      <c r="U1185">
        <v>1</v>
      </c>
      <c r="V1185" t="s">
        <v>8655</v>
      </c>
      <c r="X1185" t="s">
        <v>3793</v>
      </c>
      <c r="Y1185">
        <f t="shared" si="37"/>
        <v>0</v>
      </c>
    </row>
    <row r="1186" spans="1:25" hidden="1">
      <c r="A1186" t="s">
        <v>5862</v>
      </c>
      <c r="B1186" s="4" t="s">
        <v>5816</v>
      </c>
      <c r="C1186" s="4">
        <v>1162</v>
      </c>
      <c r="D1186" s="4">
        <v>12</v>
      </c>
      <c r="E1186" t="s">
        <v>1444</v>
      </c>
      <c r="F1186" t="s">
        <v>5923</v>
      </c>
      <c r="H1186" t="s">
        <v>5978</v>
      </c>
      <c r="J1186" s="5" t="s">
        <v>8893</v>
      </c>
      <c r="L1186">
        <f t="shared" si="36"/>
        <v>0</v>
      </c>
      <c r="R1186" s="16" t="s">
        <v>8064</v>
      </c>
      <c r="S1186" s="16" t="s">
        <v>8064</v>
      </c>
      <c r="T1186" t="s">
        <v>5862</v>
      </c>
      <c r="U1186">
        <v>1</v>
      </c>
      <c r="V1186" t="s">
        <v>8655</v>
      </c>
      <c r="X1186" t="s">
        <v>3793</v>
      </c>
      <c r="Y1186">
        <f t="shared" si="37"/>
        <v>0</v>
      </c>
    </row>
    <row r="1187" spans="1:25" hidden="1">
      <c r="A1187" t="s">
        <v>5863</v>
      </c>
      <c r="B1187" s="4" t="s">
        <v>5816</v>
      </c>
      <c r="C1187" s="4">
        <v>1162</v>
      </c>
      <c r="D1187" s="4">
        <v>12</v>
      </c>
      <c r="E1187" t="s">
        <v>1444</v>
      </c>
      <c r="F1187" t="s">
        <v>5924</v>
      </c>
      <c r="H1187" t="s">
        <v>5979</v>
      </c>
      <c r="J1187" s="5" t="s">
        <v>8894</v>
      </c>
      <c r="L1187">
        <f t="shared" si="36"/>
        <v>0</v>
      </c>
      <c r="R1187" s="16" t="s">
        <v>8064</v>
      </c>
      <c r="S1187" s="16" t="s">
        <v>8064</v>
      </c>
      <c r="T1187" t="s">
        <v>5863</v>
      </c>
      <c r="U1187">
        <v>1</v>
      </c>
      <c r="V1187" t="s">
        <v>8655</v>
      </c>
      <c r="X1187" t="s">
        <v>3793</v>
      </c>
      <c r="Y1187">
        <f t="shared" si="37"/>
        <v>0</v>
      </c>
    </row>
    <row r="1188" spans="1:25" hidden="1">
      <c r="A1188" t="s">
        <v>5864</v>
      </c>
      <c r="B1188" s="4" t="s">
        <v>5816</v>
      </c>
      <c r="C1188" s="4">
        <v>1162</v>
      </c>
      <c r="D1188" s="4">
        <v>12</v>
      </c>
      <c r="E1188" t="s">
        <v>1444</v>
      </c>
      <c r="F1188" t="s">
        <v>5925</v>
      </c>
      <c r="H1188" t="s">
        <v>5980</v>
      </c>
      <c r="J1188" s="5" t="s">
        <v>8895</v>
      </c>
      <c r="L1188">
        <f t="shared" si="36"/>
        <v>0</v>
      </c>
      <c r="R1188" s="16" t="s">
        <v>8064</v>
      </c>
      <c r="S1188" s="16" t="s">
        <v>8064</v>
      </c>
      <c r="T1188" t="s">
        <v>5864</v>
      </c>
      <c r="U1188">
        <v>1</v>
      </c>
      <c r="V1188" t="s">
        <v>8655</v>
      </c>
      <c r="X1188" t="s">
        <v>3793</v>
      </c>
      <c r="Y1188">
        <f t="shared" si="37"/>
        <v>0</v>
      </c>
    </row>
    <row r="1189" spans="1:25" hidden="1">
      <c r="A1189" t="s">
        <v>5865</v>
      </c>
      <c r="B1189" s="4" t="s">
        <v>5816</v>
      </c>
      <c r="C1189" s="4">
        <v>1162</v>
      </c>
      <c r="D1189" s="4">
        <v>12</v>
      </c>
      <c r="E1189" t="s">
        <v>1444</v>
      </c>
      <c r="F1189" t="s">
        <v>5926</v>
      </c>
      <c r="H1189" t="s">
        <v>5981</v>
      </c>
      <c r="J1189" s="5" t="s">
        <v>8896</v>
      </c>
      <c r="L1189">
        <f t="shared" si="36"/>
        <v>0</v>
      </c>
      <c r="R1189" s="16" t="s">
        <v>8064</v>
      </c>
      <c r="S1189" s="16" t="s">
        <v>8064</v>
      </c>
      <c r="T1189" t="s">
        <v>5865</v>
      </c>
      <c r="U1189">
        <v>1</v>
      </c>
      <c r="V1189" t="s">
        <v>8655</v>
      </c>
      <c r="X1189" t="s">
        <v>3793</v>
      </c>
      <c r="Y1189">
        <f t="shared" si="37"/>
        <v>0</v>
      </c>
    </row>
    <row r="1190" spans="1:25" hidden="1">
      <c r="A1190" t="s">
        <v>5866</v>
      </c>
      <c r="B1190" s="4" t="s">
        <v>5816</v>
      </c>
      <c r="C1190" s="4">
        <v>1162</v>
      </c>
      <c r="D1190" s="4">
        <v>12</v>
      </c>
      <c r="E1190" t="s">
        <v>1444</v>
      </c>
      <c r="F1190" t="s">
        <v>5927</v>
      </c>
      <c r="H1190" t="s">
        <v>5982</v>
      </c>
      <c r="J1190" s="5" t="s">
        <v>8897</v>
      </c>
      <c r="L1190">
        <f t="shared" si="36"/>
        <v>0</v>
      </c>
      <c r="R1190" s="16" t="s">
        <v>8064</v>
      </c>
      <c r="S1190" s="16" t="s">
        <v>8064</v>
      </c>
      <c r="T1190" t="s">
        <v>5866</v>
      </c>
      <c r="U1190">
        <v>1</v>
      </c>
      <c r="V1190" t="s">
        <v>8655</v>
      </c>
      <c r="X1190" t="s">
        <v>3793</v>
      </c>
      <c r="Y1190">
        <f t="shared" si="37"/>
        <v>0</v>
      </c>
    </row>
    <row r="1191" spans="1:25" hidden="1">
      <c r="A1191" t="s">
        <v>5867</v>
      </c>
      <c r="B1191" s="4" t="s">
        <v>5816</v>
      </c>
      <c r="C1191" s="4">
        <v>1162</v>
      </c>
      <c r="D1191" s="4">
        <v>12</v>
      </c>
      <c r="E1191" t="s">
        <v>1444</v>
      </c>
      <c r="F1191" t="s">
        <v>5928</v>
      </c>
      <c r="H1191" t="s">
        <v>5983</v>
      </c>
      <c r="J1191" s="5" t="s">
        <v>8898</v>
      </c>
      <c r="L1191">
        <f t="shared" si="36"/>
        <v>0</v>
      </c>
      <c r="R1191" s="16" t="s">
        <v>8064</v>
      </c>
      <c r="S1191" s="16" t="s">
        <v>8064</v>
      </c>
      <c r="T1191" t="s">
        <v>5867</v>
      </c>
      <c r="U1191">
        <v>1</v>
      </c>
      <c r="V1191" t="s">
        <v>8655</v>
      </c>
      <c r="X1191" t="s">
        <v>3793</v>
      </c>
      <c r="Y1191">
        <f t="shared" si="37"/>
        <v>0</v>
      </c>
    </row>
    <row r="1192" spans="1:25" hidden="1">
      <c r="A1192" t="s">
        <v>5873</v>
      </c>
      <c r="B1192" s="4" t="s">
        <v>5816</v>
      </c>
      <c r="C1192" s="4">
        <v>1162</v>
      </c>
      <c r="D1192" s="4">
        <v>12</v>
      </c>
      <c r="E1192" t="s">
        <v>1444</v>
      </c>
      <c r="F1192" t="s">
        <v>5934</v>
      </c>
      <c r="H1192" t="s">
        <v>5989</v>
      </c>
      <c r="J1192" s="5" t="s">
        <v>8903</v>
      </c>
      <c r="L1192">
        <f t="shared" si="36"/>
        <v>0</v>
      </c>
      <c r="R1192" s="16" t="s">
        <v>8064</v>
      </c>
      <c r="S1192" s="16" t="s">
        <v>8064</v>
      </c>
      <c r="T1192" t="s">
        <v>5873</v>
      </c>
      <c r="U1192">
        <v>1</v>
      </c>
      <c r="V1192" t="s">
        <v>8655</v>
      </c>
      <c r="X1192" t="s">
        <v>3793</v>
      </c>
      <c r="Y1192">
        <f t="shared" si="37"/>
        <v>0</v>
      </c>
    </row>
    <row r="1193" spans="1:25" hidden="1">
      <c r="A1193" t="s">
        <v>5874</v>
      </c>
      <c r="B1193" s="4" t="s">
        <v>5816</v>
      </c>
      <c r="C1193" s="4">
        <v>1162</v>
      </c>
      <c r="D1193" s="4">
        <v>12</v>
      </c>
      <c r="E1193" t="s">
        <v>1444</v>
      </c>
      <c r="F1193" t="s">
        <v>5935</v>
      </c>
      <c r="H1193" t="s">
        <v>5990</v>
      </c>
      <c r="J1193" s="5" t="s">
        <v>8904</v>
      </c>
      <c r="L1193">
        <f t="shared" si="36"/>
        <v>0</v>
      </c>
      <c r="R1193" s="16" t="s">
        <v>8064</v>
      </c>
      <c r="S1193" s="16" t="s">
        <v>8064</v>
      </c>
      <c r="T1193" t="s">
        <v>5874</v>
      </c>
      <c r="U1193">
        <v>1</v>
      </c>
      <c r="V1193" t="s">
        <v>8655</v>
      </c>
      <c r="X1193" t="s">
        <v>3793</v>
      </c>
      <c r="Y1193">
        <f t="shared" si="37"/>
        <v>0</v>
      </c>
    </row>
    <row r="1194" spans="1:25" hidden="1">
      <c r="A1194" t="s">
        <v>5871</v>
      </c>
      <c r="B1194" s="4" t="s">
        <v>5816</v>
      </c>
      <c r="C1194" s="4">
        <v>1162</v>
      </c>
      <c r="D1194" s="4">
        <v>12</v>
      </c>
      <c r="E1194" t="s">
        <v>1444</v>
      </c>
      <c r="F1194" t="s">
        <v>5932</v>
      </c>
      <c r="H1194" t="s">
        <v>5987</v>
      </c>
      <c r="J1194" s="5" t="s">
        <v>8902</v>
      </c>
      <c r="L1194">
        <f t="shared" si="36"/>
        <v>0</v>
      </c>
      <c r="R1194" s="16" t="s">
        <v>8064</v>
      </c>
      <c r="S1194" s="16" t="s">
        <v>8064</v>
      </c>
      <c r="T1194" t="s">
        <v>5871</v>
      </c>
      <c r="U1194">
        <v>1</v>
      </c>
      <c r="V1194" t="s">
        <v>8655</v>
      </c>
      <c r="X1194" t="s">
        <v>3793</v>
      </c>
      <c r="Y1194">
        <f t="shared" si="37"/>
        <v>0</v>
      </c>
    </row>
    <row r="1195" spans="1:25" hidden="1">
      <c r="A1195" t="s">
        <v>5879</v>
      </c>
      <c r="B1195" s="4" t="s">
        <v>5816</v>
      </c>
      <c r="C1195" s="4">
        <v>1162</v>
      </c>
      <c r="D1195" s="4">
        <v>12</v>
      </c>
      <c r="E1195" t="s">
        <v>1444</v>
      </c>
      <c r="F1195" t="s">
        <v>5936</v>
      </c>
      <c r="H1195" t="s">
        <v>5991</v>
      </c>
      <c r="J1195" s="5" t="s">
        <v>8905</v>
      </c>
      <c r="L1195">
        <f t="shared" si="36"/>
        <v>0</v>
      </c>
      <c r="R1195" s="16" t="s">
        <v>8064</v>
      </c>
      <c r="S1195" s="16" t="s">
        <v>8064</v>
      </c>
      <c r="T1195" t="s">
        <v>8036</v>
      </c>
      <c r="U1195">
        <v>1</v>
      </c>
      <c r="V1195" t="s">
        <v>8655</v>
      </c>
      <c r="X1195" t="s">
        <v>3793</v>
      </c>
      <c r="Y1195">
        <f t="shared" si="37"/>
        <v>0</v>
      </c>
    </row>
    <row r="1196" spans="1:25" hidden="1">
      <c r="A1196" t="s">
        <v>5883</v>
      </c>
      <c r="B1196" s="4" t="s">
        <v>5816</v>
      </c>
      <c r="C1196" s="4">
        <v>1162</v>
      </c>
      <c r="D1196" s="4">
        <v>12</v>
      </c>
      <c r="E1196" t="s">
        <v>1444</v>
      </c>
      <c r="F1196" t="s">
        <v>5939</v>
      </c>
      <c r="H1196" t="s">
        <v>5994</v>
      </c>
      <c r="J1196" s="5" t="s">
        <v>8907</v>
      </c>
      <c r="L1196">
        <f t="shared" si="36"/>
        <v>0</v>
      </c>
      <c r="R1196" s="16" t="s">
        <v>8064</v>
      </c>
      <c r="S1196" s="16" t="s">
        <v>8064</v>
      </c>
      <c r="T1196" t="s">
        <v>5883</v>
      </c>
      <c r="U1196">
        <v>1</v>
      </c>
      <c r="V1196" t="s">
        <v>8655</v>
      </c>
      <c r="X1196" t="s">
        <v>3793</v>
      </c>
      <c r="Y1196">
        <f t="shared" si="37"/>
        <v>0</v>
      </c>
    </row>
    <row r="1197" spans="1:25" hidden="1">
      <c r="A1197" t="s">
        <v>5884</v>
      </c>
      <c r="B1197" s="4" t="s">
        <v>5816</v>
      </c>
      <c r="C1197" s="4">
        <v>1162</v>
      </c>
      <c r="D1197" s="4">
        <v>12</v>
      </c>
      <c r="E1197" t="s">
        <v>1444</v>
      </c>
      <c r="F1197" t="s">
        <v>5940</v>
      </c>
      <c r="H1197" t="s">
        <v>5995</v>
      </c>
      <c r="J1197" t="s">
        <v>8668</v>
      </c>
      <c r="L1197">
        <f t="shared" si="36"/>
        <v>0</v>
      </c>
      <c r="R1197" s="16" t="s">
        <v>8064</v>
      </c>
      <c r="S1197" s="16" t="s">
        <v>8064</v>
      </c>
      <c r="T1197" t="s">
        <v>5884</v>
      </c>
      <c r="U1197">
        <v>0</v>
      </c>
      <c r="V1197" t="s">
        <v>8655</v>
      </c>
      <c r="X1197" t="s">
        <v>3793</v>
      </c>
      <c r="Y1197">
        <f t="shared" si="37"/>
        <v>0</v>
      </c>
    </row>
    <row r="1198" spans="1:25" hidden="1">
      <c r="A1198" t="s">
        <v>5885</v>
      </c>
      <c r="B1198" s="4" t="s">
        <v>5816</v>
      </c>
      <c r="C1198" s="4">
        <v>1162</v>
      </c>
      <c r="D1198" s="4">
        <v>12</v>
      </c>
      <c r="E1198" t="s">
        <v>1444</v>
      </c>
      <c r="F1198" t="s">
        <v>5941</v>
      </c>
      <c r="H1198" t="s">
        <v>5996</v>
      </c>
      <c r="J1198" s="5" t="s">
        <v>8908</v>
      </c>
      <c r="L1198">
        <f t="shared" si="36"/>
        <v>0</v>
      </c>
      <c r="R1198" s="16" t="s">
        <v>8064</v>
      </c>
      <c r="S1198" s="16" t="s">
        <v>8064</v>
      </c>
      <c r="T1198" t="s">
        <v>5885</v>
      </c>
      <c r="U1198">
        <v>1</v>
      </c>
      <c r="V1198" t="s">
        <v>8655</v>
      </c>
      <c r="X1198" t="s">
        <v>3793</v>
      </c>
      <c r="Y1198">
        <f t="shared" si="37"/>
        <v>0</v>
      </c>
    </row>
    <row r="1199" spans="1:25" hidden="1">
      <c r="A1199" t="s">
        <v>5886</v>
      </c>
      <c r="B1199" s="4" t="s">
        <v>5816</v>
      </c>
      <c r="C1199" s="4">
        <v>1162</v>
      </c>
      <c r="D1199" s="4">
        <v>12</v>
      </c>
      <c r="E1199" t="s">
        <v>1444</v>
      </c>
      <c r="F1199" t="s">
        <v>5942</v>
      </c>
      <c r="H1199" t="s">
        <v>5997</v>
      </c>
      <c r="J1199" s="5" t="s">
        <v>8909</v>
      </c>
      <c r="L1199">
        <f t="shared" si="36"/>
        <v>0</v>
      </c>
      <c r="R1199" s="16" t="s">
        <v>8064</v>
      </c>
      <c r="S1199" s="16" t="s">
        <v>8064</v>
      </c>
      <c r="T1199" t="s">
        <v>5886</v>
      </c>
      <c r="U1199">
        <v>1</v>
      </c>
      <c r="V1199" t="s">
        <v>8655</v>
      </c>
      <c r="X1199" t="s">
        <v>3793</v>
      </c>
      <c r="Y1199">
        <f t="shared" si="37"/>
        <v>0</v>
      </c>
    </row>
    <row r="1200" spans="1:25" hidden="1">
      <c r="A1200" t="s">
        <v>5887</v>
      </c>
      <c r="B1200" s="4" t="s">
        <v>5816</v>
      </c>
      <c r="C1200" s="4">
        <v>1162</v>
      </c>
      <c r="D1200" s="4">
        <v>12</v>
      </c>
      <c r="E1200" t="s">
        <v>1444</v>
      </c>
      <c r="F1200" t="s">
        <v>5943</v>
      </c>
      <c r="H1200" t="s">
        <v>5998</v>
      </c>
      <c r="J1200" s="5" t="s">
        <v>8910</v>
      </c>
      <c r="L1200">
        <f t="shared" si="36"/>
        <v>0</v>
      </c>
      <c r="R1200" s="16" t="s">
        <v>8064</v>
      </c>
      <c r="S1200" s="16" t="s">
        <v>8064</v>
      </c>
      <c r="T1200" t="s">
        <v>5887</v>
      </c>
      <c r="U1200">
        <v>1</v>
      </c>
      <c r="V1200" t="s">
        <v>8655</v>
      </c>
      <c r="X1200" t="s">
        <v>3793</v>
      </c>
      <c r="Y1200">
        <f t="shared" si="37"/>
        <v>0</v>
      </c>
    </row>
    <row r="1201" spans="1:25" hidden="1">
      <c r="A1201" t="s">
        <v>5888</v>
      </c>
      <c r="B1201" s="4" t="s">
        <v>5816</v>
      </c>
      <c r="C1201" s="4">
        <v>1162</v>
      </c>
      <c r="D1201" s="4">
        <v>12</v>
      </c>
      <c r="E1201" t="s">
        <v>1444</v>
      </c>
      <c r="F1201" t="s">
        <v>5944</v>
      </c>
      <c r="H1201" t="s">
        <v>5999</v>
      </c>
      <c r="J1201" s="5" t="s">
        <v>8911</v>
      </c>
      <c r="L1201">
        <f t="shared" si="36"/>
        <v>0</v>
      </c>
      <c r="R1201" s="16" t="s">
        <v>8064</v>
      </c>
      <c r="S1201" s="16" t="s">
        <v>8064</v>
      </c>
      <c r="T1201" t="s">
        <v>5888</v>
      </c>
      <c r="U1201">
        <v>1</v>
      </c>
      <c r="V1201" t="s">
        <v>8655</v>
      </c>
      <c r="X1201" t="s">
        <v>3793</v>
      </c>
      <c r="Y1201">
        <f t="shared" si="37"/>
        <v>0</v>
      </c>
    </row>
    <row r="1202" spans="1:25" hidden="1">
      <c r="A1202" t="s">
        <v>5842</v>
      </c>
      <c r="B1202" s="4" t="s">
        <v>5816</v>
      </c>
      <c r="C1202" s="4">
        <v>1162</v>
      </c>
      <c r="D1202" s="4">
        <v>12</v>
      </c>
      <c r="E1202" t="s">
        <v>1444</v>
      </c>
      <c r="F1202" s="4" t="s">
        <v>5900</v>
      </c>
      <c r="G1202" s="4"/>
      <c r="H1202" t="s">
        <v>5954</v>
      </c>
      <c r="J1202" s="5" t="s">
        <v>8873</v>
      </c>
      <c r="L1202">
        <f t="shared" si="36"/>
        <v>0</v>
      </c>
      <c r="R1202" s="16" t="s">
        <v>8064</v>
      </c>
      <c r="S1202" s="16" t="s">
        <v>8064</v>
      </c>
      <c r="T1202" t="s">
        <v>5842</v>
      </c>
      <c r="U1202">
        <v>1</v>
      </c>
      <c r="V1202" t="s">
        <v>8655</v>
      </c>
      <c r="X1202" s="4" t="s">
        <v>3793</v>
      </c>
      <c r="Y1202">
        <f t="shared" si="37"/>
        <v>0</v>
      </c>
    </row>
    <row r="1203" spans="1:25" hidden="1">
      <c r="A1203" t="s">
        <v>5844</v>
      </c>
      <c r="B1203" s="4" t="s">
        <v>5816</v>
      </c>
      <c r="C1203" s="4">
        <v>1162</v>
      </c>
      <c r="D1203" s="4">
        <v>12</v>
      </c>
      <c r="E1203" t="s">
        <v>1444</v>
      </c>
      <c r="F1203" t="s">
        <v>5902</v>
      </c>
      <c r="H1203" t="s">
        <v>5956</v>
      </c>
      <c r="J1203" s="5" t="s">
        <v>8875</v>
      </c>
      <c r="L1203">
        <f t="shared" si="36"/>
        <v>0</v>
      </c>
      <c r="R1203" s="16" t="s">
        <v>8064</v>
      </c>
      <c r="S1203" s="16" t="s">
        <v>8064</v>
      </c>
      <c r="T1203" t="s">
        <v>8012</v>
      </c>
      <c r="U1203">
        <v>1</v>
      </c>
      <c r="V1203" t="s">
        <v>8655</v>
      </c>
      <c r="X1203" t="s">
        <v>3793</v>
      </c>
      <c r="Y1203">
        <f t="shared" si="37"/>
        <v>0</v>
      </c>
    </row>
    <row r="1204" spans="1:25" hidden="1">
      <c r="A1204" t="s">
        <v>5843</v>
      </c>
      <c r="B1204" s="4" t="s">
        <v>5816</v>
      </c>
      <c r="C1204" s="4">
        <v>1162</v>
      </c>
      <c r="D1204" s="4">
        <v>12</v>
      </c>
      <c r="E1204" t="s">
        <v>1444</v>
      </c>
      <c r="F1204" t="s">
        <v>5901</v>
      </c>
      <c r="H1204" t="s">
        <v>5955</v>
      </c>
      <c r="J1204" s="5" t="s">
        <v>8874</v>
      </c>
      <c r="L1204">
        <f t="shared" si="36"/>
        <v>0</v>
      </c>
      <c r="R1204" s="16" t="s">
        <v>8064</v>
      </c>
      <c r="S1204" s="16" t="s">
        <v>8064</v>
      </c>
      <c r="T1204" t="s">
        <v>5843</v>
      </c>
      <c r="U1204">
        <v>1</v>
      </c>
      <c r="V1204" t="s">
        <v>8655</v>
      </c>
      <c r="X1204" t="s">
        <v>3793</v>
      </c>
      <c r="Y1204">
        <f t="shared" si="37"/>
        <v>0</v>
      </c>
    </row>
    <row r="1205" spans="1:25" hidden="1">
      <c r="A1205" t="s">
        <v>5877</v>
      </c>
      <c r="B1205" s="4" t="s">
        <v>5111</v>
      </c>
      <c r="C1205" s="4">
        <v>1190</v>
      </c>
      <c r="D1205" s="4">
        <v>12</v>
      </c>
      <c r="E1205" t="s">
        <v>1444</v>
      </c>
      <c r="F1205" s="4" t="s">
        <v>5907</v>
      </c>
      <c r="G1205" s="4"/>
      <c r="H1205" t="s">
        <v>5962</v>
      </c>
      <c r="J1205" t="s">
        <v>8668</v>
      </c>
      <c r="L1205">
        <f t="shared" si="36"/>
        <v>0</v>
      </c>
      <c r="R1205" s="16" t="s">
        <v>8064</v>
      </c>
      <c r="S1205" s="16" t="s">
        <v>8064</v>
      </c>
      <c r="T1205" t="s">
        <v>8014</v>
      </c>
      <c r="U1205">
        <v>0</v>
      </c>
      <c r="V1205" t="s">
        <v>8655</v>
      </c>
      <c r="X1205" s="4" t="s">
        <v>3793</v>
      </c>
      <c r="Y1205">
        <f t="shared" si="37"/>
        <v>0</v>
      </c>
    </row>
    <row r="1206" spans="1:25" hidden="1">
      <c r="A1206" t="s">
        <v>5859</v>
      </c>
      <c r="B1206" s="4" t="s">
        <v>5817</v>
      </c>
      <c r="C1206" s="4">
        <v>1187</v>
      </c>
      <c r="D1206" s="4">
        <v>12</v>
      </c>
      <c r="E1206" t="s">
        <v>1444</v>
      </c>
      <c r="F1206" s="4" t="s">
        <v>5920</v>
      </c>
      <c r="G1206" s="4"/>
      <c r="H1206" t="s">
        <v>5975</v>
      </c>
      <c r="J1206" t="s">
        <v>8668</v>
      </c>
      <c r="L1206">
        <f t="shared" si="36"/>
        <v>0</v>
      </c>
      <c r="R1206" s="16" t="s">
        <v>8064</v>
      </c>
      <c r="S1206" s="16" t="s">
        <v>8064</v>
      </c>
      <c r="T1206" t="s">
        <v>5859</v>
      </c>
      <c r="U1206">
        <v>0</v>
      </c>
      <c r="V1206" t="s">
        <v>8655</v>
      </c>
      <c r="X1206" s="4" t="s">
        <v>3793</v>
      </c>
      <c r="Y1206">
        <f t="shared" si="37"/>
        <v>0</v>
      </c>
    </row>
    <row r="1207" spans="1:25" hidden="1">
      <c r="A1207" t="s">
        <v>5860</v>
      </c>
      <c r="B1207" s="4" t="s">
        <v>5817</v>
      </c>
      <c r="C1207" s="4">
        <v>1187</v>
      </c>
      <c r="D1207" s="4">
        <v>12</v>
      </c>
      <c r="E1207" t="s">
        <v>1444</v>
      </c>
      <c r="F1207" t="s">
        <v>5921</v>
      </c>
      <c r="H1207" t="s">
        <v>5976</v>
      </c>
      <c r="J1207" s="5" t="s">
        <v>8892</v>
      </c>
      <c r="L1207">
        <f t="shared" si="36"/>
        <v>0</v>
      </c>
      <c r="R1207" s="16" t="s">
        <v>8064</v>
      </c>
      <c r="S1207" s="16" t="s">
        <v>8064</v>
      </c>
      <c r="T1207" t="s">
        <v>5860</v>
      </c>
      <c r="U1207">
        <v>1</v>
      </c>
      <c r="V1207" t="s">
        <v>8655</v>
      </c>
      <c r="X1207" t="s">
        <v>3793</v>
      </c>
      <c r="Y1207">
        <f t="shared" si="37"/>
        <v>0</v>
      </c>
    </row>
    <row r="1208" spans="1:25" hidden="1">
      <c r="A1208" t="s">
        <v>5836</v>
      </c>
      <c r="B1208" s="4">
        <v>911</v>
      </c>
      <c r="C1208" s="4">
        <v>911</v>
      </c>
      <c r="D1208" s="4">
        <v>10</v>
      </c>
      <c r="E1208" t="s">
        <v>1444</v>
      </c>
      <c r="F1208" s="4" t="s">
        <v>5895</v>
      </c>
      <c r="G1208" s="4"/>
      <c r="H1208" t="s">
        <v>6002</v>
      </c>
      <c r="J1208" t="s">
        <v>8668</v>
      </c>
      <c r="L1208">
        <f t="shared" si="36"/>
        <v>0</v>
      </c>
      <c r="R1208" s="16" t="s">
        <v>8064</v>
      </c>
      <c r="S1208" s="16" t="s">
        <v>8064</v>
      </c>
      <c r="T1208" t="s">
        <v>8017</v>
      </c>
      <c r="U1208">
        <v>0</v>
      </c>
      <c r="V1208" t="s">
        <v>8655</v>
      </c>
      <c r="X1208" s="4" t="s">
        <v>3793</v>
      </c>
      <c r="Y1208">
        <f t="shared" si="37"/>
        <v>0</v>
      </c>
    </row>
    <row r="1209" spans="1:25" hidden="1">
      <c r="A1209" t="s">
        <v>5837</v>
      </c>
      <c r="B1209" s="4" t="s">
        <v>5814</v>
      </c>
      <c r="C1209" s="4">
        <v>911</v>
      </c>
      <c r="D1209" s="4">
        <v>10</v>
      </c>
      <c r="E1209" t="s">
        <v>1444</v>
      </c>
      <c r="F1209" s="4" t="s">
        <v>5895</v>
      </c>
      <c r="G1209" s="4"/>
      <c r="H1209" t="s">
        <v>6002</v>
      </c>
      <c r="J1209" t="s">
        <v>8668</v>
      </c>
      <c r="L1209">
        <f t="shared" si="36"/>
        <v>0</v>
      </c>
      <c r="R1209" s="16" t="s">
        <v>8064</v>
      </c>
      <c r="S1209" s="16" t="s">
        <v>8064</v>
      </c>
      <c r="T1209" t="s">
        <v>8017</v>
      </c>
      <c r="U1209">
        <v>0</v>
      </c>
      <c r="V1209" t="s">
        <v>8655</v>
      </c>
      <c r="X1209" s="4" t="s">
        <v>3793</v>
      </c>
      <c r="Y1209">
        <f t="shared" si="37"/>
        <v>0</v>
      </c>
    </row>
    <row r="1210" spans="1:25" hidden="1">
      <c r="A1210" t="s">
        <v>5869</v>
      </c>
      <c r="B1210" s="4" t="s">
        <v>5817</v>
      </c>
      <c r="C1210" s="4">
        <v>1187</v>
      </c>
      <c r="D1210" s="4">
        <v>12</v>
      </c>
      <c r="E1210" t="s">
        <v>1444</v>
      </c>
      <c r="F1210" t="s">
        <v>5930</v>
      </c>
      <c r="H1210" t="s">
        <v>5985</v>
      </c>
      <c r="J1210" s="5" t="s">
        <v>8900</v>
      </c>
      <c r="L1210">
        <f t="shared" si="36"/>
        <v>0</v>
      </c>
      <c r="R1210" s="16" t="s">
        <v>8064</v>
      </c>
      <c r="S1210" s="16" t="s">
        <v>8064</v>
      </c>
      <c r="T1210" t="s">
        <v>5869</v>
      </c>
      <c r="U1210">
        <v>1</v>
      </c>
      <c r="V1210" t="s">
        <v>8655</v>
      </c>
      <c r="X1210" t="s">
        <v>3793</v>
      </c>
      <c r="Y1210">
        <f t="shared" si="37"/>
        <v>0</v>
      </c>
    </row>
    <row r="1211" spans="1:25" hidden="1">
      <c r="A1211" t="s">
        <v>5849</v>
      </c>
      <c r="B1211" s="4" t="s">
        <v>5818</v>
      </c>
      <c r="C1211" s="4">
        <v>1200</v>
      </c>
      <c r="D1211" s="4">
        <v>13</v>
      </c>
      <c r="E1211" t="s">
        <v>1444</v>
      </c>
      <c r="F1211" s="4" t="s">
        <v>5910</v>
      </c>
      <c r="G1211" s="4"/>
      <c r="H1211" t="s">
        <v>5965</v>
      </c>
      <c r="J1211" s="5" t="s">
        <v>8882</v>
      </c>
      <c r="L1211">
        <f t="shared" si="36"/>
        <v>0</v>
      </c>
      <c r="R1211" s="16" t="s">
        <v>8064</v>
      </c>
      <c r="S1211" s="16" t="s">
        <v>8064</v>
      </c>
      <c r="T1211" t="s">
        <v>5849</v>
      </c>
      <c r="U1211">
        <v>1</v>
      </c>
      <c r="V1211" t="s">
        <v>8655</v>
      </c>
      <c r="X1211" s="4" t="s">
        <v>3793</v>
      </c>
      <c r="Y1211">
        <f t="shared" si="37"/>
        <v>0</v>
      </c>
    </row>
    <row r="1212" spans="1:25" hidden="1">
      <c r="A1212" t="s">
        <v>5831</v>
      </c>
      <c r="B1212" s="4" t="s">
        <v>5819</v>
      </c>
      <c r="C1212" s="4">
        <v>1196</v>
      </c>
      <c r="D1212" s="4">
        <v>12</v>
      </c>
      <c r="E1212" t="s">
        <v>1444</v>
      </c>
      <c r="F1212" s="4" t="s">
        <v>5891</v>
      </c>
      <c r="G1212" s="4"/>
      <c r="H1212" t="s">
        <v>5947</v>
      </c>
      <c r="J1212" s="5" t="s">
        <v>8912</v>
      </c>
      <c r="L1212">
        <f t="shared" si="36"/>
        <v>0</v>
      </c>
      <c r="R1212" s="16" t="s">
        <v>8064</v>
      </c>
      <c r="S1212" s="16" t="s">
        <v>8064</v>
      </c>
      <c r="T1212" t="s">
        <v>5831</v>
      </c>
      <c r="U1212">
        <v>1</v>
      </c>
      <c r="V1212" t="s">
        <v>8655</v>
      </c>
      <c r="X1212" s="4" t="s">
        <v>3793</v>
      </c>
      <c r="Y1212">
        <f t="shared" si="37"/>
        <v>0</v>
      </c>
    </row>
    <row r="1213" spans="1:25" hidden="1">
      <c r="A1213" t="s">
        <v>5868</v>
      </c>
      <c r="B1213" s="4" t="s">
        <v>5820</v>
      </c>
      <c r="C1213" s="4">
        <v>1210</v>
      </c>
      <c r="D1213" s="4">
        <v>13</v>
      </c>
      <c r="E1213" t="s">
        <v>1444</v>
      </c>
      <c r="F1213" s="4" t="s">
        <v>5929</v>
      </c>
      <c r="G1213" s="4"/>
      <c r="H1213" t="s">
        <v>5984</v>
      </c>
      <c r="J1213" s="5" t="s">
        <v>8899</v>
      </c>
      <c r="L1213">
        <f t="shared" si="36"/>
        <v>0</v>
      </c>
      <c r="R1213" s="16" t="s">
        <v>8064</v>
      </c>
      <c r="S1213" s="16" t="s">
        <v>8064</v>
      </c>
      <c r="T1213" t="s">
        <v>5868</v>
      </c>
      <c r="U1213">
        <v>1</v>
      </c>
      <c r="V1213" t="s">
        <v>8655</v>
      </c>
      <c r="X1213" s="4" t="s">
        <v>3793</v>
      </c>
      <c r="Y1213">
        <f t="shared" si="37"/>
        <v>0</v>
      </c>
    </row>
    <row r="1214" spans="1:25" hidden="1">
      <c r="A1214" t="s">
        <v>5882</v>
      </c>
      <c r="B1214" s="4" t="s">
        <v>5881</v>
      </c>
      <c r="C1214" s="4">
        <v>1203</v>
      </c>
      <c r="D1214" s="4">
        <v>13</v>
      </c>
      <c r="E1214" t="s">
        <v>1444</v>
      </c>
      <c r="F1214" s="4" t="s">
        <v>5938</v>
      </c>
      <c r="G1214" s="4"/>
      <c r="H1214" t="s">
        <v>5993</v>
      </c>
      <c r="J1214" s="5" t="s">
        <v>8906</v>
      </c>
      <c r="L1214">
        <f t="shared" si="36"/>
        <v>0</v>
      </c>
      <c r="R1214" s="16" t="s">
        <v>8064</v>
      </c>
      <c r="S1214" s="16" t="s">
        <v>8064</v>
      </c>
      <c r="T1214" t="s">
        <v>5882</v>
      </c>
      <c r="U1214">
        <v>1</v>
      </c>
      <c r="V1214" t="s">
        <v>8655</v>
      </c>
      <c r="X1214" s="4" t="s">
        <v>3793</v>
      </c>
      <c r="Y1214">
        <f t="shared" si="37"/>
        <v>0</v>
      </c>
    </row>
    <row r="1215" spans="1:25" hidden="1">
      <c r="A1215" t="s">
        <v>5889</v>
      </c>
      <c r="B1215" s="4" t="s">
        <v>5821</v>
      </c>
      <c r="C1215" s="4">
        <v>1238</v>
      </c>
      <c r="D1215" s="4">
        <v>13</v>
      </c>
      <c r="E1215" t="s">
        <v>1444</v>
      </c>
      <c r="F1215" s="4" t="s">
        <v>5945</v>
      </c>
      <c r="G1215" s="4"/>
      <c r="H1215" t="s">
        <v>6000</v>
      </c>
      <c r="J1215" t="s">
        <v>8668</v>
      </c>
      <c r="L1215">
        <f t="shared" si="36"/>
        <v>0</v>
      </c>
      <c r="R1215" s="16" t="s">
        <v>8064</v>
      </c>
      <c r="S1215" s="16" t="s">
        <v>8064</v>
      </c>
      <c r="T1215" t="s">
        <v>5889</v>
      </c>
      <c r="U1215">
        <v>0</v>
      </c>
      <c r="V1215" t="s">
        <v>8655</v>
      </c>
      <c r="X1215" s="4" t="s">
        <v>3793</v>
      </c>
      <c r="Y1215">
        <f t="shared" si="37"/>
        <v>0</v>
      </c>
    </row>
    <row r="1216" spans="1:25" hidden="1">
      <c r="A1216" t="s">
        <v>5870</v>
      </c>
      <c r="B1216" s="4" t="s">
        <v>5822</v>
      </c>
      <c r="C1216" s="4">
        <v>1263</v>
      </c>
      <c r="D1216" s="4">
        <v>13</v>
      </c>
      <c r="E1216" t="s">
        <v>1444</v>
      </c>
      <c r="F1216" s="4" t="s">
        <v>5931</v>
      </c>
      <c r="G1216" s="4"/>
      <c r="H1216" t="s">
        <v>5986</v>
      </c>
      <c r="J1216" s="5" t="s">
        <v>8901</v>
      </c>
      <c r="L1216">
        <f t="shared" si="36"/>
        <v>0</v>
      </c>
      <c r="R1216" s="16" t="s">
        <v>8064</v>
      </c>
      <c r="S1216" s="16" t="s">
        <v>8064</v>
      </c>
      <c r="T1216" t="s">
        <v>5870</v>
      </c>
      <c r="U1216">
        <v>1</v>
      </c>
      <c r="V1216" t="s">
        <v>8655</v>
      </c>
      <c r="X1216" s="4" t="s">
        <v>3793</v>
      </c>
      <c r="Y1216">
        <f t="shared" si="37"/>
        <v>0</v>
      </c>
    </row>
    <row r="1217" spans="1:27" hidden="1">
      <c r="A1217" t="s">
        <v>5812</v>
      </c>
      <c r="B1217">
        <v>1253</v>
      </c>
      <c r="C1217">
        <v>1253</v>
      </c>
      <c r="D1217">
        <v>13</v>
      </c>
      <c r="E1217" t="s">
        <v>5813</v>
      </c>
      <c r="F1217" t="s">
        <v>5824</v>
      </c>
      <c r="H1217" t="s">
        <v>6010</v>
      </c>
      <c r="J1217">
        <v>0</v>
      </c>
      <c r="L1217">
        <f t="shared" si="36"/>
        <v>1</v>
      </c>
      <c r="M1217" t="s">
        <v>5813</v>
      </c>
      <c r="N1217" t="s">
        <v>6480</v>
      </c>
      <c r="O1217" t="s">
        <v>6394</v>
      </c>
      <c r="P1217">
        <v>86330</v>
      </c>
      <c r="Q1217">
        <v>476960</v>
      </c>
      <c r="R1217" s="16" t="s">
        <v>8509</v>
      </c>
      <c r="S1217" s="16" t="s">
        <v>8339</v>
      </c>
      <c r="T1217" t="s">
        <v>5812</v>
      </c>
      <c r="U1217">
        <v>1</v>
      </c>
      <c r="V1217" t="s">
        <v>8654</v>
      </c>
      <c r="W1217" t="s">
        <v>6394</v>
      </c>
      <c r="X1217" t="s">
        <v>3793</v>
      </c>
      <c r="Y1217">
        <f t="shared" si="37"/>
        <v>1</v>
      </c>
    </row>
    <row r="1218" spans="1:27" hidden="1">
      <c r="A1218" t="s">
        <v>5809</v>
      </c>
      <c r="B1218" t="s">
        <v>5804</v>
      </c>
      <c r="C1218">
        <v>1265</v>
      </c>
      <c r="D1218">
        <v>13</v>
      </c>
      <c r="E1218" t="s">
        <v>1444</v>
      </c>
      <c r="F1218" t="s">
        <v>5825</v>
      </c>
      <c r="H1218" t="s">
        <v>6008</v>
      </c>
      <c r="J1218" t="s">
        <v>8668</v>
      </c>
      <c r="L1218">
        <f t="shared" ref="L1218:L1281" si="38">IF(M1218&lt;&gt;"",1,0)</f>
        <v>0</v>
      </c>
      <c r="R1218" s="16" t="s">
        <v>8064</v>
      </c>
      <c r="S1218" s="16" t="s">
        <v>8064</v>
      </c>
      <c r="T1218" t="s">
        <v>5809</v>
      </c>
      <c r="U1218">
        <v>0</v>
      </c>
      <c r="V1218" t="s">
        <v>8655</v>
      </c>
      <c r="X1218" t="s">
        <v>3793</v>
      </c>
      <c r="Y1218">
        <f t="shared" ref="Y1218:Y1281" si="39">IF(OR(V1218="Loc",V1218="IIIF"),1,0)</f>
        <v>0</v>
      </c>
    </row>
    <row r="1219" spans="1:27" hidden="1">
      <c r="A1219" t="s">
        <v>5808</v>
      </c>
      <c r="B1219">
        <v>1260</v>
      </c>
      <c r="C1219">
        <v>1260</v>
      </c>
      <c r="D1219">
        <v>13</v>
      </c>
      <c r="E1219" t="s">
        <v>1444</v>
      </c>
      <c r="F1219" t="s">
        <v>5826</v>
      </c>
      <c r="H1219" t="s">
        <v>6007</v>
      </c>
      <c r="J1219" t="s">
        <v>8668</v>
      </c>
      <c r="L1219">
        <f t="shared" si="38"/>
        <v>0</v>
      </c>
      <c r="R1219" s="16" t="s">
        <v>8064</v>
      </c>
      <c r="S1219" s="16" t="s">
        <v>8064</v>
      </c>
      <c r="T1219" t="s">
        <v>8038</v>
      </c>
      <c r="U1219">
        <v>0</v>
      </c>
      <c r="V1219" t="s">
        <v>8655</v>
      </c>
      <c r="X1219" t="s">
        <v>3793</v>
      </c>
      <c r="Y1219">
        <f t="shared" si="39"/>
        <v>0</v>
      </c>
    </row>
    <row r="1220" spans="1:27" hidden="1">
      <c r="A1220" t="s">
        <v>5810</v>
      </c>
      <c r="B1220">
        <v>1273</v>
      </c>
      <c r="C1220">
        <v>1273</v>
      </c>
      <c r="D1220">
        <v>13</v>
      </c>
      <c r="E1220" t="s">
        <v>5811</v>
      </c>
      <c r="F1220" t="s">
        <v>5827</v>
      </c>
      <c r="H1220" t="s">
        <v>6009</v>
      </c>
      <c r="J1220">
        <v>0</v>
      </c>
      <c r="L1220">
        <f t="shared" si="38"/>
        <v>1</v>
      </c>
      <c r="M1220" t="s">
        <v>5811</v>
      </c>
      <c r="N1220" t="s">
        <v>6950</v>
      </c>
      <c r="O1220" t="s">
        <v>6394</v>
      </c>
      <c r="P1220" t="s">
        <v>6951</v>
      </c>
      <c r="Q1220" t="s">
        <v>6952</v>
      </c>
      <c r="R1220" s="16" t="s">
        <v>8634</v>
      </c>
      <c r="S1220" s="16" t="s">
        <v>8338</v>
      </c>
      <c r="T1220" t="s">
        <v>5810</v>
      </c>
      <c r="U1220">
        <v>1</v>
      </c>
      <c r="V1220" t="s">
        <v>8654</v>
      </c>
      <c r="W1220" t="s">
        <v>6394</v>
      </c>
      <c r="X1220" t="s">
        <v>3793</v>
      </c>
      <c r="Y1220">
        <f t="shared" si="39"/>
        <v>1</v>
      </c>
    </row>
    <row r="1221" spans="1:27" hidden="1">
      <c r="A1221" t="s">
        <v>7665</v>
      </c>
      <c r="B1221">
        <v>1284</v>
      </c>
      <c r="C1221">
        <v>1284</v>
      </c>
      <c r="D1221">
        <v>13</v>
      </c>
      <c r="E1221" t="s">
        <v>1444</v>
      </c>
      <c r="F1221" t="s">
        <v>2581</v>
      </c>
      <c r="H1221" t="s">
        <v>2571</v>
      </c>
      <c r="J1221" t="s">
        <v>8668</v>
      </c>
      <c r="L1221">
        <f t="shared" si="38"/>
        <v>0</v>
      </c>
      <c r="R1221" s="16" t="s">
        <v>8064</v>
      </c>
      <c r="S1221" s="16" t="s">
        <v>8064</v>
      </c>
      <c r="T1221" t="s">
        <v>7665</v>
      </c>
      <c r="U1221">
        <v>0</v>
      </c>
      <c r="V1221" t="s">
        <v>8655</v>
      </c>
      <c r="X1221" t="s">
        <v>8662</v>
      </c>
      <c r="Y1221">
        <f t="shared" si="39"/>
        <v>0</v>
      </c>
    </row>
    <row r="1222" spans="1:27" hidden="1">
      <c r="A1222" t="s">
        <v>7666</v>
      </c>
      <c r="B1222">
        <v>1295</v>
      </c>
      <c r="C1222">
        <v>1295</v>
      </c>
      <c r="D1222">
        <v>13</v>
      </c>
      <c r="E1222" t="s">
        <v>1444</v>
      </c>
      <c r="F1222" t="s">
        <v>2580</v>
      </c>
      <c r="H1222" t="s">
        <v>2572</v>
      </c>
      <c r="J1222" t="s">
        <v>8668</v>
      </c>
      <c r="L1222">
        <f t="shared" si="38"/>
        <v>0</v>
      </c>
      <c r="R1222" s="16" t="s">
        <v>8064</v>
      </c>
      <c r="S1222" s="16" t="s">
        <v>8064</v>
      </c>
      <c r="T1222" t="s">
        <v>7666</v>
      </c>
      <c r="U1222">
        <v>0</v>
      </c>
      <c r="V1222" t="s">
        <v>8655</v>
      </c>
      <c r="X1222" t="s">
        <v>8662</v>
      </c>
      <c r="Y1222">
        <f t="shared" si="39"/>
        <v>0</v>
      </c>
    </row>
    <row r="1223" spans="1:27" hidden="1">
      <c r="A1223" t="s">
        <v>7664</v>
      </c>
      <c r="B1223">
        <v>1296</v>
      </c>
      <c r="C1223">
        <v>1296</v>
      </c>
      <c r="D1223">
        <v>13</v>
      </c>
      <c r="E1223" t="s">
        <v>1444</v>
      </c>
      <c r="F1223" t="s">
        <v>2579</v>
      </c>
      <c r="H1223" t="s">
        <v>2573</v>
      </c>
      <c r="J1223" t="s">
        <v>8668</v>
      </c>
      <c r="L1223">
        <f t="shared" si="38"/>
        <v>0</v>
      </c>
      <c r="R1223" s="16" t="s">
        <v>8064</v>
      </c>
      <c r="S1223" s="16" t="s">
        <v>8064</v>
      </c>
      <c r="T1223" t="s">
        <v>7664</v>
      </c>
      <c r="U1223">
        <v>0</v>
      </c>
      <c r="V1223" t="s">
        <v>8655</v>
      </c>
      <c r="X1223" t="s">
        <v>8662</v>
      </c>
      <c r="Y1223">
        <f t="shared" si="39"/>
        <v>0</v>
      </c>
      <c r="AA1223" s="7"/>
    </row>
    <row r="1224" spans="1:27" hidden="1">
      <c r="A1224" t="s">
        <v>2771</v>
      </c>
      <c r="B1224" t="s">
        <v>2800</v>
      </c>
      <c r="C1224">
        <v>1253</v>
      </c>
      <c r="D1224">
        <v>13</v>
      </c>
      <c r="E1224" t="s">
        <v>2762</v>
      </c>
      <c r="F1224" t="s">
        <v>2780</v>
      </c>
      <c r="H1224" t="s">
        <v>2809</v>
      </c>
      <c r="J1224" t="s">
        <v>8668</v>
      </c>
      <c r="L1224">
        <f t="shared" si="38"/>
        <v>1</v>
      </c>
      <c r="M1224" t="s">
        <v>2762</v>
      </c>
      <c r="N1224" t="s">
        <v>6324</v>
      </c>
      <c r="O1224" t="s">
        <v>11</v>
      </c>
      <c r="P1224">
        <v>113410</v>
      </c>
      <c r="Q1224">
        <v>444940</v>
      </c>
      <c r="R1224" s="16" t="s">
        <v>8378</v>
      </c>
      <c r="S1224" s="16" t="s">
        <v>8082</v>
      </c>
      <c r="T1224" t="s">
        <v>2771</v>
      </c>
      <c r="U1224">
        <v>0</v>
      </c>
      <c r="V1224" t="s">
        <v>8654</v>
      </c>
      <c r="W1224" t="s">
        <v>11</v>
      </c>
      <c r="X1224" t="s">
        <v>3092</v>
      </c>
      <c r="Y1224">
        <f t="shared" si="39"/>
        <v>1</v>
      </c>
    </row>
    <row r="1225" spans="1:27" hidden="1">
      <c r="A1225" t="s">
        <v>2770</v>
      </c>
      <c r="B1225">
        <v>1254</v>
      </c>
      <c r="C1225">
        <v>1254</v>
      </c>
      <c r="D1225">
        <v>13</v>
      </c>
      <c r="E1225" t="s">
        <v>2761</v>
      </c>
      <c r="F1225" t="s">
        <v>2779</v>
      </c>
      <c r="H1225" t="s">
        <v>2808</v>
      </c>
      <c r="J1225" t="s">
        <v>8668</v>
      </c>
      <c r="L1225">
        <f t="shared" si="38"/>
        <v>1</v>
      </c>
      <c r="M1225" t="s">
        <v>2761</v>
      </c>
      <c r="N1225" t="s">
        <v>6299</v>
      </c>
      <c r="O1225" t="s">
        <v>11</v>
      </c>
      <c r="P1225">
        <v>135760</v>
      </c>
      <c r="Q1225">
        <v>461280</v>
      </c>
      <c r="R1225" s="16" t="s">
        <v>8635</v>
      </c>
      <c r="S1225" s="16" t="s">
        <v>8340</v>
      </c>
      <c r="T1225" t="s">
        <v>2770</v>
      </c>
      <c r="U1225">
        <v>0</v>
      </c>
      <c r="V1225" t="s">
        <v>8654</v>
      </c>
      <c r="W1225" t="s">
        <v>11</v>
      </c>
      <c r="X1225" t="s">
        <v>3092</v>
      </c>
      <c r="Y1225">
        <f t="shared" si="39"/>
        <v>1</v>
      </c>
    </row>
    <row r="1226" spans="1:27" hidden="1">
      <c r="A1226" t="s">
        <v>7617</v>
      </c>
      <c r="B1226">
        <v>1294</v>
      </c>
      <c r="C1226">
        <v>1294</v>
      </c>
      <c r="D1226">
        <v>13</v>
      </c>
      <c r="E1226" t="s">
        <v>91</v>
      </c>
      <c r="F1226" t="s">
        <v>1139</v>
      </c>
      <c r="H1226" t="s">
        <v>378</v>
      </c>
      <c r="J1226" t="s">
        <v>8668</v>
      </c>
      <c r="L1226">
        <f t="shared" si="38"/>
        <v>1</v>
      </c>
      <c r="M1226" t="s">
        <v>0</v>
      </c>
      <c r="N1226" t="s">
        <v>6399</v>
      </c>
      <c r="O1226" t="s">
        <v>12</v>
      </c>
      <c r="P1226">
        <v>-12570</v>
      </c>
      <c r="Q1226">
        <v>517520</v>
      </c>
      <c r="R1226" s="16" t="s">
        <v>8457</v>
      </c>
      <c r="S1226" s="16" t="s">
        <v>8060</v>
      </c>
      <c r="T1226" t="s">
        <v>7896</v>
      </c>
      <c r="U1226">
        <v>0</v>
      </c>
      <c r="V1226" t="s">
        <v>8654</v>
      </c>
      <c r="W1226" t="s">
        <v>12</v>
      </c>
      <c r="X1226" t="s">
        <v>8663</v>
      </c>
      <c r="Y1226">
        <f t="shared" si="39"/>
        <v>1</v>
      </c>
    </row>
    <row r="1227" spans="1:27" hidden="1">
      <c r="A1227" t="s">
        <v>2774</v>
      </c>
      <c r="B1227">
        <v>1291</v>
      </c>
      <c r="C1227">
        <v>1291</v>
      </c>
      <c r="D1227">
        <v>13</v>
      </c>
      <c r="E1227" t="s">
        <v>2765</v>
      </c>
      <c r="F1227" t="s">
        <v>2782</v>
      </c>
      <c r="H1227" t="s">
        <v>2810</v>
      </c>
      <c r="J1227" t="s">
        <v>8668</v>
      </c>
      <c r="L1227">
        <f t="shared" si="38"/>
        <v>1</v>
      </c>
      <c r="M1227" t="s">
        <v>6298</v>
      </c>
      <c r="N1227" t="s">
        <v>6299</v>
      </c>
      <c r="O1227" t="s">
        <v>11</v>
      </c>
      <c r="P1227">
        <v>134010</v>
      </c>
      <c r="Q1227">
        <v>457680</v>
      </c>
      <c r="R1227" s="16" t="s">
        <v>8636</v>
      </c>
      <c r="S1227" s="16" t="s">
        <v>8341</v>
      </c>
      <c r="T1227" t="s">
        <v>2774</v>
      </c>
      <c r="U1227">
        <v>0</v>
      </c>
      <c r="V1227" t="s">
        <v>8654</v>
      </c>
      <c r="W1227" t="s">
        <v>11</v>
      </c>
      <c r="X1227" t="s">
        <v>3092</v>
      </c>
      <c r="Y1227">
        <f t="shared" si="39"/>
        <v>1</v>
      </c>
    </row>
    <row r="1228" spans="1:27" hidden="1">
      <c r="A1228" t="s">
        <v>2753</v>
      </c>
      <c r="B1228">
        <v>1152</v>
      </c>
      <c r="C1228">
        <v>1152</v>
      </c>
      <c r="D1228">
        <v>12</v>
      </c>
      <c r="E1228" t="s">
        <v>1444</v>
      </c>
      <c r="F1228" t="s">
        <v>2754</v>
      </c>
      <c r="H1228" t="s">
        <v>2801</v>
      </c>
      <c r="J1228" t="s">
        <v>8668</v>
      </c>
      <c r="L1228">
        <f t="shared" si="38"/>
        <v>0</v>
      </c>
      <c r="R1228" s="16" t="s">
        <v>8064</v>
      </c>
      <c r="S1228" s="16" t="s">
        <v>8064</v>
      </c>
      <c r="T1228" t="s">
        <v>2753</v>
      </c>
      <c r="U1228">
        <v>0</v>
      </c>
      <c r="V1228" t="s">
        <v>8655</v>
      </c>
      <c r="X1228" t="s">
        <v>3092</v>
      </c>
      <c r="Y1228">
        <f t="shared" si="39"/>
        <v>0</v>
      </c>
    </row>
    <row r="1229" spans="1:27" hidden="1">
      <c r="A1229" t="s">
        <v>7718</v>
      </c>
      <c r="B1229">
        <v>1180</v>
      </c>
      <c r="C1229">
        <v>1180</v>
      </c>
      <c r="D1229">
        <v>12</v>
      </c>
      <c r="E1229" t="s">
        <v>1444</v>
      </c>
      <c r="F1229" t="s">
        <v>2755</v>
      </c>
      <c r="H1229" t="s">
        <v>2802</v>
      </c>
      <c r="J1229" t="s">
        <v>8668</v>
      </c>
      <c r="L1229">
        <f t="shared" si="38"/>
        <v>0</v>
      </c>
      <c r="R1229" s="16" t="s">
        <v>8064</v>
      </c>
      <c r="S1229" s="16" t="s">
        <v>8064</v>
      </c>
      <c r="T1229" t="s">
        <v>7718</v>
      </c>
      <c r="U1229">
        <v>0</v>
      </c>
      <c r="V1229" t="s">
        <v>8655</v>
      </c>
      <c r="X1229" t="s">
        <v>3092</v>
      </c>
      <c r="Y1229">
        <f t="shared" si="39"/>
        <v>0</v>
      </c>
    </row>
    <row r="1230" spans="1:27" hidden="1">
      <c r="A1230" t="s">
        <v>2768</v>
      </c>
      <c r="B1230" t="s">
        <v>2757</v>
      </c>
      <c r="C1230">
        <v>1208</v>
      </c>
      <c r="D1230">
        <v>13</v>
      </c>
      <c r="E1230" t="s">
        <v>2758</v>
      </c>
      <c r="F1230" t="s">
        <v>2777</v>
      </c>
      <c r="H1230" t="s">
        <v>2804</v>
      </c>
      <c r="J1230" t="s">
        <v>8668</v>
      </c>
      <c r="L1230">
        <f t="shared" si="38"/>
        <v>1</v>
      </c>
      <c r="M1230" t="s">
        <v>6597</v>
      </c>
      <c r="N1230" t="s">
        <v>6293</v>
      </c>
      <c r="O1230" t="s">
        <v>3995</v>
      </c>
      <c r="P1230" t="s">
        <v>6598</v>
      </c>
      <c r="Q1230" t="s">
        <v>6599</v>
      </c>
      <c r="R1230" s="16" t="s">
        <v>6598</v>
      </c>
      <c r="S1230" s="16" t="s">
        <v>6599</v>
      </c>
      <c r="T1230" t="s">
        <v>2768</v>
      </c>
      <c r="U1230">
        <v>0</v>
      </c>
      <c r="V1230" t="s">
        <v>8654</v>
      </c>
      <c r="W1230" t="s">
        <v>3995</v>
      </c>
      <c r="X1230" t="s">
        <v>3092</v>
      </c>
      <c r="Y1230">
        <f t="shared" si="39"/>
        <v>1</v>
      </c>
    </row>
    <row r="1231" spans="1:27" hidden="1">
      <c r="A1231" t="s">
        <v>2799</v>
      </c>
      <c r="B1231">
        <v>1203</v>
      </c>
      <c r="C1231">
        <v>1203</v>
      </c>
      <c r="D1231">
        <v>13</v>
      </c>
      <c r="E1231" t="s">
        <v>2761</v>
      </c>
      <c r="F1231" t="s">
        <v>2779</v>
      </c>
      <c r="H1231" t="s">
        <v>2806</v>
      </c>
      <c r="J1231" t="s">
        <v>8668</v>
      </c>
      <c r="L1231">
        <f t="shared" si="38"/>
        <v>1</v>
      </c>
      <c r="M1231" t="s">
        <v>2761</v>
      </c>
      <c r="N1231" t="s">
        <v>6299</v>
      </c>
      <c r="O1231" t="s">
        <v>11</v>
      </c>
      <c r="P1231">
        <v>135760</v>
      </c>
      <c r="Q1231">
        <v>461280</v>
      </c>
      <c r="R1231" s="16" t="s">
        <v>8635</v>
      </c>
      <c r="S1231" s="16" t="s">
        <v>8340</v>
      </c>
      <c r="T1231" t="s">
        <v>8018</v>
      </c>
      <c r="U1231">
        <v>0</v>
      </c>
      <c r="V1231" t="s">
        <v>8654</v>
      </c>
      <c r="W1231" t="s">
        <v>11</v>
      </c>
      <c r="X1231" t="s">
        <v>3092</v>
      </c>
      <c r="Y1231">
        <f t="shared" si="39"/>
        <v>1</v>
      </c>
    </row>
    <row r="1232" spans="1:27" hidden="1">
      <c r="A1232" t="s">
        <v>2769</v>
      </c>
      <c r="B1232" t="s">
        <v>2759</v>
      </c>
      <c r="C1232">
        <v>1236</v>
      </c>
      <c r="D1232">
        <v>13</v>
      </c>
      <c r="E1232" t="s">
        <v>2760</v>
      </c>
      <c r="F1232" t="s">
        <v>2778</v>
      </c>
      <c r="H1232" t="s">
        <v>2805</v>
      </c>
      <c r="J1232" t="s">
        <v>8668</v>
      </c>
      <c r="L1232">
        <f t="shared" si="38"/>
        <v>1</v>
      </c>
      <c r="M1232" t="s">
        <v>6632</v>
      </c>
      <c r="N1232" t="s">
        <v>6416</v>
      </c>
      <c r="O1232" t="s">
        <v>11</v>
      </c>
      <c r="P1232" t="s">
        <v>6633</v>
      </c>
      <c r="Q1232" t="s">
        <v>6634</v>
      </c>
      <c r="R1232" s="16" t="s">
        <v>8510</v>
      </c>
      <c r="S1232" s="16" t="s">
        <v>8216</v>
      </c>
      <c r="T1232" t="s">
        <v>2769</v>
      </c>
      <c r="U1232">
        <v>0</v>
      </c>
      <c r="V1232" t="s">
        <v>8654</v>
      </c>
      <c r="W1232" t="s">
        <v>11</v>
      </c>
      <c r="X1232" t="s">
        <v>3092</v>
      </c>
      <c r="Y1232">
        <f t="shared" si="39"/>
        <v>1</v>
      </c>
    </row>
    <row r="1233" spans="1:27" hidden="1">
      <c r="A1233" t="s">
        <v>2798</v>
      </c>
      <c r="B1233">
        <v>1243</v>
      </c>
      <c r="C1233">
        <v>1243</v>
      </c>
      <c r="D1233">
        <v>13</v>
      </c>
      <c r="E1233" t="s">
        <v>2761</v>
      </c>
      <c r="F1233" t="s">
        <v>2779</v>
      </c>
      <c r="H1233" t="s">
        <v>2807</v>
      </c>
      <c r="J1233" t="s">
        <v>8668</v>
      </c>
      <c r="L1233">
        <f t="shared" si="38"/>
        <v>1</v>
      </c>
      <c r="M1233" t="s">
        <v>2761</v>
      </c>
      <c r="N1233" t="s">
        <v>6299</v>
      </c>
      <c r="O1233" t="s">
        <v>11</v>
      </c>
      <c r="P1233">
        <v>135760</v>
      </c>
      <c r="Q1233">
        <v>461280</v>
      </c>
      <c r="R1233" s="16" t="s">
        <v>8635</v>
      </c>
      <c r="S1233" s="16" t="s">
        <v>8340</v>
      </c>
      <c r="T1233" t="s">
        <v>8018</v>
      </c>
      <c r="U1233">
        <v>0</v>
      </c>
      <c r="V1233" t="s">
        <v>8654</v>
      </c>
      <c r="W1233" t="s">
        <v>11</v>
      </c>
      <c r="X1233" t="s">
        <v>3092</v>
      </c>
      <c r="Y1233">
        <f t="shared" si="39"/>
        <v>1</v>
      </c>
    </row>
    <row r="1234" spans="1:27" hidden="1">
      <c r="A1234" t="s">
        <v>7036</v>
      </c>
      <c r="B1234" t="s">
        <v>2816</v>
      </c>
      <c r="C1234">
        <v>905</v>
      </c>
      <c r="D1234">
        <v>10</v>
      </c>
      <c r="E1234" t="s">
        <v>2812</v>
      </c>
      <c r="H1234" t="s">
        <v>2817</v>
      </c>
      <c r="J1234" t="s">
        <v>8668</v>
      </c>
      <c r="L1234">
        <f t="shared" si="38"/>
        <v>1</v>
      </c>
      <c r="M1234" t="s">
        <v>2812</v>
      </c>
      <c r="N1234" t="s">
        <v>6324</v>
      </c>
      <c r="O1234" t="s">
        <v>11</v>
      </c>
      <c r="P1234">
        <v>110560</v>
      </c>
      <c r="Q1234">
        <v>445960</v>
      </c>
      <c r="R1234" s="16" t="s">
        <v>8383</v>
      </c>
      <c r="S1234" s="16" t="s">
        <v>8087</v>
      </c>
      <c r="T1234" t="s">
        <v>7036</v>
      </c>
      <c r="U1234">
        <v>0</v>
      </c>
      <c r="V1234" t="s">
        <v>8654</v>
      </c>
      <c r="W1234" t="s">
        <v>11</v>
      </c>
      <c r="X1234" t="s">
        <v>3092</v>
      </c>
      <c r="Y1234">
        <f t="shared" si="39"/>
        <v>1</v>
      </c>
    </row>
    <row r="1235" spans="1:27" hidden="1">
      <c r="A1235" t="s">
        <v>7035</v>
      </c>
      <c r="B1235" t="s">
        <v>2813</v>
      </c>
      <c r="C1235">
        <v>1018</v>
      </c>
      <c r="D1235">
        <v>11</v>
      </c>
      <c r="E1235" t="s">
        <v>2812</v>
      </c>
      <c r="H1235" t="s">
        <v>2818</v>
      </c>
      <c r="J1235" t="s">
        <v>8668</v>
      </c>
      <c r="L1235">
        <f t="shared" si="38"/>
        <v>1</v>
      </c>
      <c r="M1235" t="s">
        <v>2812</v>
      </c>
      <c r="N1235" t="s">
        <v>6324</v>
      </c>
      <c r="O1235" t="s">
        <v>11</v>
      </c>
      <c r="P1235">
        <v>110560</v>
      </c>
      <c r="Q1235">
        <v>445960</v>
      </c>
      <c r="R1235" s="16" t="s">
        <v>8383</v>
      </c>
      <c r="S1235" s="16" t="s">
        <v>8087</v>
      </c>
      <c r="T1235" t="s">
        <v>7035</v>
      </c>
      <c r="U1235">
        <v>0</v>
      </c>
      <c r="V1235" t="s">
        <v>8654</v>
      </c>
      <c r="W1235" t="s">
        <v>11</v>
      </c>
      <c r="X1235" t="s">
        <v>3092</v>
      </c>
      <c r="Y1235">
        <f t="shared" si="39"/>
        <v>1</v>
      </c>
    </row>
    <row r="1236" spans="1:27" hidden="1">
      <c r="A1236" t="s">
        <v>7034</v>
      </c>
      <c r="B1236" t="s">
        <v>2813</v>
      </c>
      <c r="C1236">
        <v>1018</v>
      </c>
      <c r="D1236">
        <v>11</v>
      </c>
      <c r="E1236" t="s">
        <v>2812</v>
      </c>
      <c r="H1236" t="s">
        <v>2819</v>
      </c>
      <c r="J1236" t="s">
        <v>8668</v>
      </c>
      <c r="L1236">
        <f t="shared" si="38"/>
        <v>1</v>
      </c>
      <c r="M1236" t="s">
        <v>2812</v>
      </c>
      <c r="N1236" t="s">
        <v>6324</v>
      </c>
      <c r="O1236" t="s">
        <v>11</v>
      </c>
      <c r="P1236">
        <v>110560</v>
      </c>
      <c r="Q1236">
        <v>445960</v>
      </c>
      <c r="R1236" s="16" t="s">
        <v>8383</v>
      </c>
      <c r="S1236" s="16" t="s">
        <v>8087</v>
      </c>
      <c r="T1236" t="s">
        <v>7034</v>
      </c>
      <c r="U1236">
        <v>0</v>
      </c>
      <c r="V1236" t="s">
        <v>8654</v>
      </c>
      <c r="W1236" t="s">
        <v>11</v>
      </c>
      <c r="X1236" t="s">
        <v>3092</v>
      </c>
      <c r="Y1236">
        <f t="shared" si="39"/>
        <v>1</v>
      </c>
    </row>
    <row r="1237" spans="1:27" hidden="1">
      <c r="A1237" t="s">
        <v>7033</v>
      </c>
      <c r="B1237">
        <v>1290</v>
      </c>
      <c r="C1237">
        <v>1290</v>
      </c>
      <c r="D1237">
        <v>13</v>
      </c>
      <c r="E1237" t="s">
        <v>2831</v>
      </c>
      <c r="H1237" t="s">
        <v>2832</v>
      </c>
      <c r="J1237" t="s">
        <v>8668</v>
      </c>
      <c r="L1237">
        <f t="shared" si="38"/>
        <v>1</v>
      </c>
      <c r="M1237" t="s">
        <v>7023</v>
      </c>
      <c r="N1237" t="s">
        <v>7024</v>
      </c>
      <c r="O1237" t="s">
        <v>6976</v>
      </c>
      <c r="P1237">
        <v>106167</v>
      </c>
      <c r="Q1237">
        <v>442167</v>
      </c>
      <c r="R1237" s="16" t="s">
        <v>8382</v>
      </c>
      <c r="S1237" s="16" t="s">
        <v>8086</v>
      </c>
      <c r="T1237" t="s">
        <v>7033</v>
      </c>
      <c r="U1237">
        <v>0</v>
      </c>
      <c r="V1237" t="s">
        <v>8654</v>
      </c>
      <c r="W1237" t="s">
        <v>6976</v>
      </c>
      <c r="X1237" t="s">
        <v>3092</v>
      </c>
      <c r="Y1237">
        <f t="shared" si="39"/>
        <v>1</v>
      </c>
    </row>
    <row r="1238" spans="1:27" hidden="1">
      <c r="A1238" t="s">
        <v>7040</v>
      </c>
      <c r="B1238">
        <v>1295</v>
      </c>
      <c r="C1238">
        <v>1295</v>
      </c>
      <c r="D1238">
        <v>13</v>
      </c>
      <c r="E1238" t="s">
        <v>1444</v>
      </c>
      <c r="H1238" t="s">
        <v>2834</v>
      </c>
      <c r="J1238" t="s">
        <v>8668</v>
      </c>
      <c r="L1238">
        <f t="shared" si="38"/>
        <v>0</v>
      </c>
      <c r="R1238" s="16" t="s">
        <v>8064</v>
      </c>
      <c r="S1238" s="16" t="s">
        <v>8064</v>
      </c>
      <c r="T1238" t="s">
        <v>7040</v>
      </c>
      <c r="U1238">
        <v>0</v>
      </c>
      <c r="V1238" t="s">
        <v>8655</v>
      </c>
      <c r="X1238" t="s">
        <v>3092</v>
      </c>
      <c r="Y1238">
        <f t="shared" si="39"/>
        <v>0</v>
      </c>
    </row>
    <row r="1239" spans="1:27" hidden="1">
      <c r="A1239" t="s">
        <v>7041</v>
      </c>
      <c r="B1239" t="s">
        <v>2836</v>
      </c>
      <c r="C1239">
        <v>1298</v>
      </c>
      <c r="D1239">
        <v>13</v>
      </c>
      <c r="E1239" t="s">
        <v>1444</v>
      </c>
      <c r="H1239" t="s">
        <v>2837</v>
      </c>
      <c r="J1239" t="s">
        <v>8668</v>
      </c>
      <c r="L1239">
        <f t="shared" si="38"/>
        <v>0</v>
      </c>
      <c r="R1239" s="16" t="s">
        <v>8064</v>
      </c>
      <c r="S1239" s="16" t="s">
        <v>8064</v>
      </c>
      <c r="T1239" t="s">
        <v>7041</v>
      </c>
      <c r="U1239">
        <v>0</v>
      </c>
      <c r="V1239" t="s">
        <v>8655</v>
      </c>
      <c r="X1239" t="s">
        <v>3092</v>
      </c>
      <c r="Y1239">
        <f t="shared" si="39"/>
        <v>0</v>
      </c>
    </row>
    <row r="1240" spans="1:27" hidden="1">
      <c r="A1240" t="s">
        <v>7032</v>
      </c>
      <c r="B1240">
        <v>1103</v>
      </c>
      <c r="C1240">
        <v>1103</v>
      </c>
      <c r="D1240">
        <v>12</v>
      </c>
      <c r="E1240" t="s">
        <v>2787</v>
      </c>
      <c r="F1240">
        <v>2</v>
      </c>
      <c r="H1240" t="s">
        <v>2790</v>
      </c>
      <c r="J1240" t="s">
        <v>8668</v>
      </c>
      <c r="L1240">
        <f t="shared" si="38"/>
        <v>1</v>
      </c>
      <c r="M1240" t="s">
        <v>2787</v>
      </c>
      <c r="N1240" t="s">
        <v>6295</v>
      </c>
      <c r="O1240" t="s">
        <v>11</v>
      </c>
      <c r="P1240">
        <v>127670</v>
      </c>
      <c r="Q1240">
        <v>422920</v>
      </c>
      <c r="R1240" s="16" t="s">
        <v>8381</v>
      </c>
      <c r="S1240" s="16" t="s">
        <v>8085</v>
      </c>
      <c r="T1240" t="s">
        <v>7032</v>
      </c>
      <c r="U1240">
        <v>0</v>
      </c>
      <c r="V1240" t="s">
        <v>8654</v>
      </c>
      <c r="W1240" t="s">
        <v>11</v>
      </c>
      <c r="X1240" t="s">
        <v>3092</v>
      </c>
      <c r="Y1240">
        <f t="shared" si="39"/>
        <v>1</v>
      </c>
    </row>
    <row r="1241" spans="1:27" hidden="1">
      <c r="A1241" t="s">
        <v>7031</v>
      </c>
      <c r="B1241" t="s">
        <v>2786</v>
      </c>
      <c r="C1241">
        <v>1112</v>
      </c>
      <c r="D1241">
        <v>12</v>
      </c>
      <c r="E1241" t="s">
        <v>2787</v>
      </c>
      <c r="F1241">
        <v>1</v>
      </c>
      <c r="H1241" t="s">
        <v>2788</v>
      </c>
      <c r="J1241" t="s">
        <v>8668</v>
      </c>
      <c r="L1241">
        <f t="shared" si="38"/>
        <v>1</v>
      </c>
      <c r="M1241" t="s">
        <v>2787</v>
      </c>
      <c r="N1241" t="s">
        <v>6295</v>
      </c>
      <c r="O1241" t="s">
        <v>11</v>
      </c>
      <c r="P1241">
        <v>127670</v>
      </c>
      <c r="Q1241">
        <v>422920</v>
      </c>
      <c r="R1241" s="16" t="s">
        <v>8381</v>
      </c>
      <c r="S1241" s="16" t="s">
        <v>8085</v>
      </c>
      <c r="T1241" t="s">
        <v>7031</v>
      </c>
      <c r="U1241">
        <v>0</v>
      </c>
      <c r="V1241" t="s">
        <v>8654</v>
      </c>
      <c r="W1241" t="s">
        <v>11</v>
      </c>
      <c r="X1241" t="s">
        <v>3092</v>
      </c>
      <c r="Y1241">
        <f t="shared" si="39"/>
        <v>1</v>
      </c>
      <c r="AA1241" s="7"/>
    </row>
    <row r="1242" spans="1:27" hidden="1">
      <c r="A1242" t="s">
        <v>7037</v>
      </c>
      <c r="B1242">
        <v>1132</v>
      </c>
      <c r="C1242">
        <v>1132</v>
      </c>
      <c r="D1242">
        <v>12</v>
      </c>
      <c r="E1242" t="s">
        <v>2787</v>
      </c>
      <c r="H1242" t="s">
        <v>2820</v>
      </c>
      <c r="J1242" t="s">
        <v>8668</v>
      </c>
      <c r="L1242">
        <f t="shared" si="38"/>
        <v>1</v>
      </c>
      <c r="M1242" t="s">
        <v>2787</v>
      </c>
      <c r="N1242" t="s">
        <v>6295</v>
      </c>
      <c r="O1242" t="s">
        <v>11</v>
      </c>
      <c r="P1242">
        <v>127670</v>
      </c>
      <c r="Q1242">
        <v>422920</v>
      </c>
      <c r="R1242" s="16" t="s">
        <v>8381</v>
      </c>
      <c r="S1242" s="16" t="s">
        <v>8085</v>
      </c>
      <c r="T1242" t="s">
        <v>7037</v>
      </c>
      <c r="U1242">
        <v>0</v>
      </c>
      <c r="V1242" t="s">
        <v>8654</v>
      </c>
      <c r="W1242" t="s">
        <v>11</v>
      </c>
      <c r="X1242" t="s">
        <v>3092</v>
      </c>
      <c r="Y1242">
        <f t="shared" si="39"/>
        <v>1</v>
      </c>
    </row>
    <row r="1243" spans="1:27" hidden="1">
      <c r="A1243" t="s">
        <v>7038</v>
      </c>
      <c r="B1243" t="s">
        <v>2822</v>
      </c>
      <c r="C1243">
        <v>1193</v>
      </c>
      <c r="D1243">
        <v>12</v>
      </c>
      <c r="E1243" t="s">
        <v>1444</v>
      </c>
      <c r="H1243" t="s">
        <v>2823</v>
      </c>
      <c r="J1243" t="s">
        <v>8668</v>
      </c>
      <c r="L1243">
        <f t="shared" si="38"/>
        <v>0</v>
      </c>
      <c r="R1243" s="16" t="s">
        <v>8064</v>
      </c>
      <c r="S1243" s="16" t="s">
        <v>8064</v>
      </c>
      <c r="T1243" t="s">
        <v>7038</v>
      </c>
      <c r="U1243">
        <v>0</v>
      </c>
      <c r="V1243" t="s">
        <v>8655</v>
      </c>
      <c r="X1243" t="s">
        <v>3092</v>
      </c>
      <c r="Y1243">
        <f t="shared" si="39"/>
        <v>0</v>
      </c>
    </row>
    <row r="1244" spans="1:27" hidden="1">
      <c r="A1244" t="s">
        <v>7039</v>
      </c>
      <c r="B1244" t="s">
        <v>2825</v>
      </c>
      <c r="C1244">
        <v>1221</v>
      </c>
      <c r="D1244">
        <v>13</v>
      </c>
      <c r="E1244" t="s">
        <v>1444</v>
      </c>
      <c r="H1244" t="s">
        <v>2826</v>
      </c>
      <c r="J1244" t="s">
        <v>8668</v>
      </c>
      <c r="L1244">
        <f t="shared" si="38"/>
        <v>0</v>
      </c>
      <c r="R1244" s="16" t="s">
        <v>8064</v>
      </c>
      <c r="S1244" s="16" t="s">
        <v>8064</v>
      </c>
      <c r="T1244" t="s">
        <v>7039</v>
      </c>
      <c r="U1244">
        <v>0</v>
      </c>
      <c r="V1244" t="s">
        <v>8655</v>
      </c>
      <c r="X1244" t="s">
        <v>3092</v>
      </c>
      <c r="Y1244">
        <f t="shared" si="39"/>
        <v>0</v>
      </c>
    </row>
    <row r="1245" spans="1:27" hidden="1">
      <c r="A1245" t="s">
        <v>7042</v>
      </c>
      <c r="B1245" t="s">
        <v>2828</v>
      </c>
      <c r="C1245">
        <v>1273</v>
      </c>
      <c r="D1245">
        <v>13</v>
      </c>
      <c r="E1245" t="s">
        <v>1444</v>
      </c>
      <c r="H1245" t="s">
        <v>2829</v>
      </c>
      <c r="J1245" t="s">
        <v>8668</v>
      </c>
      <c r="L1245">
        <f t="shared" si="38"/>
        <v>0</v>
      </c>
      <c r="R1245" s="16" t="s">
        <v>8064</v>
      </c>
      <c r="S1245" s="16" t="s">
        <v>8064</v>
      </c>
      <c r="T1245" t="s">
        <v>7042</v>
      </c>
      <c r="U1245">
        <v>0</v>
      </c>
      <c r="V1245" t="s">
        <v>8655</v>
      </c>
      <c r="X1245" t="s">
        <v>3092</v>
      </c>
      <c r="Y1245">
        <f t="shared" si="39"/>
        <v>0</v>
      </c>
    </row>
    <row r="1246" spans="1:27">
      <c r="A1246" t="s">
        <v>7204</v>
      </c>
      <c r="B1246" t="s">
        <v>816</v>
      </c>
      <c r="C1246">
        <v>936</v>
      </c>
      <c r="D1246">
        <v>10</v>
      </c>
      <c r="E1246" t="s">
        <v>12</v>
      </c>
      <c r="F1246" t="s">
        <v>817</v>
      </c>
      <c r="G1246" t="e">
        <f>VLOOKUP(TRIM(F1246),[1]mss!$AA:$AA,1,0)</f>
        <v>#N/A</v>
      </c>
      <c r="I1246" t="s">
        <v>8928</v>
      </c>
      <c r="J1246" t="s">
        <v>8799</v>
      </c>
      <c r="L1246">
        <f t="shared" si="38"/>
        <v>0</v>
      </c>
      <c r="R1246" s="16" t="s">
        <v>8064</v>
      </c>
      <c r="S1246" s="16" t="s">
        <v>8064</v>
      </c>
      <c r="T1246" t="s">
        <v>7204</v>
      </c>
      <c r="U1246">
        <v>1</v>
      </c>
      <c r="V1246" t="s">
        <v>8655</v>
      </c>
      <c r="X1246" t="s">
        <v>3012</v>
      </c>
      <c r="Y1246">
        <f t="shared" si="39"/>
        <v>0</v>
      </c>
    </row>
    <row r="1247" spans="1:27" hidden="1">
      <c r="A1247" t="s">
        <v>7303</v>
      </c>
      <c r="B1247" t="s">
        <v>2017</v>
      </c>
      <c r="C1247">
        <v>1084</v>
      </c>
      <c r="D1247">
        <v>11</v>
      </c>
      <c r="E1247" t="s">
        <v>1444</v>
      </c>
      <c r="F1247" t="s">
        <v>4678</v>
      </c>
      <c r="J1247" t="s">
        <v>8668</v>
      </c>
      <c r="L1247">
        <f t="shared" si="38"/>
        <v>0</v>
      </c>
      <c r="R1247" s="16" t="s">
        <v>8064</v>
      </c>
      <c r="S1247" s="16" t="s">
        <v>8064</v>
      </c>
      <c r="T1247" t="s">
        <v>7303</v>
      </c>
      <c r="U1247">
        <v>0</v>
      </c>
      <c r="V1247" t="s">
        <v>8655</v>
      </c>
      <c r="X1247" t="s">
        <v>8667</v>
      </c>
      <c r="Y1247">
        <f t="shared" si="39"/>
        <v>0</v>
      </c>
    </row>
    <row r="1248" spans="1:27" hidden="1">
      <c r="A1248" t="s">
        <v>2438</v>
      </c>
      <c r="B1248">
        <v>909</v>
      </c>
      <c r="C1248">
        <v>909</v>
      </c>
      <c r="D1248">
        <v>10</v>
      </c>
      <c r="E1248" t="s">
        <v>5771</v>
      </c>
      <c r="F1248" t="s">
        <v>8664</v>
      </c>
      <c r="J1248" s="5" t="s">
        <v>8913</v>
      </c>
      <c r="K1248" s="5" t="s">
        <v>2439</v>
      </c>
      <c r="L1248">
        <f t="shared" si="38"/>
        <v>1</v>
      </c>
      <c r="M1248" t="s">
        <v>6489</v>
      </c>
      <c r="N1248" t="s">
        <v>6490</v>
      </c>
      <c r="O1248" t="s">
        <v>6394</v>
      </c>
      <c r="P1248">
        <v>93790</v>
      </c>
      <c r="Q1248">
        <v>474230</v>
      </c>
      <c r="R1248" s="16" t="s">
        <v>8623</v>
      </c>
      <c r="S1248" s="16" t="s">
        <v>8330</v>
      </c>
      <c r="T1248" t="s">
        <v>2438</v>
      </c>
      <c r="U1248">
        <v>1</v>
      </c>
      <c r="V1248" t="s">
        <v>8654</v>
      </c>
      <c r="W1248" t="s">
        <v>6394</v>
      </c>
      <c r="X1248" t="s">
        <v>8664</v>
      </c>
      <c r="Y1248">
        <f t="shared" si="39"/>
        <v>1</v>
      </c>
    </row>
    <row r="1249" spans="1:25" hidden="1">
      <c r="A1249" t="s">
        <v>2428</v>
      </c>
      <c r="B1249">
        <v>1001</v>
      </c>
      <c r="C1249">
        <v>1001</v>
      </c>
      <c r="D1249">
        <v>11</v>
      </c>
      <c r="E1249" t="s">
        <v>5773</v>
      </c>
      <c r="F1249" t="s">
        <v>8664</v>
      </c>
      <c r="J1249" s="5" t="s">
        <v>8916</v>
      </c>
      <c r="K1249" s="5" t="s">
        <v>2429</v>
      </c>
      <c r="L1249">
        <f t="shared" si="38"/>
        <v>1</v>
      </c>
      <c r="M1249" t="s">
        <v>5773</v>
      </c>
      <c r="N1249" t="s">
        <v>6604</v>
      </c>
      <c r="O1249" t="s">
        <v>3995</v>
      </c>
      <c r="P1249" t="s">
        <v>6733</v>
      </c>
      <c r="Q1249" t="s">
        <v>6734</v>
      </c>
      <c r="R1249" s="16" t="s">
        <v>8633</v>
      </c>
      <c r="S1249" s="16" t="s">
        <v>8337</v>
      </c>
      <c r="T1249" t="s">
        <v>2428</v>
      </c>
      <c r="U1249">
        <v>1</v>
      </c>
      <c r="V1249" t="s">
        <v>8654</v>
      </c>
      <c r="W1249" t="s">
        <v>3995</v>
      </c>
      <c r="X1249" t="s">
        <v>8664</v>
      </c>
      <c r="Y1249">
        <f t="shared" si="39"/>
        <v>1</v>
      </c>
    </row>
    <row r="1250" spans="1:25" hidden="1">
      <c r="A1250" t="s">
        <v>2430</v>
      </c>
      <c r="B1250">
        <v>1021</v>
      </c>
      <c r="C1250">
        <v>1021</v>
      </c>
      <c r="D1250">
        <v>11</v>
      </c>
      <c r="E1250" t="s">
        <v>5772</v>
      </c>
      <c r="F1250" t="s">
        <v>8664</v>
      </c>
      <c r="J1250" s="5" t="s">
        <v>8923</v>
      </c>
      <c r="K1250" s="5" t="s">
        <v>2431</v>
      </c>
      <c r="L1250">
        <f t="shared" si="38"/>
        <v>1</v>
      </c>
      <c r="M1250" t="s">
        <v>6449</v>
      </c>
      <c r="N1250" t="s">
        <v>6293</v>
      </c>
      <c r="O1250" t="s">
        <v>3995</v>
      </c>
      <c r="P1250">
        <v>82470</v>
      </c>
      <c r="Q1250">
        <v>499920</v>
      </c>
      <c r="R1250" s="16" t="s">
        <v>8626</v>
      </c>
      <c r="S1250" s="16" t="s">
        <v>8333</v>
      </c>
      <c r="T1250" t="s">
        <v>2430</v>
      </c>
      <c r="U1250">
        <v>1</v>
      </c>
      <c r="V1250" t="s">
        <v>8654</v>
      </c>
      <c r="W1250" t="s">
        <v>3995</v>
      </c>
      <c r="X1250" t="s">
        <v>8664</v>
      </c>
      <c r="Y1250">
        <f t="shared" si="39"/>
        <v>1</v>
      </c>
    </row>
    <row r="1251" spans="1:25" hidden="1">
      <c r="A1251" t="s">
        <v>2396</v>
      </c>
      <c r="B1251">
        <v>1025</v>
      </c>
      <c r="C1251">
        <v>1025</v>
      </c>
      <c r="D1251">
        <v>11</v>
      </c>
      <c r="E1251" t="s">
        <v>5771</v>
      </c>
      <c r="F1251" t="s">
        <v>8664</v>
      </c>
      <c r="J1251" t="s">
        <v>8914</v>
      </c>
      <c r="K1251" s="5" t="s">
        <v>2397</v>
      </c>
      <c r="L1251">
        <f t="shared" si="38"/>
        <v>1</v>
      </c>
      <c r="M1251" t="s">
        <v>6489</v>
      </c>
      <c r="N1251" t="s">
        <v>6490</v>
      </c>
      <c r="O1251" t="s">
        <v>6394</v>
      </c>
      <c r="P1251">
        <v>93790</v>
      </c>
      <c r="Q1251">
        <v>474230</v>
      </c>
      <c r="R1251" s="16" t="s">
        <v>8623</v>
      </c>
      <c r="S1251" s="16" t="s">
        <v>8330</v>
      </c>
      <c r="T1251" t="s">
        <v>2396</v>
      </c>
      <c r="U1251">
        <v>1</v>
      </c>
      <c r="V1251" t="s">
        <v>8654</v>
      </c>
      <c r="W1251" t="s">
        <v>6394</v>
      </c>
      <c r="X1251" t="s">
        <v>8664</v>
      </c>
      <c r="Y1251">
        <f t="shared" si="39"/>
        <v>1</v>
      </c>
    </row>
    <row r="1252" spans="1:25" hidden="1">
      <c r="A1252" t="s">
        <v>2446</v>
      </c>
      <c r="B1252" t="s">
        <v>5781</v>
      </c>
      <c r="C1252">
        <v>1102</v>
      </c>
      <c r="D1252">
        <v>12</v>
      </c>
      <c r="E1252" t="s">
        <v>5782</v>
      </c>
      <c r="F1252" t="s">
        <v>8664</v>
      </c>
      <c r="J1252" t="s">
        <v>8925</v>
      </c>
      <c r="K1252" s="5" t="s">
        <v>2447</v>
      </c>
      <c r="L1252">
        <f t="shared" si="38"/>
        <v>1</v>
      </c>
      <c r="M1252" t="s">
        <v>5782</v>
      </c>
      <c r="N1252" t="s">
        <v>6291</v>
      </c>
      <c r="O1252" t="s">
        <v>3995</v>
      </c>
      <c r="P1252">
        <v>108910</v>
      </c>
      <c r="Q1252">
        <v>498980</v>
      </c>
      <c r="R1252" s="16" t="s">
        <v>8647</v>
      </c>
      <c r="S1252" s="16" t="s">
        <v>8349</v>
      </c>
      <c r="T1252" t="s">
        <v>2446</v>
      </c>
      <c r="U1252">
        <v>1</v>
      </c>
      <c r="V1252" t="s">
        <v>8654</v>
      </c>
      <c r="W1252" t="s">
        <v>3995</v>
      </c>
      <c r="X1252" t="s">
        <v>8664</v>
      </c>
      <c r="Y1252">
        <f t="shared" si="39"/>
        <v>1</v>
      </c>
    </row>
    <row r="1253" spans="1:25" hidden="1">
      <c r="A1253" t="s">
        <v>2382</v>
      </c>
      <c r="B1253" t="s">
        <v>5785</v>
      </c>
      <c r="C1253">
        <v>1161</v>
      </c>
      <c r="D1253">
        <v>12</v>
      </c>
      <c r="E1253" t="s">
        <v>5786</v>
      </c>
      <c r="F1253" t="s">
        <v>8664</v>
      </c>
      <c r="J1253" s="5" t="s">
        <v>8918</v>
      </c>
      <c r="K1253" s="5" t="s">
        <v>2383</v>
      </c>
      <c r="L1253">
        <f t="shared" si="38"/>
        <v>1</v>
      </c>
      <c r="M1253" t="s">
        <v>5786</v>
      </c>
      <c r="N1253" t="s">
        <v>6291</v>
      </c>
      <c r="O1253" t="s">
        <v>3995</v>
      </c>
      <c r="P1253" t="s">
        <v>6714</v>
      </c>
      <c r="Q1253" t="s">
        <v>6715</v>
      </c>
      <c r="R1253" s="16" t="s">
        <v>8641</v>
      </c>
      <c r="S1253" s="16" t="s">
        <v>8230</v>
      </c>
      <c r="T1253" t="s">
        <v>2382</v>
      </c>
      <c r="U1253">
        <v>1</v>
      </c>
      <c r="V1253" t="s">
        <v>8656</v>
      </c>
      <c r="W1253" t="s">
        <v>3995</v>
      </c>
      <c r="X1253" t="s">
        <v>8664</v>
      </c>
      <c r="Y1253">
        <f t="shared" si="39"/>
        <v>1</v>
      </c>
    </row>
    <row r="1254" spans="1:25" hidden="1">
      <c r="A1254" t="s">
        <v>2414</v>
      </c>
      <c r="B1254">
        <v>1165</v>
      </c>
      <c r="C1254">
        <v>1165</v>
      </c>
      <c r="D1254">
        <v>12</v>
      </c>
      <c r="E1254" t="s">
        <v>5788</v>
      </c>
      <c r="F1254" t="s">
        <v>8664</v>
      </c>
      <c r="J1254" t="s">
        <v>8668</v>
      </c>
      <c r="K1254" s="5" t="s">
        <v>2415</v>
      </c>
      <c r="L1254">
        <f t="shared" si="38"/>
        <v>1</v>
      </c>
      <c r="M1254" t="s">
        <v>5788</v>
      </c>
      <c r="N1254" t="s">
        <v>6291</v>
      </c>
      <c r="O1254" t="s">
        <v>3995</v>
      </c>
      <c r="P1254" t="s">
        <v>6963</v>
      </c>
      <c r="Q1254" t="s">
        <v>6964</v>
      </c>
      <c r="R1254" s="16" t="s">
        <v>8637</v>
      </c>
      <c r="S1254" s="16" t="s">
        <v>8342</v>
      </c>
      <c r="T1254" t="s">
        <v>2414</v>
      </c>
      <c r="U1254">
        <v>0</v>
      </c>
      <c r="V1254" t="s">
        <v>8654</v>
      </c>
      <c r="W1254" t="s">
        <v>3995</v>
      </c>
      <c r="X1254" t="s">
        <v>8664</v>
      </c>
      <c r="Y1254">
        <f t="shared" si="39"/>
        <v>1</v>
      </c>
    </row>
    <row r="1255" spans="1:25" hidden="1">
      <c r="A1255" t="s">
        <v>2370</v>
      </c>
      <c r="B1255">
        <v>1175</v>
      </c>
      <c r="C1255">
        <v>1175</v>
      </c>
      <c r="D1255">
        <v>12</v>
      </c>
      <c r="E1255" t="s">
        <v>5694</v>
      </c>
      <c r="F1255" t="s">
        <v>8664</v>
      </c>
      <c r="J1255" s="5" t="s">
        <v>2365</v>
      </c>
      <c r="K1255" s="5"/>
      <c r="L1255">
        <f t="shared" si="38"/>
        <v>1</v>
      </c>
      <c r="M1255" t="s">
        <v>5694</v>
      </c>
      <c r="N1255" t="s">
        <v>6604</v>
      </c>
      <c r="O1255" t="s">
        <v>3995</v>
      </c>
      <c r="P1255" t="s">
        <v>6939</v>
      </c>
      <c r="Q1255" t="s">
        <v>6940</v>
      </c>
      <c r="R1255" s="16" t="s">
        <v>8550</v>
      </c>
      <c r="S1255" s="16" t="s">
        <v>8256</v>
      </c>
      <c r="T1255" t="s">
        <v>2370</v>
      </c>
      <c r="U1255">
        <v>1</v>
      </c>
      <c r="V1255" t="s">
        <v>8654</v>
      </c>
      <c r="W1255" t="s">
        <v>3995</v>
      </c>
      <c r="X1255" t="s">
        <v>8664</v>
      </c>
      <c r="Y1255">
        <f t="shared" si="39"/>
        <v>1</v>
      </c>
    </row>
    <row r="1256" spans="1:25" hidden="1">
      <c r="A1256" t="s">
        <v>2368</v>
      </c>
      <c r="B1256" t="s">
        <v>5780</v>
      </c>
      <c r="C1256">
        <v>1184</v>
      </c>
      <c r="D1256">
        <v>12</v>
      </c>
      <c r="E1256" t="s">
        <v>5694</v>
      </c>
      <c r="F1256" t="s">
        <v>8664</v>
      </c>
      <c r="J1256" s="5" t="s">
        <v>2367</v>
      </c>
      <c r="L1256">
        <f t="shared" si="38"/>
        <v>1</v>
      </c>
      <c r="M1256" t="s">
        <v>5694</v>
      </c>
      <c r="N1256" t="s">
        <v>6604</v>
      </c>
      <c r="O1256" t="s">
        <v>3995</v>
      </c>
      <c r="P1256" t="s">
        <v>6939</v>
      </c>
      <c r="Q1256" t="s">
        <v>6940</v>
      </c>
      <c r="R1256" s="16" t="s">
        <v>8550</v>
      </c>
      <c r="S1256" s="16" t="s">
        <v>8256</v>
      </c>
      <c r="T1256" t="s">
        <v>2368</v>
      </c>
      <c r="U1256">
        <v>1</v>
      </c>
      <c r="V1256" t="s">
        <v>8654</v>
      </c>
      <c r="W1256" t="s">
        <v>3995</v>
      </c>
      <c r="X1256" t="s">
        <v>8664</v>
      </c>
      <c r="Y1256">
        <f t="shared" si="39"/>
        <v>1</v>
      </c>
    </row>
    <row r="1257" spans="1:25" hidden="1">
      <c r="A1257" t="s">
        <v>2384</v>
      </c>
      <c r="B1257">
        <v>1240</v>
      </c>
      <c r="C1257">
        <v>1240</v>
      </c>
      <c r="D1257">
        <v>13</v>
      </c>
      <c r="E1257" t="s">
        <v>5784</v>
      </c>
      <c r="F1257" t="s">
        <v>8664</v>
      </c>
      <c r="J1257" t="s">
        <v>8668</v>
      </c>
      <c r="K1257" s="5" t="s">
        <v>2385</v>
      </c>
      <c r="L1257">
        <f t="shared" si="38"/>
        <v>1</v>
      </c>
      <c r="M1257" t="s">
        <v>5784</v>
      </c>
      <c r="N1257" t="s">
        <v>6722</v>
      </c>
      <c r="O1257" t="s">
        <v>3995</v>
      </c>
      <c r="P1257" t="s">
        <v>6723</v>
      </c>
      <c r="Q1257" t="s">
        <v>6724</v>
      </c>
      <c r="R1257" s="16" t="s">
        <v>8640</v>
      </c>
      <c r="S1257" s="16" t="s">
        <v>8345</v>
      </c>
      <c r="T1257" t="s">
        <v>2384</v>
      </c>
      <c r="U1257">
        <v>0</v>
      </c>
      <c r="V1257" t="s">
        <v>8654</v>
      </c>
      <c r="W1257" t="s">
        <v>3995</v>
      </c>
      <c r="X1257" t="s">
        <v>8664</v>
      </c>
      <c r="Y1257">
        <f t="shared" si="39"/>
        <v>1</v>
      </c>
    </row>
    <row r="1258" spans="1:25" hidden="1">
      <c r="A1258" t="s">
        <v>2418</v>
      </c>
      <c r="B1258">
        <v>1241</v>
      </c>
      <c r="C1258">
        <v>1241</v>
      </c>
      <c r="D1258">
        <v>13</v>
      </c>
      <c r="E1258" t="s">
        <v>5787</v>
      </c>
      <c r="F1258" t="s">
        <v>8664</v>
      </c>
      <c r="J1258" t="s">
        <v>8668</v>
      </c>
      <c r="K1258" s="5" t="s">
        <v>2419</v>
      </c>
      <c r="L1258">
        <f t="shared" si="38"/>
        <v>1</v>
      </c>
      <c r="M1258" t="s">
        <v>5787</v>
      </c>
      <c r="N1258" t="s">
        <v>6291</v>
      </c>
      <c r="O1258" t="s">
        <v>3995</v>
      </c>
      <c r="P1258" t="s">
        <v>6816</v>
      </c>
      <c r="Q1258" t="s">
        <v>6817</v>
      </c>
      <c r="R1258" s="16" t="s">
        <v>8638</v>
      </c>
      <c r="S1258" s="16" t="s">
        <v>8343</v>
      </c>
      <c r="T1258" t="s">
        <v>2418</v>
      </c>
      <c r="U1258">
        <v>0</v>
      </c>
      <c r="V1258" t="s">
        <v>8654</v>
      </c>
      <c r="W1258" t="s">
        <v>3995</v>
      </c>
      <c r="X1258" t="s">
        <v>8664</v>
      </c>
      <c r="Y1258">
        <f t="shared" si="39"/>
        <v>1</v>
      </c>
    </row>
    <row r="1259" spans="1:25" hidden="1">
      <c r="A1259" t="s">
        <v>2442</v>
      </c>
      <c r="B1259">
        <v>1249</v>
      </c>
      <c r="C1259">
        <v>1249</v>
      </c>
      <c r="D1259">
        <v>13</v>
      </c>
      <c r="E1259" t="s">
        <v>5769</v>
      </c>
      <c r="F1259" t="s">
        <v>8664</v>
      </c>
      <c r="J1259" t="s">
        <v>8922</v>
      </c>
      <c r="K1259" s="5" t="s">
        <v>2443</v>
      </c>
      <c r="L1259">
        <f t="shared" si="38"/>
        <v>1</v>
      </c>
      <c r="M1259" t="s">
        <v>5769</v>
      </c>
      <c r="N1259" t="s">
        <v>6604</v>
      </c>
      <c r="O1259" t="s">
        <v>3995</v>
      </c>
      <c r="P1259" t="s">
        <v>6619</v>
      </c>
      <c r="Q1259" t="s">
        <v>6620</v>
      </c>
      <c r="R1259" s="16" t="s">
        <v>8645</v>
      </c>
      <c r="S1259" s="16" t="s">
        <v>8347</v>
      </c>
      <c r="T1259" t="s">
        <v>2442</v>
      </c>
      <c r="U1259">
        <v>1</v>
      </c>
      <c r="V1259" t="s">
        <v>8654</v>
      </c>
      <c r="W1259" t="s">
        <v>3995</v>
      </c>
      <c r="X1259" t="s">
        <v>8664</v>
      </c>
      <c r="Y1259">
        <f t="shared" si="39"/>
        <v>1</v>
      </c>
    </row>
    <row r="1260" spans="1:25" hidden="1">
      <c r="A1260" t="s">
        <v>2436</v>
      </c>
      <c r="B1260">
        <v>1250</v>
      </c>
      <c r="C1260">
        <v>1250</v>
      </c>
      <c r="D1260">
        <v>13</v>
      </c>
      <c r="E1260" t="s">
        <v>5793</v>
      </c>
      <c r="F1260" t="s">
        <v>8664</v>
      </c>
      <c r="J1260" s="5" t="s">
        <v>8915</v>
      </c>
      <c r="K1260" s="5" t="s">
        <v>2437</v>
      </c>
      <c r="L1260">
        <f t="shared" si="38"/>
        <v>1</v>
      </c>
      <c r="M1260" t="s">
        <v>5793</v>
      </c>
      <c r="N1260" t="s">
        <v>6295</v>
      </c>
      <c r="O1260" t="s">
        <v>11</v>
      </c>
      <c r="P1260" t="s">
        <v>6741</v>
      </c>
      <c r="Q1260" t="s">
        <v>6742</v>
      </c>
      <c r="R1260" s="16" t="s">
        <v>8639</v>
      </c>
      <c r="S1260" s="16" t="s">
        <v>8344</v>
      </c>
      <c r="T1260" t="s">
        <v>2436</v>
      </c>
      <c r="U1260">
        <v>1</v>
      </c>
      <c r="V1260" t="s">
        <v>8656</v>
      </c>
      <c r="W1260" t="s">
        <v>11</v>
      </c>
      <c r="X1260" t="s">
        <v>8664</v>
      </c>
      <c r="Y1260">
        <f t="shared" si="39"/>
        <v>1</v>
      </c>
    </row>
    <row r="1261" spans="1:25" hidden="1">
      <c r="A1261" t="s">
        <v>2422</v>
      </c>
      <c r="B1261" t="s">
        <v>5790</v>
      </c>
      <c r="C1261">
        <v>1275</v>
      </c>
      <c r="D1261">
        <v>13</v>
      </c>
      <c r="E1261" t="s">
        <v>5791</v>
      </c>
      <c r="F1261" t="s">
        <v>8664</v>
      </c>
      <c r="J1261" s="5" t="s">
        <v>8921</v>
      </c>
      <c r="K1261" s="5" t="s">
        <v>2423</v>
      </c>
      <c r="L1261">
        <f t="shared" si="38"/>
        <v>1</v>
      </c>
      <c r="M1261" t="s">
        <v>6467</v>
      </c>
      <c r="N1261" t="s">
        <v>6291</v>
      </c>
      <c r="O1261" t="s">
        <v>3995</v>
      </c>
      <c r="P1261">
        <v>104860</v>
      </c>
      <c r="Q1261">
        <v>488470</v>
      </c>
      <c r="R1261" s="16" t="s">
        <v>8643</v>
      </c>
      <c r="S1261" s="16" t="s">
        <v>8346</v>
      </c>
      <c r="T1261" t="s">
        <v>2422</v>
      </c>
      <c r="U1261">
        <v>1</v>
      </c>
      <c r="V1261" t="s">
        <v>8656</v>
      </c>
      <c r="W1261" t="s">
        <v>3995</v>
      </c>
      <c r="X1261" t="s">
        <v>8664</v>
      </c>
      <c r="Y1261">
        <f t="shared" si="39"/>
        <v>1</v>
      </c>
    </row>
    <row r="1262" spans="1:25" hidden="1">
      <c r="A1262" t="s">
        <v>2398</v>
      </c>
      <c r="B1262">
        <v>1276</v>
      </c>
      <c r="C1262">
        <v>1276</v>
      </c>
      <c r="D1262">
        <v>13</v>
      </c>
      <c r="E1262" t="s">
        <v>5776</v>
      </c>
      <c r="F1262" t="s">
        <v>8664</v>
      </c>
      <c r="J1262" t="s">
        <v>8926</v>
      </c>
      <c r="K1262" s="5" t="s">
        <v>2399</v>
      </c>
      <c r="L1262">
        <f t="shared" si="38"/>
        <v>1</v>
      </c>
      <c r="M1262" t="s">
        <v>6977</v>
      </c>
      <c r="N1262" t="s">
        <v>6978</v>
      </c>
      <c r="O1262" t="s">
        <v>6979</v>
      </c>
      <c r="P1262">
        <v>71328</v>
      </c>
      <c r="Q1262">
        <v>510547</v>
      </c>
      <c r="R1262" s="16" t="s">
        <v>8648</v>
      </c>
      <c r="S1262" s="16" t="s">
        <v>8350</v>
      </c>
      <c r="T1262" t="s">
        <v>2398</v>
      </c>
      <c r="U1262">
        <v>1</v>
      </c>
      <c r="V1262" t="s">
        <v>8654</v>
      </c>
      <c r="W1262" t="s">
        <v>6979</v>
      </c>
      <c r="X1262" t="s">
        <v>8664</v>
      </c>
      <c r="Y1262">
        <f t="shared" si="39"/>
        <v>1</v>
      </c>
    </row>
    <row r="1263" spans="1:25" hidden="1">
      <c r="A1263" t="s">
        <v>2416</v>
      </c>
      <c r="B1263">
        <v>1279</v>
      </c>
      <c r="C1263">
        <v>1279</v>
      </c>
      <c r="D1263">
        <v>13</v>
      </c>
      <c r="E1263" t="s">
        <v>4502</v>
      </c>
      <c r="F1263" t="s">
        <v>8664</v>
      </c>
      <c r="J1263" s="5" t="s">
        <v>8920</v>
      </c>
      <c r="K1263" s="5" t="s">
        <v>2417</v>
      </c>
      <c r="L1263">
        <f t="shared" si="38"/>
        <v>1</v>
      </c>
      <c r="M1263" t="s">
        <v>4502</v>
      </c>
      <c r="N1263" t="s">
        <v>6456</v>
      </c>
      <c r="O1263" t="s">
        <v>104</v>
      </c>
      <c r="P1263">
        <v>23522</v>
      </c>
      <c r="Q1263">
        <v>488566</v>
      </c>
      <c r="R1263" s="16" t="s">
        <v>8364</v>
      </c>
      <c r="S1263" s="16" t="s">
        <v>8069</v>
      </c>
      <c r="T1263" t="s">
        <v>8020</v>
      </c>
      <c r="U1263">
        <v>1</v>
      </c>
      <c r="V1263" t="s">
        <v>8656</v>
      </c>
      <c r="W1263" t="s">
        <v>104</v>
      </c>
      <c r="X1263" t="s">
        <v>8664</v>
      </c>
      <c r="Y1263">
        <f t="shared" si="39"/>
        <v>1</v>
      </c>
    </row>
    <row r="1264" spans="1:25" hidden="1">
      <c r="A1264" t="s">
        <v>2424</v>
      </c>
      <c r="B1264">
        <v>1281</v>
      </c>
      <c r="C1264">
        <v>1281</v>
      </c>
      <c r="D1264">
        <v>13</v>
      </c>
      <c r="E1264" t="s">
        <v>5792</v>
      </c>
      <c r="F1264" t="s">
        <v>8664</v>
      </c>
      <c r="J1264" s="5" t="s">
        <v>8924</v>
      </c>
      <c r="K1264" s="5" t="s">
        <v>2425</v>
      </c>
      <c r="L1264">
        <f t="shared" si="38"/>
        <v>1</v>
      </c>
      <c r="M1264" t="s">
        <v>5792</v>
      </c>
      <c r="N1264" t="s">
        <v>6291</v>
      </c>
      <c r="O1264" t="s">
        <v>3995</v>
      </c>
      <c r="P1264">
        <v>108790</v>
      </c>
      <c r="Q1264">
        <v>486310</v>
      </c>
      <c r="R1264" s="16" t="s">
        <v>8646</v>
      </c>
      <c r="S1264" s="16" t="s">
        <v>8348</v>
      </c>
      <c r="T1264" t="s">
        <v>2424</v>
      </c>
      <c r="U1264">
        <v>1</v>
      </c>
      <c r="V1264" t="s">
        <v>8656</v>
      </c>
      <c r="W1264" t="s">
        <v>3995</v>
      </c>
      <c r="X1264" t="s">
        <v>8664</v>
      </c>
      <c r="Y1264">
        <f t="shared" si="39"/>
        <v>1</v>
      </c>
    </row>
    <row r="1265" spans="1:25" hidden="1">
      <c r="A1265" t="s">
        <v>2379</v>
      </c>
      <c r="B1265">
        <v>1282</v>
      </c>
      <c r="C1265">
        <v>1282</v>
      </c>
      <c r="D1265">
        <v>13</v>
      </c>
      <c r="E1265" t="s">
        <v>5786</v>
      </c>
      <c r="F1265" t="s">
        <v>8664</v>
      </c>
      <c r="J1265" s="5" t="s">
        <v>8919</v>
      </c>
      <c r="K1265" s="5" t="s">
        <v>2378</v>
      </c>
      <c r="L1265">
        <f t="shared" si="38"/>
        <v>1</v>
      </c>
      <c r="M1265" t="s">
        <v>5786</v>
      </c>
      <c r="N1265" t="s">
        <v>6291</v>
      </c>
      <c r="O1265" t="s">
        <v>3995</v>
      </c>
      <c r="P1265" t="s">
        <v>6714</v>
      </c>
      <c r="Q1265" t="s">
        <v>6715</v>
      </c>
      <c r="R1265" s="16" t="s">
        <v>8641</v>
      </c>
      <c r="S1265" s="16" t="s">
        <v>8230</v>
      </c>
      <c r="T1265" t="s">
        <v>2379</v>
      </c>
      <c r="U1265">
        <v>1</v>
      </c>
      <c r="V1265" t="s">
        <v>8656</v>
      </c>
      <c r="W1265" t="s">
        <v>3995</v>
      </c>
      <c r="X1265" t="s">
        <v>8664</v>
      </c>
      <c r="Y1265">
        <f t="shared" si="39"/>
        <v>1</v>
      </c>
    </row>
    <row r="1266" spans="1:25" hidden="1">
      <c r="A1266" t="s">
        <v>2444</v>
      </c>
      <c r="B1266">
        <v>1295</v>
      </c>
      <c r="C1266">
        <v>1295</v>
      </c>
      <c r="D1266">
        <v>13</v>
      </c>
      <c r="E1266" t="s">
        <v>5620</v>
      </c>
      <c r="F1266" t="s">
        <v>8664</v>
      </c>
      <c r="J1266" s="5" t="s">
        <v>8917</v>
      </c>
      <c r="K1266" s="5" t="s">
        <v>2445</v>
      </c>
      <c r="L1266">
        <f t="shared" si="38"/>
        <v>1</v>
      </c>
      <c r="M1266" t="s">
        <v>5620</v>
      </c>
      <c r="N1266" t="s">
        <v>6291</v>
      </c>
      <c r="O1266" t="s">
        <v>3995</v>
      </c>
      <c r="P1266">
        <v>120970</v>
      </c>
      <c r="Q1266">
        <v>490150</v>
      </c>
      <c r="R1266" s="16" t="s">
        <v>8525</v>
      </c>
      <c r="S1266" s="16" t="s">
        <v>8230</v>
      </c>
      <c r="T1266" t="s">
        <v>2444</v>
      </c>
      <c r="U1266">
        <v>1</v>
      </c>
      <c r="V1266" t="s">
        <v>8654</v>
      </c>
      <c r="W1266" t="s">
        <v>3995</v>
      </c>
      <c r="X1266" t="s">
        <v>8664</v>
      </c>
      <c r="Y1266">
        <f t="shared" si="39"/>
        <v>1</v>
      </c>
    </row>
    <row r="1267" spans="1:25" hidden="1">
      <c r="A1267" t="s">
        <v>2410</v>
      </c>
      <c r="B1267">
        <v>1296</v>
      </c>
      <c r="C1267">
        <v>1296</v>
      </c>
      <c r="D1267">
        <v>13</v>
      </c>
      <c r="E1267" t="s">
        <v>5789</v>
      </c>
      <c r="F1267" t="s">
        <v>8664</v>
      </c>
      <c r="J1267" t="s">
        <v>8668</v>
      </c>
      <c r="K1267" s="5" t="s">
        <v>2411</v>
      </c>
      <c r="L1267">
        <f t="shared" si="38"/>
        <v>1</v>
      </c>
      <c r="M1267" t="s">
        <v>5789</v>
      </c>
      <c r="N1267" t="s">
        <v>6291</v>
      </c>
      <c r="O1267" t="s">
        <v>3995</v>
      </c>
      <c r="P1267">
        <v>128670</v>
      </c>
      <c r="Q1267">
        <v>485830</v>
      </c>
      <c r="R1267" s="16" t="s">
        <v>8649</v>
      </c>
      <c r="S1267" s="16" t="s">
        <v>8351</v>
      </c>
      <c r="T1267" t="s">
        <v>2410</v>
      </c>
      <c r="U1267">
        <v>0</v>
      </c>
      <c r="V1267" t="s">
        <v>8654</v>
      </c>
      <c r="W1267" t="s">
        <v>3995</v>
      </c>
      <c r="X1267" t="s">
        <v>8664</v>
      </c>
      <c r="Y1267">
        <f t="shared" si="39"/>
        <v>1</v>
      </c>
    </row>
    <row r="1268" spans="1:25" hidden="1">
      <c r="A1268" t="s">
        <v>2392</v>
      </c>
      <c r="B1268">
        <v>1297</v>
      </c>
      <c r="C1268">
        <v>1297</v>
      </c>
      <c r="D1268">
        <v>13</v>
      </c>
      <c r="E1268" t="s">
        <v>5789</v>
      </c>
      <c r="F1268" t="s">
        <v>8664</v>
      </c>
      <c r="J1268" t="s">
        <v>8668</v>
      </c>
      <c r="K1268" s="5" t="s">
        <v>2393</v>
      </c>
      <c r="L1268">
        <f t="shared" si="38"/>
        <v>1</v>
      </c>
      <c r="M1268" t="s">
        <v>5789</v>
      </c>
      <c r="N1268" t="s">
        <v>6291</v>
      </c>
      <c r="O1268" t="s">
        <v>3995</v>
      </c>
      <c r="P1268">
        <v>128670</v>
      </c>
      <c r="Q1268">
        <v>485830</v>
      </c>
      <c r="R1268" s="16" t="s">
        <v>8649</v>
      </c>
      <c r="S1268" s="16" t="s">
        <v>8351</v>
      </c>
      <c r="T1268" t="s">
        <v>2392</v>
      </c>
      <c r="U1268">
        <v>0</v>
      </c>
      <c r="V1268" t="s">
        <v>8654</v>
      </c>
      <c r="W1268" t="s">
        <v>3995</v>
      </c>
      <c r="X1268" t="s">
        <v>8664</v>
      </c>
      <c r="Y1268">
        <f t="shared" si="39"/>
        <v>1</v>
      </c>
    </row>
    <row r="1269" spans="1:25" hidden="1">
      <c r="A1269" t="s">
        <v>7675</v>
      </c>
      <c r="B1269" t="s">
        <v>5018</v>
      </c>
      <c r="C1269">
        <v>1170</v>
      </c>
      <c r="D1269">
        <v>12</v>
      </c>
      <c r="E1269" t="s">
        <v>1444</v>
      </c>
      <c r="F1269" t="s">
        <v>4693</v>
      </c>
      <c r="J1269" t="s">
        <v>8802</v>
      </c>
      <c r="L1269">
        <f t="shared" si="38"/>
        <v>0</v>
      </c>
      <c r="R1269" s="16" t="s">
        <v>8064</v>
      </c>
      <c r="S1269" s="16" t="s">
        <v>8064</v>
      </c>
      <c r="T1269" t="s">
        <v>7675</v>
      </c>
      <c r="U1269">
        <v>1</v>
      </c>
      <c r="V1269" t="s">
        <v>8655</v>
      </c>
      <c r="X1269" t="s">
        <v>8660</v>
      </c>
      <c r="Y1269">
        <f t="shared" si="39"/>
        <v>0</v>
      </c>
    </row>
    <row r="1270" spans="1:25" hidden="1">
      <c r="A1270" t="s">
        <v>7672</v>
      </c>
      <c r="B1270" t="s">
        <v>5015</v>
      </c>
      <c r="C1270">
        <v>1188</v>
      </c>
      <c r="D1270">
        <v>12</v>
      </c>
      <c r="E1270" t="s">
        <v>1444</v>
      </c>
      <c r="F1270" t="s">
        <v>4693</v>
      </c>
      <c r="J1270" t="s">
        <v>8668</v>
      </c>
      <c r="L1270">
        <f t="shared" si="38"/>
        <v>0</v>
      </c>
      <c r="R1270" s="16" t="s">
        <v>8064</v>
      </c>
      <c r="S1270" s="16" t="s">
        <v>8064</v>
      </c>
      <c r="T1270" t="s">
        <v>7672</v>
      </c>
      <c r="U1270">
        <v>0</v>
      </c>
      <c r="V1270" t="s">
        <v>8655</v>
      </c>
      <c r="X1270" t="s">
        <v>8660</v>
      </c>
      <c r="Y1270">
        <f t="shared" si="39"/>
        <v>0</v>
      </c>
    </row>
    <row r="1271" spans="1:25" hidden="1">
      <c r="A1271" t="s">
        <v>7673</v>
      </c>
      <c r="B1271" t="s">
        <v>5016</v>
      </c>
      <c r="C1271">
        <v>1228</v>
      </c>
      <c r="D1271">
        <v>13</v>
      </c>
      <c r="E1271" t="s">
        <v>1444</v>
      </c>
      <c r="F1271" t="s">
        <v>4693</v>
      </c>
      <c r="J1271" t="s">
        <v>8668</v>
      </c>
      <c r="L1271">
        <f t="shared" si="38"/>
        <v>0</v>
      </c>
      <c r="R1271" s="16" t="s">
        <v>8064</v>
      </c>
      <c r="S1271" s="16" t="s">
        <v>8064</v>
      </c>
      <c r="T1271" t="s">
        <v>7673</v>
      </c>
      <c r="U1271">
        <v>0</v>
      </c>
      <c r="V1271" t="s">
        <v>8655</v>
      </c>
      <c r="X1271" t="s">
        <v>8660</v>
      </c>
      <c r="Y1271">
        <f t="shared" si="39"/>
        <v>0</v>
      </c>
    </row>
    <row r="1272" spans="1:25" hidden="1">
      <c r="A1272" t="s">
        <v>7674</v>
      </c>
      <c r="B1272" t="s">
        <v>5017</v>
      </c>
      <c r="C1272">
        <v>1232</v>
      </c>
      <c r="D1272">
        <v>13</v>
      </c>
      <c r="E1272" t="s">
        <v>1444</v>
      </c>
      <c r="F1272" t="s">
        <v>4693</v>
      </c>
      <c r="J1272" t="s">
        <v>8668</v>
      </c>
      <c r="L1272">
        <f t="shared" si="38"/>
        <v>0</v>
      </c>
      <c r="R1272" s="16" t="s">
        <v>8064</v>
      </c>
      <c r="S1272" s="16" t="s">
        <v>8064</v>
      </c>
      <c r="T1272" t="s">
        <v>7674</v>
      </c>
      <c r="U1272">
        <v>0</v>
      </c>
      <c r="V1272" t="s">
        <v>8655</v>
      </c>
      <c r="X1272" t="s">
        <v>8660</v>
      </c>
      <c r="Y1272">
        <f t="shared" si="39"/>
        <v>0</v>
      </c>
    </row>
    <row r="1273" spans="1:25" hidden="1">
      <c r="A1273" t="s">
        <v>4977</v>
      </c>
      <c r="B1273" t="s">
        <v>4552</v>
      </c>
      <c r="C1273">
        <v>1251</v>
      </c>
      <c r="D1273">
        <v>13</v>
      </c>
      <c r="E1273" t="s">
        <v>1444</v>
      </c>
      <c r="F1273" t="s">
        <v>4693</v>
      </c>
      <c r="J1273" t="s">
        <v>8668</v>
      </c>
      <c r="L1273">
        <f t="shared" si="38"/>
        <v>0</v>
      </c>
      <c r="R1273" s="16" t="s">
        <v>8064</v>
      </c>
      <c r="S1273" s="16" t="s">
        <v>8064</v>
      </c>
      <c r="T1273" t="s">
        <v>4977</v>
      </c>
      <c r="U1273">
        <v>0</v>
      </c>
      <c r="V1273" t="s">
        <v>8655</v>
      </c>
      <c r="X1273" t="s">
        <v>8660</v>
      </c>
      <c r="Y1273">
        <f t="shared" si="39"/>
        <v>0</v>
      </c>
    </row>
    <row r="1274" spans="1:25" hidden="1">
      <c r="A1274" t="s">
        <v>7669</v>
      </c>
      <c r="B1274" t="s">
        <v>4976</v>
      </c>
      <c r="C1274">
        <v>1258</v>
      </c>
      <c r="D1274">
        <v>13</v>
      </c>
      <c r="E1274" t="s">
        <v>1444</v>
      </c>
      <c r="F1274" t="s">
        <v>4693</v>
      </c>
      <c r="J1274" t="s">
        <v>8668</v>
      </c>
      <c r="L1274">
        <f t="shared" si="38"/>
        <v>0</v>
      </c>
      <c r="R1274" s="16" t="s">
        <v>8064</v>
      </c>
      <c r="S1274" s="16" t="s">
        <v>8064</v>
      </c>
      <c r="T1274" t="s">
        <v>7669</v>
      </c>
      <c r="U1274">
        <v>0</v>
      </c>
      <c r="V1274" t="s">
        <v>8655</v>
      </c>
      <c r="X1274" t="s">
        <v>8660</v>
      </c>
      <c r="Y1274">
        <f t="shared" si="39"/>
        <v>0</v>
      </c>
    </row>
    <row r="1275" spans="1:25" hidden="1">
      <c r="A1275" t="s">
        <v>7670</v>
      </c>
      <c r="B1275" t="s">
        <v>4976</v>
      </c>
      <c r="C1275">
        <v>1258</v>
      </c>
      <c r="D1275">
        <v>13</v>
      </c>
      <c r="E1275" t="s">
        <v>1444</v>
      </c>
      <c r="F1275" t="s">
        <v>4693</v>
      </c>
      <c r="J1275" t="s">
        <v>8668</v>
      </c>
      <c r="L1275">
        <f t="shared" si="38"/>
        <v>0</v>
      </c>
      <c r="R1275" s="16" t="s">
        <v>8064</v>
      </c>
      <c r="S1275" s="16" t="s">
        <v>8064</v>
      </c>
      <c r="T1275" t="s">
        <v>7670</v>
      </c>
      <c r="U1275">
        <v>0</v>
      </c>
      <c r="V1275" t="s">
        <v>8655</v>
      </c>
      <c r="X1275" t="s">
        <v>8660</v>
      </c>
      <c r="Y1275">
        <f t="shared" si="39"/>
        <v>0</v>
      </c>
    </row>
    <row r="1276" spans="1:25" hidden="1">
      <c r="A1276" t="s">
        <v>7668</v>
      </c>
      <c r="B1276" t="s">
        <v>4595</v>
      </c>
      <c r="C1276">
        <v>1279</v>
      </c>
      <c r="D1276">
        <v>13</v>
      </c>
      <c r="E1276" t="s">
        <v>4596</v>
      </c>
      <c r="F1276" t="s">
        <v>4693</v>
      </c>
      <c r="J1276" t="s">
        <v>8730</v>
      </c>
      <c r="L1276">
        <f t="shared" si="38"/>
        <v>1</v>
      </c>
      <c r="M1276" t="s">
        <v>4502</v>
      </c>
      <c r="N1276" t="s">
        <v>6456</v>
      </c>
      <c r="O1276" t="s">
        <v>104</v>
      </c>
      <c r="P1276">
        <v>23522</v>
      </c>
      <c r="Q1276">
        <v>488566</v>
      </c>
      <c r="R1276" s="16" t="s">
        <v>8364</v>
      </c>
      <c r="S1276" s="16" t="s">
        <v>8069</v>
      </c>
      <c r="T1276" t="s">
        <v>7668</v>
      </c>
      <c r="U1276">
        <v>1</v>
      </c>
      <c r="V1276" t="s">
        <v>8654</v>
      </c>
      <c r="W1276" t="s">
        <v>104</v>
      </c>
      <c r="X1276" t="s">
        <v>8660</v>
      </c>
      <c r="Y1276">
        <f t="shared" si="39"/>
        <v>1</v>
      </c>
    </row>
    <row r="1277" spans="1:25" hidden="1">
      <c r="A1277" t="s">
        <v>7671</v>
      </c>
      <c r="B1277" t="s">
        <v>4606</v>
      </c>
      <c r="C1277">
        <v>1299</v>
      </c>
      <c r="D1277">
        <v>13</v>
      </c>
      <c r="E1277" t="s">
        <v>1444</v>
      </c>
      <c r="F1277" t="s">
        <v>4693</v>
      </c>
      <c r="J1277" t="s">
        <v>8668</v>
      </c>
      <c r="L1277">
        <f t="shared" si="38"/>
        <v>0</v>
      </c>
      <c r="R1277" s="16" t="s">
        <v>8064</v>
      </c>
      <c r="S1277" s="16" t="s">
        <v>8064</v>
      </c>
      <c r="T1277" t="s">
        <v>7671</v>
      </c>
      <c r="U1277">
        <v>0</v>
      </c>
      <c r="V1277" t="s">
        <v>8655</v>
      </c>
      <c r="X1277" t="s">
        <v>8660</v>
      </c>
      <c r="Y1277">
        <f t="shared" si="39"/>
        <v>0</v>
      </c>
    </row>
    <row r="1278" spans="1:25" hidden="1">
      <c r="A1278" t="s">
        <v>2058</v>
      </c>
      <c r="B1278" t="s">
        <v>1238</v>
      </c>
      <c r="C1278">
        <v>932</v>
      </c>
      <c r="D1278">
        <v>10</v>
      </c>
      <c r="E1278" t="s">
        <v>4357</v>
      </c>
      <c r="F1278" t="s">
        <v>4688</v>
      </c>
      <c r="J1278" t="s">
        <v>8983</v>
      </c>
      <c r="L1278">
        <f t="shared" si="38"/>
        <v>1</v>
      </c>
      <c r="M1278" t="s">
        <v>6437</v>
      </c>
      <c r="N1278" t="s">
        <v>6438</v>
      </c>
      <c r="O1278" t="s">
        <v>104</v>
      </c>
      <c r="P1278">
        <v>12610</v>
      </c>
      <c r="Q1278">
        <v>458330</v>
      </c>
      <c r="R1278" s="16" t="s">
        <v>8559</v>
      </c>
      <c r="S1278" s="16" t="s">
        <v>8264</v>
      </c>
      <c r="T1278" t="s">
        <v>7919</v>
      </c>
      <c r="U1278">
        <v>1</v>
      </c>
      <c r="V1278" t="s">
        <v>8656</v>
      </c>
      <c r="W1278" t="s">
        <v>104</v>
      </c>
      <c r="X1278" t="s">
        <v>8660</v>
      </c>
      <c r="Y1278">
        <f t="shared" si="39"/>
        <v>1</v>
      </c>
    </row>
    <row r="1279" spans="1:25" hidden="1">
      <c r="A1279" t="s">
        <v>1415</v>
      </c>
      <c r="B1279" t="s">
        <v>1243</v>
      </c>
      <c r="C1279">
        <v>988</v>
      </c>
      <c r="D1279">
        <v>10</v>
      </c>
      <c r="E1279" t="s">
        <v>1444</v>
      </c>
      <c r="F1279" t="s">
        <v>4688</v>
      </c>
      <c r="J1279" t="s">
        <v>8668</v>
      </c>
      <c r="L1279">
        <f t="shared" si="38"/>
        <v>0</v>
      </c>
      <c r="R1279" s="16" t="s">
        <v>8064</v>
      </c>
      <c r="S1279" s="16" t="s">
        <v>8064</v>
      </c>
      <c r="T1279" t="s">
        <v>1415</v>
      </c>
      <c r="U1279">
        <v>0</v>
      </c>
      <c r="V1279" t="s">
        <v>8655</v>
      </c>
      <c r="X1279" t="s">
        <v>8660</v>
      </c>
      <c r="Y1279">
        <f t="shared" si="39"/>
        <v>0</v>
      </c>
    </row>
    <row r="1280" spans="1:25" hidden="1">
      <c r="A1280" t="s">
        <v>1416</v>
      </c>
      <c r="B1280" t="s">
        <v>1244</v>
      </c>
      <c r="C1280">
        <v>1028</v>
      </c>
      <c r="D1280">
        <v>11</v>
      </c>
      <c r="E1280" t="s">
        <v>4357</v>
      </c>
      <c r="F1280" t="s">
        <v>4688</v>
      </c>
      <c r="J1280" t="s">
        <v>8668</v>
      </c>
      <c r="L1280">
        <f t="shared" si="38"/>
        <v>1</v>
      </c>
      <c r="M1280" t="s">
        <v>6437</v>
      </c>
      <c r="N1280" t="s">
        <v>6438</v>
      </c>
      <c r="O1280" t="s">
        <v>104</v>
      </c>
      <c r="P1280">
        <v>12610</v>
      </c>
      <c r="Q1280">
        <v>458330</v>
      </c>
      <c r="R1280" s="16" t="s">
        <v>8559</v>
      </c>
      <c r="S1280" s="16" t="s">
        <v>8264</v>
      </c>
      <c r="T1280" t="s">
        <v>1416</v>
      </c>
      <c r="U1280">
        <v>0</v>
      </c>
      <c r="V1280" t="s">
        <v>8654</v>
      </c>
      <c r="W1280" t="s">
        <v>104</v>
      </c>
      <c r="X1280" t="s">
        <v>8660</v>
      </c>
      <c r="Y1280">
        <f t="shared" si="39"/>
        <v>1</v>
      </c>
    </row>
    <row r="1281" spans="1:25" hidden="1">
      <c r="A1281" t="s">
        <v>1417</v>
      </c>
      <c r="B1281" t="s">
        <v>1246</v>
      </c>
      <c r="C1281">
        <v>1031</v>
      </c>
      <c r="D1281">
        <v>11</v>
      </c>
      <c r="E1281" t="s">
        <v>4357</v>
      </c>
      <c r="F1281" t="s">
        <v>4688</v>
      </c>
      <c r="J1281" t="s">
        <v>8984</v>
      </c>
      <c r="L1281">
        <f t="shared" si="38"/>
        <v>1</v>
      </c>
      <c r="M1281" t="s">
        <v>6437</v>
      </c>
      <c r="N1281" t="s">
        <v>6438</v>
      </c>
      <c r="O1281" t="s">
        <v>104</v>
      </c>
      <c r="P1281">
        <v>12610</v>
      </c>
      <c r="Q1281">
        <v>458330</v>
      </c>
      <c r="R1281" s="16" t="s">
        <v>8559</v>
      </c>
      <c r="S1281" s="16" t="s">
        <v>8264</v>
      </c>
      <c r="T1281" t="s">
        <v>1417</v>
      </c>
      <c r="U1281">
        <v>1</v>
      </c>
      <c r="V1281" t="s">
        <v>8656</v>
      </c>
      <c r="W1281" t="s">
        <v>104</v>
      </c>
      <c r="X1281" t="s">
        <v>8660</v>
      </c>
      <c r="Y1281">
        <f t="shared" si="39"/>
        <v>1</v>
      </c>
    </row>
    <row r="1282" spans="1:25" hidden="1">
      <c r="A1282" t="s">
        <v>5000</v>
      </c>
      <c r="B1282">
        <v>1136</v>
      </c>
      <c r="C1282">
        <v>1136</v>
      </c>
      <c r="D1282">
        <v>12</v>
      </c>
      <c r="E1282" t="s">
        <v>4462</v>
      </c>
      <c r="F1282" t="s">
        <v>4688</v>
      </c>
      <c r="J1282" t="s">
        <v>8668</v>
      </c>
      <c r="L1282">
        <f t="shared" ref="L1282:L1345" si="40">IF(M1282&lt;&gt;"",1,0)</f>
        <v>1</v>
      </c>
      <c r="M1282" t="s">
        <v>6758</v>
      </c>
      <c r="N1282" t="s">
        <v>6759</v>
      </c>
      <c r="O1282" t="s">
        <v>104</v>
      </c>
      <c r="P1282" t="s">
        <v>6760</v>
      </c>
      <c r="Q1282" t="s">
        <v>6761</v>
      </c>
      <c r="R1282" s="16" t="s">
        <v>8483</v>
      </c>
      <c r="S1282" s="16" t="s">
        <v>8188</v>
      </c>
      <c r="T1282" t="s">
        <v>5000</v>
      </c>
      <c r="U1282">
        <v>0</v>
      </c>
      <c r="V1282" t="s">
        <v>8654</v>
      </c>
      <c r="W1282" t="s">
        <v>104</v>
      </c>
      <c r="X1282" t="s">
        <v>8660</v>
      </c>
      <c r="Y1282">
        <f t="shared" ref="Y1282:Y1345" si="41">IF(OR(V1282="Loc",V1282="IIIF"),1,0)</f>
        <v>1</v>
      </c>
    </row>
    <row r="1283" spans="1:25" hidden="1">
      <c r="A1283" t="s">
        <v>1419</v>
      </c>
      <c r="B1283" t="s">
        <v>1262</v>
      </c>
      <c r="C1283">
        <v>1188</v>
      </c>
      <c r="D1283">
        <v>12</v>
      </c>
      <c r="E1283" t="s">
        <v>1444</v>
      </c>
      <c r="F1283" t="s">
        <v>4688</v>
      </c>
      <c r="J1283" t="s">
        <v>8807</v>
      </c>
      <c r="L1283">
        <f t="shared" si="40"/>
        <v>0</v>
      </c>
      <c r="R1283" s="16" t="s">
        <v>8064</v>
      </c>
      <c r="S1283" s="16" t="s">
        <v>8064</v>
      </c>
      <c r="T1283" t="s">
        <v>1419</v>
      </c>
      <c r="U1283">
        <v>1</v>
      </c>
      <c r="V1283" t="s">
        <v>8655</v>
      </c>
      <c r="X1283" t="s">
        <v>8660</v>
      </c>
      <c r="Y1283">
        <f t="shared" si="41"/>
        <v>0</v>
      </c>
    </row>
    <row r="1284" spans="1:25" hidden="1">
      <c r="A1284" t="s">
        <v>1421</v>
      </c>
      <c r="B1284" t="s">
        <v>1271</v>
      </c>
      <c r="C1284">
        <v>1266</v>
      </c>
      <c r="D1284">
        <v>13</v>
      </c>
      <c r="E1284" t="s">
        <v>1444</v>
      </c>
      <c r="F1284" t="s">
        <v>4688</v>
      </c>
      <c r="J1284" t="s">
        <v>8668</v>
      </c>
      <c r="L1284">
        <f t="shared" si="40"/>
        <v>0</v>
      </c>
      <c r="R1284" s="16" t="s">
        <v>8064</v>
      </c>
      <c r="S1284" s="16" t="s">
        <v>8064</v>
      </c>
      <c r="T1284" t="s">
        <v>1421</v>
      </c>
      <c r="U1284">
        <v>0</v>
      </c>
      <c r="V1284" t="s">
        <v>8655</v>
      </c>
      <c r="X1284" t="s">
        <v>8660</v>
      </c>
      <c r="Y1284">
        <f t="shared" si="41"/>
        <v>0</v>
      </c>
    </row>
    <row r="1285" spans="1:25" hidden="1">
      <c r="A1285" t="s">
        <v>1422</v>
      </c>
      <c r="B1285" t="s">
        <v>1272</v>
      </c>
      <c r="C1285">
        <v>1274</v>
      </c>
      <c r="D1285">
        <v>13</v>
      </c>
      <c r="E1285" t="s">
        <v>1444</v>
      </c>
      <c r="F1285" t="s">
        <v>4688</v>
      </c>
      <c r="J1285" t="s">
        <v>8668</v>
      </c>
      <c r="L1285">
        <f t="shared" si="40"/>
        <v>0</v>
      </c>
      <c r="R1285" s="16" t="s">
        <v>8064</v>
      </c>
      <c r="S1285" s="16" t="s">
        <v>8064</v>
      </c>
      <c r="T1285" t="s">
        <v>1422</v>
      </c>
      <c r="U1285">
        <v>0</v>
      </c>
      <c r="V1285" t="s">
        <v>8655</v>
      </c>
      <c r="X1285" t="s">
        <v>8660</v>
      </c>
      <c r="Y1285">
        <f t="shared" si="41"/>
        <v>0</v>
      </c>
    </row>
    <row r="1286" spans="1:25" hidden="1">
      <c r="A1286" t="s">
        <v>1424</v>
      </c>
      <c r="B1286" t="s">
        <v>1278</v>
      </c>
      <c r="C1286">
        <v>1280</v>
      </c>
      <c r="D1286">
        <v>13</v>
      </c>
      <c r="E1286" t="s">
        <v>1444</v>
      </c>
      <c r="F1286" t="s">
        <v>4688</v>
      </c>
      <c r="J1286" t="s">
        <v>8668</v>
      </c>
      <c r="L1286">
        <f t="shared" si="40"/>
        <v>0</v>
      </c>
      <c r="R1286" s="16" t="s">
        <v>8064</v>
      </c>
      <c r="S1286" s="16" t="s">
        <v>8064</v>
      </c>
      <c r="T1286" t="s">
        <v>1424</v>
      </c>
      <c r="U1286">
        <v>0</v>
      </c>
      <c r="V1286" t="s">
        <v>8655</v>
      </c>
      <c r="X1286" t="s">
        <v>8660</v>
      </c>
      <c r="Y1286">
        <f t="shared" si="41"/>
        <v>0</v>
      </c>
    </row>
    <row r="1287" spans="1:25" hidden="1">
      <c r="A1287" t="s">
        <v>1425</v>
      </c>
      <c r="B1287" t="s">
        <v>1280</v>
      </c>
      <c r="C1287">
        <v>1297</v>
      </c>
      <c r="D1287">
        <v>13</v>
      </c>
      <c r="E1287" t="s">
        <v>4636</v>
      </c>
      <c r="F1287" t="s">
        <v>4688</v>
      </c>
      <c r="J1287" t="s">
        <v>8668</v>
      </c>
      <c r="L1287">
        <f t="shared" si="40"/>
        <v>1</v>
      </c>
      <c r="M1287" t="s">
        <v>6479</v>
      </c>
      <c r="N1287" t="s">
        <v>6343</v>
      </c>
      <c r="O1287" t="s">
        <v>104</v>
      </c>
      <c r="P1287">
        <v>12160</v>
      </c>
      <c r="Q1287">
        <v>448830</v>
      </c>
      <c r="R1287" s="16" t="s">
        <v>8557</v>
      </c>
      <c r="S1287" s="16" t="s">
        <v>8262</v>
      </c>
      <c r="T1287" t="s">
        <v>1425</v>
      </c>
      <c r="U1287">
        <v>0</v>
      </c>
      <c r="V1287" t="s">
        <v>8654</v>
      </c>
      <c r="W1287" t="s">
        <v>104</v>
      </c>
      <c r="X1287" t="s">
        <v>8660</v>
      </c>
      <c r="Y1287">
        <f t="shared" si="41"/>
        <v>1</v>
      </c>
    </row>
    <row r="1288" spans="1:25" hidden="1">
      <c r="A1288" t="s">
        <v>5001</v>
      </c>
      <c r="B1288" t="s">
        <v>4647</v>
      </c>
      <c r="C1288">
        <v>1300</v>
      </c>
      <c r="D1288">
        <v>13</v>
      </c>
      <c r="E1288" t="s">
        <v>1444</v>
      </c>
      <c r="F1288" t="s">
        <v>4688</v>
      </c>
      <c r="J1288" t="s">
        <v>8668</v>
      </c>
      <c r="L1288">
        <f t="shared" si="40"/>
        <v>0</v>
      </c>
      <c r="R1288" s="16" t="s">
        <v>8064</v>
      </c>
      <c r="S1288" s="16" t="s">
        <v>8064</v>
      </c>
      <c r="T1288" t="s">
        <v>5001</v>
      </c>
      <c r="U1288">
        <v>0</v>
      </c>
      <c r="V1288" t="s">
        <v>8655</v>
      </c>
      <c r="X1288" t="s">
        <v>8660</v>
      </c>
      <c r="Y1288">
        <f t="shared" si="41"/>
        <v>0</v>
      </c>
    </row>
    <row r="1289" spans="1:25" hidden="1">
      <c r="A1289" t="s">
        <v>1585</v>
      </c>
      <c r="B1289" t="s">
        <v>4999</v>
      </c>
      <c r="C1289">
        <v>987</v>
      </c>
      <c r="D1289">
        <v>10</v>
      </c>
      <c r="E1289" t="s">
        <v>4372</v>
      </c>
      <c r="F1289" t="s">
        <v>4690</v>
      </c>
      <c r="J1289" t="s">
        <v>8668</v>
      </c>
      <c r="L1289">
        <f t="shared" si="40"/>
        <v>1</v>
      </c>
      <c r="M1289" t="s">
        <v>6376</v>
      </c>
      <c r="N1289" t="s">
        <v>6305</v>
      </c>
      <c r="O1289" t="s">
        <v>104</v>
      </c>
      <c r="P1289">
        <v>28260</v>
      </c>
      <c r="Q1289">
        <v>494170</v>
      </c>
      <c r="R1289" s="16" t="s">
        <v>8578</v>
      </c>
      <c r="S1289" s="16" t="s">
        <v>8283</v>
      </c>
      <c r="T1289" t="s">
        <v>1585</v>
      </c>
      <c r="U1289">
        <v>0</v>
      </c>
      <c r="V1289" t="s">
        <v>8654</v>
      </c>
      <c r="W1289" t="s">
        <v>104</v>
      </c>
      <c r="X1289" t="s">
        <v>8660</v>
      </c>
      <c r="Y1289">
        <f t="shared" si="41"/>
        <v>1</v>
      </c>
    </row>
    <row r="1290" spans="1:25" hidden="1">
      <c r="A1290" t="s">
        <v>1584</v>
      </c>
      <c r="B1290" t="s">
        <v>5004</v>
      </c>
      <c r="C1290">
        <v>993</v>
      </c>
      <c r="D1290">
        <v>10</v>
      </c>
      <c r="E1290" t="s">
        <v>4370</v>
      </c>
      <c r="F1290" t="s">
        <v>4690</v>
      </c>
      <c r="J1290" t="s">
        <v>9001</v>
      </c>
      <c r="L1290">
        <f t="shared" si="40"/>
        <v>1</v>
      </c>
      <c r="M1290" t="s">
        <v>4370</v>
      </c>
      <c r="N1290" t="s">
        <v>6293</v>
      </c>
      <c r="O1290" t="s">
        <v>3995</v>
      </c>
      <c r="P1290" t="s">
        <v>6716</v>
      </c>
      <c r="Q1290" t="s">
        <v>6717</v>
      </c>
      <c r="R1290" s="16" t="s">
        <v>8573</v>
      </c>
      <c r="S1290" s="16" t="s">
        <v>8278</v>
      </c>
      <c r="T1290" t="s">
        <v>1584</v>
      </c>
      <c r="U1290">
        <v>1</v>
      </c>
      <c r="V1290" t="s">
        <v>8656</v>
      </c>
      <c r="W1290" t="s">
        <v>3995</v>
      </c>
      <c r="X1290" t="s">
        <v>8660</v>
      </c>
      <c r="Y1290">
        <f t="shared" si="41"/>
        <v>1</v>
      </c>
    </row>
    <row r="1291" spans="1:25" hidden="1">
      <c r="A1291" t="s">
        <v>2061</v>
      </c>
      <c r="B1291" t="s">
        <v>5003</v>
      </c>
      <c r="C1291">
        <v>1005</v>
      </c>
      <c r="D1291">
        <v>11</v>
      </c>
      <c r="E1291" t="s">
        <v>4369</v>
      </c>
      <c r="F1291" t="s">
        <v>4690</v>
      </c>
      <c r="J1291" t="s">
        <v>8999</v>
      </c>
      <c r="L1291">
        <f t="shared" si="40"/>
        <v>1</v>
      </c>
      <c r="M1291" t="s">
        <v>4369</v>
      </c>
      <c r="N1291" t="s">
        <v>6787</v>
      </c>
      <c r="O1291" t="s">
        <v>104</v>
      </c>
      <c r="P1291" t="s">
        <v>6788</v>
      </c>
      <c r="Q1291" t="s">
        <v>6789</v>
      </c>
      <c r="R1291" s="16" t="s">
        <v>8463</v>
      </c>
      <c r="S1291" s="16" t="s">
        <v>8167</v>
      </c>
      <c r="T1291" t="s">
        <v>7937</v>
      </c>
      <c r="U1291">
        <v>1</v>
      </c>
      <c r="V1291" t="s">
        <v>8656</v>
      </c>
      <c r="W1291" t="s">
        <v>104</v>
      </c>
      <c r="X1291" t="s">
        <v>8660</v>
      </c>
      <c r="Y1291">
        <f t="shared" si="41"/>
        <v>1</v>
      </c>
    </row>
    <row r="1292" spans="1:25" hidden="1">
      <c r="A1292" t="s">
        <v>1587</v>
      </c>
      <c r="B1292" t="s">
        <v>4381</v>
      </c>
      <c r="C1292">
        <v>1008</v>
      </c>
      <c r="D1292">
        <v>11</v>
      </c>
      <c r="E1292" t="s">
        <v>4382</v>
      </c>
      <c r="F1292" t="s">
        <v>4690</v>
      </c>
      <c r="J1292" t="s">
        <v>8998</v>
      </c>
      <c r="L1292">
        <f t="shared" si="40"/>
        <v>1</v>
      </c>
      <c r="M1292" t="s">
        <v>6893</v>
      </c>
      <c r="N1292" t="s">
        <v>6293</v>
      </c>
      <c r="O1292" t="s">
        <v>3995</v>
      </c>
      <c r="P1292" t="s">
        <v>6894</v>
      </c>
      <c r="Q1292" t="s">
        <v>6895</v>
      </c>
      <c r="R1292" s="16" t="s">
        <v>6894</v>
      </c>
      <c r="S1292" s="16" t="s">
        <v>6895</v>
      </c>
      <c r="T1292" t="s">
        <v>1587</v>
      </c>
      <c r="U1292">
        <v>1</v>
      </c>
      <c r="V1292" t="s">
        <v>8656</v>
      </c>
      <c r="W1292" t="s">
        <v>3995</v>
      </c>
      <c r="X1292" t="s">
        <v>8660</v>
      </c>
      <c r="Y1292">
        <f t="shared" si="41"/>
        <v>1</v>
      </c>
    </row>
    <row r="1293" spans="1:25" hidden="1">
      <c r="A1293" t="s">
        <v>1590</v>
      </c>
      <c r="B1293" t="s">
        <v>4390</v>
      </c>
      <c r="C1293">
        <v>1050</v>
      </c>
      <c r="D1293">
        <v>11</v>
      </c>
      <c r="E1293" t="s">
        <v>4391</v>
      </c>
      <c r="F1293" t="s">
        <v>4690</v>
      </c>
      <c r="J1293" t="s">
        <v>9000</v>
      </c>
      <c r="L1293">
        <f t="shared" si="40"/>
        <v>1</v>
      </c>
      <c r="M1293" t="s">
        <v>6783</v>
      </c>
      <c r="N1293" t="s">
        <v>6784</v>
      </c>
      <c r="O1293" t="s">
        <v>104</v>
      </c>
      <c r="P1293" t="s">
        <v>6785</v>
      </c>
      <c r="Q1293" t="s">
        <v>6786</v>
      </c>
      <c r="R1293" s="16" t="s">
        <v>8572</v>
      </c>
      <c r="S1293" s="16" t="s">
        <v>8277</v>
      </c>
      <c r="T1293" t="s">
        <v>1590</v>
      </c>
      <c r="U1293">
        <v>1</v>
      </c>
      <c r="V1293" t="s">
        <v>8656</v>
      </c>
      <c r="W1293" t="s">
        <v>104</v>
      </c>
      <c r="X1293" t="s">
        <v>8660</v>
      </c>
      <c r="Y1293">
        <f t="shared" si="41"/>
        <v>1</v>
      </c>
    </row>
    <row r="1294" spans="1:25" hidden="1">
      <c r="A1294" t="s">
        <v>1724</v>
      </c>
      <c r="B1294" t="s">
        <v>4981</v>
      </c>
      <c r="C1294">
        <v>1050</v>
      </c>
      <c r="D1294">
        <v>11</v>
      </c>
      <c r="E1294" t="s">
        <v>4410</v>
      </c>
      <c r="F1294" t="s">
        <v>4690</v>
      </c>
      <c r="J1294" t="s">
        <v>8668</v>
      </c>
      <c r="L1294">
        <f t="shared" si="40"/>
        <v>1</v>
      </c>
      <c r="M1294" t="s">
        <v>6358</v>
      </c>
      <c r="N1294" t="s">
        <v>6359</v>
      </c>
      <c r="O1294" t="s">
        <v>104</v>
      </c>
      <c r="P1294">
        <v>14890</v>
      </c>
      <c r="Q1294">
        <v>484460</v>
      </c>
      <c r="R1294" s="16" t="s">
        <v>8579</v>
      </c>
      <c r="S1294" s="16" t="s">
        <v>8284</v>
      </c>
      <c r="T1294" t="s">
        <v>1724</v>
      </c>
      <c r="U1294">
        <v>0</v>
      </c>
      <c r="V1294" t="s">
        <v>8654</v>
      </c>
      <c r="W1294" t="s">
        <v>104</v>
      </c>
      <c r="X1294" t="s">
        <v>8660</v>
      </c>
      <c r="Y1294">
        <f t="shared" si="41"/>
        <v>1</v>
      </c>
    </row>
    <row r="1295" spans="1:25" hidden="1">
      <c r="A1295" t="s">
        <v>1594</v>
      </c>
      <c r="B1295" t="s">
        <v>4412</v>
      </c>
      <c r="C1295">
        <v>1061</v>
      </c>
      <c r="D1295">
        <v>11</v>
      </c>
      <c r="E1295" t="s">
        <v>1444</v>
      </c>
      <c r="F1295" t="s">
        <v>4690</v>
      </c>
      <c r="J1295" t="s">
        <v>8668</v>
      </c>
      <c r="L1295">
        <f t="shared" si="40"/>
        <v>0</v>
      </c>
      <c r="R1295" s="16" t="s">
        <v>8064</v>
      </c>
      <c r="S1295" s="16" t="s">
        <v>8064</v>
      </c>
      <c r="T1295" t="s">
        <v>1594</v>
      </c>
      <c r="U1295">
        <v>0</v>
      </c>
      <c r="V1295" t="s">
        <v>8655</v>
      </c>
      <c r="X1295" t="s">
        <v>8660</v>
      </c>
      <c r="Y1295">
        <f t="shared" si="41"/>
        <v>0</v>
      </c>
    </row>
    <row r="1296" spans="1:25" hidden="1">
      <c r="A1296" t="s">
        <v>4978</v>
      </c>
      <c r="B1296" t="s">
        <v>4412</v>
      </c>
      <c r="C1296">
        <v>1061</v>
      </c>
      <c r="D1296">
        <v>11</v>
      </c>
      <c r="E1296" t="s">
        <v>4408</v>
      </c>
      <c r="F1296" t="s">
        <v>4690</v>
      </c>
      <c r="J1296" t="s">
        <v>8668</v>
      </c>
      <c r="L1296">
        <f t="shared" si="40"/>
        <v>1</v>
      </c>
      <c r="M1296" t="s">
        <v>6389</v>
      </c>
      <c r="N1296" t="s">
        <v>6389</v>
      </c>
      <c r="O1296" t="s">
        <v>6390</v>
      </c>
      <c r="P1296">
        <v>64790</v>
      </c>
      <c r="Q1296">
        <v>498110</v>
      </c>
      <c r="R1296" s="16" t="s">
        <v>8576</v>
      </c>
      <c r="S1296" s="16" t="s">
        <v>8281</v>
      </c>
      <c r="T1296" t="s">
        <v>4978</v>
      </c>
      <c r="U1296">
        <v>0</v>
      </c>
      <c r="V1296" t="s">
        <v>8654</v>
      </c>
      <c r="W1296" t="s">
        <v>6390</v>
      </c>
      <c r="X1296" t="s">
        <v>8660</v>
      </c>
      <c r="Y1296">
        <f t="shared" si="41"/>
        <v>1</v>
      </c>
    </row>
    <row r="1297" spans="1:25" hidden="1">
      <c r="A1297" t="s">
        <v>1598</v>
      </c>
      <c r="B1297" t="s">
        <v>4414</v>
      </c>
      <c r="C1297">
        <v>1066</v>
      </c>
      <c r="D1297">
        <v>11</v>
      </c>
      <c r="E1297" t="s">
        <v>4408</v>
      </c>
      <c r="F1297" t="s">
        <v>4690</v>
      </c>
      <c r="J1297" t="s">
        <v>9007</v>
      </c>
      <c r="L1297">
        <f t="shared" si="40"/>
        <v>1</v>
      </c>
      <c r="M1297" t="s">
        <v>6389</v>
      </c>
      <c r="N1297" t="s">
        <v>6389</v>
      </c>
      <c r="O1297" t="s">
        <v>6390</v>
      </c>
      <c r="P1297">
        <v>64790</v>
      </c>
      <c r="Q1297">
        <v>498110</v>
      </c>
      <c r="R1297" s="16" t="s">
        <v>8576</v>
      </c>
      <c r="S1297" s="16" t="s">
        <v>8281</v>
      </c>
      <c r="T1297" t="s">
        <v>1598</v>
      </c>
      <c r="U1297">
        <v>1</v>
      </c>
      <c r="V1297" t="s">
        <v>8656</v>
      </c>
      <c r="W1297" t="s">
        <v>6390</v>
      </c>
      <c r="X1297" t="s">
        <v>8660</v>
      </c>
      <c r="Y1297">
        <f t="shared" si="41"/>
        <v>1</v>
      </c>
    </row>
    <row r="1298" spans="1:25" hidden="1">
      <c r="A1298" t="s">
        <v>1601</v>
      </c>
      <c r="B1298" t="s">
        <v>4413</v>
      </c>
      <c r="C1298">
        <v>1066</v>
      </c>
      <c r="D1298">
        <v>11</v>
      </c>
      <c r="E1298" t="s">
        <v>4408</v>
      </c>
      <c r="F1298" t="s">
        <v>4690</v>
      </c>
      <c r="J1298" t="s">
        <v>8668</v>
      </c>
      <c r="L1298">
        <f t="shared" si="40"/>
        <v>1</v>
      </c>
      <c r="M1298" t="s">
        <v>6389</v>
      </c>
      <c r="N1298" t="s">
        <v>6389</v>
      </c>
      <c r="O1298" t="s">
        <v>6390</v>
      </c>
      <c r="P1298">
        <v>64790</v>
      </c>
      <c r="Q1298">
        <v>498110</v>
      </c>
      <c r="R1298" s="16" t="s">
        <v>8576</v>
      </c>
      <c r="S1298" s="16" t="s">
        <v>8281</v>
      </c>
      <c r="T1298" t="s">
        <v>1601</v>
      </c>
      <c r="U1298">
        <v>0</v>
      </c>
      <c r="V1298" t="s">
        <v>8654</v>
      </c>
      <c r="W1298" t="s">
        <v>6390</v>
      </c>
      <c r="X1298" t="s">
        <v>8660</v>
      </c>
      <c r="Y1298">
        <f t="shared" si="41"/>
        <v>1</v>
      </c>
    </row>
    <row r="1299" spans="1:25" hidden="1">
      <c r="A1299" t="s">
        <v>5005</v>
      </c>
      <c r="B1299" t="s">
        <v>4414</v>
      </c>
      <c r="C1299">
        <v>1066</v>
      </c>
      <c r="D1299">
        <v>11</v>
      </c>
      <c r="E1299" t="s">
        <v>4408</v>
      </c>
      <c r="F1299" t="s">
        <v>4690</v>
      </c>
      <c r="J1299" t="s">
        <v>8668</v>
      </c>
      <c r="L1299">
        <f t="shared" si="40"/>
        <v>1</v>
      </c>
      <c r="M1299" t="s">
        <v>6389</v>
      </c>
      <c r="N1299" t="s">
        <v>6389</v>
      </c>
      <c r="O1299" t="s">
        <v>6390</v>
      </c>
      <c r="P1299">
        <v>64790</v>
      </c>
      <c r="Q1299">
        <v>498110</v>
      </c>
      <c r="R1299" s="16" t="s">
        <v>8576</v>
      </c>
      <c r="S1299" s="16" t="s">
        <v>8281</v>
      </c>
      <c r="T1299" t="s">
        <v>7944</v>
      </c>
      <c r="U1299">
        <v>0</v>
      </c>
      <c r="V1299" t="s">
        <v>8654</v>
      </c>
      <c r="W1299" t="s">
        <v>6390</v>
      </c>
      <c r="X1299" t="s">
        <v>8660</v>
      </c>
      <c r="Y1299">
        <f t="shared" si="41"/>
        <v>1</v>
      </c>
    </row>
    <row r="1300" spans="1:25" hidden="1">
      <c r="A1300" t="s">
        <v>1606</v>
      </c>
      <c r="B1300" t="s">
        <v>1361</v>
      </c>
      <c r="C1300">
        <v>1073</v>
      </c>
      <c r="D1300">
        <v>11</v>
      </c>
      <c r="E1300" t="s">
        <v>4421</v>
      </c>
      <c r="F1300" t="s">
        <v>4690</v>
      </c>
      <c r="J1300" t="s">
        <v>8996</v>
      </c>
      <c r="L1300">
        <f t="shared" si="40"/>
        <v>1</v>
      </c>
      <c r="M1300" t="s">
        <v>4402</v>
      </c>
      <c r="N1300" t="s">
        <v>6908</v>
      </c>
      <c r="O1300" t="s">
        <v>104</v>
      </c>
      <c r="P1300" t="s">
        <v>6909</v>
      </c>
      <c r="Q1300" t="s">
        <v>6910</v>
      </c>
      <c r="R1300" s="16" t="s">
        <v>8489</v>
      </c>
      <c r="S1300" s="16" t="s">
        <v>8195</v>
      </c>
      <c r="T1300" t="s">
        <v>1606</v>
      </c>
      <c r="U1300">
        <v>1</v>
      </c>
      <c r="V1300" t="s">
        <v>8656</v>
      </c>
      <c r="W1300" t="s">
        <v>104</v>
      </c>
      <c r="X1300" t="s">
        <v>8660</v>
      </c>
      <c r="Y1300">
        <f t="shared" si="41"/>
        <v>1</v>
      </c>
    </row>
    <row r="1301" spans="1:25" hidden="1">
      <c r="A1301" t="s">
        <v>2063</v>
      </c>
      <c r="B1301" t="s">
        <v>4420</v>
      </c>
      <c r="C1301">
        <v>1083</v>
      </c>
      <c r="D1301">
        <v>11</v>
      </c>
      <c r="E1301" t="s">
        <v>4392</v>
      </c>
      <c r="F1301" t="s">
        <v>4690</v>
      </c>
      <c r="J1301" t="s">
        <v>9002</v>
      </c>
      <c r="L1301">
        <f t="shared" si="40"/>
        <v>1</v>
      </c>
      <c r="M1301" t="s">
        <v>4502</v>
      </c>
      <c r="N1301" t="s">
        <v>6456</v>
      </c>
      <c r="O1301" t="s">
        <v>104</v>
      </c>
      <c r="P1301">
        <v>23522</v>
      </c>
      <c r="Q1301">
        <v>488566</v>
      </c>
      <c r="R1301" s="16" t="s">
        <v>8364</v>
      </c>
      <c r="S1301" s="16" t="s">
        <v>8069</v>
      </c>
      <c r="T1301" t="s">
        <v>7940</v>
      </c>
      <c r="U1301">
        <v>1</v>
      </c>
      <c r="V1301" t="s">
        <v>8656</v>
      </c>
      <c r="W1301" t="s">
        <v>104</v>
      </c>
      <c r="X1301" t="s">
        <v>8660</v>
      </c>
      <c r="Y1301">
        <f t="shared" si="41"/>
        <v>1</v>
      </c>
    </row>
    <row r="1302" spans="1:25" hidden="1">
      <c r="A1302" t="s">
        <v>1604</v>
      </c>
      <c r="B1302" t="s">
        <v>4420</v>
      </c>
      <c r="C1302">
        <v>1083</v>
      </c>
      <c r="D1302">
        <v>11</v>
      </c>
      <c r="E1302" t="s">
        <v>4392</v>
      </c>
      <c r="F1302" t="s">
        <v>4690</v>
      </c>
      <c r="J1302" t="s">
        <v>8668</v>
      </c>
      <c r="L1302">
        <f t="shared" si="40"/>
        <v>1</v>
      </c>
      <c r="M1302" t="s">
        <v>4502</v>
      </c>
      <c r="N1302" t="s">
        <v>6456</v>
      </c>
      <c r="O1302" t="s">
        <v>104</v>
      </c>
      <c r="P1302">
        <v>23522</v>
      </c>
      <c r="Q1302">
        <v>488566</v>
      </c>
      <c r="R1302" s="16" t="s">
        <v>8364</v>
      </c>
      <c r="S1302" s="16" t="s">
        <v>8069</v>
      </c>
      <c r="T1302" t="s">
        <v>1604</v>
      </c>
      <c r="U1302">
        <v>0</v>
      </c>
      <c r="V1302" t="s">
        <v>8654</v>
      </c>
      <c r="W1302" t="s">
        <v>104</v>
      </c>
      <c r="X1302" t="s">
        <v>8660</v>
      </c>
      <c r="Y1302">
        <f t="shared" si="41"/>
        <v>1</v>
      </c>
    </row>
    <row r="1303" spans="1:25" hidden="1">
      <c r="A1303" t="s">
        <v>1605</v>
      </c>
      <c r="B1303" t="s">
        <v>4980</v>
      </c>
      <c r="C1303">
        <v>1083</v>
      </c>
      <c r="D1303">
        <v>11</v>
      </c>
      <c r="E1303" t="s">
        <v>4392</v>
      </c>
      <c r="F1303" t="s">
        <v>4690</v>
      </c>
      <c r="J1303" t="s">
        <v>8668</v>
      </c>
      <c r="L1303">
        <f t="shared" si="40"/>
        <v>1</v>
      </c>
      <c r="M1303" t="s">
        <v>4502</v>
      </c>
      <c r="N1303" t="s">
        <v>6456</v>
      </c>
      <c r="O1303" t="s">
        <v>104</v>
      </c>
      <c r="P1303">
        <v>23522</v>
      </c>
      <c r="Q1303">
        <v>488566</v>
      </c>
      <c r="R1303" s="16" t="s">
        <v>8364</v>
      </c>
      <c r="S1303" s="16" t="s">
        <v>8069</v>
      </c>
      <c r="T1303" t="s">
        <v>1605</v>
      </c>
      <c r="U1303">
        <v>0</v>
      </c>
      <c r="V1303" t="s">
        <v>8654</v>
      </c>
      <c r="W1303" t="s">
        <v>104</v>
      </c>
      <c r="X1303" t="s">
        <v>8660</v>
      </c>
      <c r="Y1303">
        <f t="shared" si="41"/>
        <v>1</v>
      </c>
    </row>
    <row r="1304" spans="1:25" hidden="1">
      <c r="A1304" t="s">
        <v>2064</v>
      </c>
      <c r="B1304" t="s">
        <v>4420</v>
      </c>
      <c r="C1304">
        <v>1083</v>
      </c>
      <c r="D1304">
        <v>11</v>
      </c>
      <c r="E1304" t="s">
        <v>4392</v>
      </c>
      <c r="F1304" t="s">
        <v>4690</v>
      </c>
      <c r="J1304" t="s">
        <v>8668</v>
      </c>
      <c r="L1304">
        <f t="shared" si="40"/>
        <v>1</v>
      </c>
      <c r="M1304" t="s">
        <v>4502</v>
      </c>
      <c r="N1304" t="s">
        <v>6456</v>
      </c>
      <c r="O1304" t="s">
        <v>104</v>
      </c>
      <c r="P1304">
        <v>23522</v>
      </c>
      <c r="Q1304">
        <v>488566</v>
      </c>
      <c r="R1304" s="16" t="s">
        <v>8364</v>
      </c>
      <c r="S1304" s="16" t="s">
        <v>8069</v>
      </c>
      <c r="T1304" t="s">
        <v>7941</v>
      </c>
      <c r="U1304">
        <v>0</v>
      </c>
      <c r="V1304" t="s">
        <v>8654</v>
      </c>
      <c r="W1304" t="s">
        <v>104</v>
      </c>
      <c r="X1304" t="s">
        <v>8660</v>
      </c>
      <c r="Y1304">
        <f t="shared" si="41"/>
        <v>1</v>
      </c>
    </row>
    <row r="1305" spans="1:25" hidden="1">
      <c r="A1305" t="s">
        <v>1608</v>
      </c>
      <c r="B1305" t="s">
        <v>1364</v>
      </c>
      <c r="C1305">
        <v>1100</v>
      </c>
      <c r="D1305">
        <v>12</v>
      </c>
      <c r="E1305" t="s">
        <v>4436</v>
      </c>
      <c r="F1305" t="s">
        <v>4690</v>
      </c>
      <c r="J1305" t="s">
        <v>9006</v>
      </c>
      <c r="L1305">
        <f t="shared" si="40"/>
        <v>1</v>
      </c>
      <c r="M1305" t="s">
        <v>6437</v>
      </c>
      <c r="N1305" t="s">
        <v>6438</v>
      </c>
      <c r="O1305" t="s">
        <v>104</v>
      </c>
      <c r="P1305">
        <v>12610</v>
      </c>
      <c r="Q1305">
        <v>458330</v>
      </c>
      <c r="R1305" s="16" t="s">
        <v>8559</v>
      </c>
      <c r="S1305" s="16" t="s">
        <v>8264</v>
      </c>
      <c r="T1305" t="s">
        <v>1608</v>
      </c>
      <c r="U1305">
        <v>1</v>
      </c>
      <c r="V1305" t="s">
        <v>8656</v>
      </c>
      <c r="W1305" t="s">
        <v>104</v>
      </c>
      <c r="X1305" t="s">
        <v>8660</v>
      </c>
      <c r="Y1305">
        <f t="shared" si="41"/>
        <v>1</v>
      </c>
    </row>
    <row r="1306" spans="1:25" hidden="1">
      <c r="A1306" t="s">
        <v>5494</v>
      </c>
      <c r="B1306" t="s">
        <v>1199</v>
      </c>
      <c r="C1306">
        <v>1295</v>
      </c>
      <c r="D1306">
        <v>13</v>
      </c>
      <c r="E1306" t="s">
        <v>121</v>
      </c>
      <c r="F1306" t="s">
        <v>1200</v>
      </c>
      <c r="H1306" t="s">
        <v>1201</v>
      </c>
      <c r="J1306" t="s">
        <v>8668</v>
      </c>
      <c r="K1306" t="s">
        <v>8668</v>
      </c>
      <c r="L1306">
        <f t="shared" si="40"/>
        <v>1</v>
      </c>
      <c r="M1306" t="s">
        <v>1</v>
      </c>
      <c r="N1306" t="s">
        <v>6445</v>
      </c>
      <c r="O1306" t="s">
        <v>12</v>
      </c>
      <c r="P1306" t="s">
        <v>6446</v>
      </c>
      <c r="Q1306">
        <v>515074</v>
      </c>
      <c r="R1306" s="16" t="s">
        <v>6446</v>
      </c>
      <c r="S1306" s="16" t="s">
        <v>8068</v>
      </c>
      <c r="T1306" t="s">
        <v>8051</v>
      </c>
      <c r="U1306">
        <v>0</v>
      </c>
      <c r="V1306" t="s">
        <v>8654</v>
      </c>
      <c r="W1306" t="s">
        <v>12</v>
      </c>
      <c r="X1306" t="s">
        <v>8661</v>
      </c>
      <c r="Y1306">
        <f t="shared" si="41"/>
        <v>1</v>
      </c>
    </row>
    <row r="1307" spans="1:25" hidden="1">
      <c r="A1307" t="s">
        <v>1613</v>
      </c>
      <c r="B1307" t="s">
        <v>4464</v>
      </c>
      <c r="C1307">
        <v>1137</v>
      </c>
      <c r="D1307">
        <v>12</v>
      </c>
      <c r="E1307" t="s">
        <v>1444</v>
      </c>
      <c r="F1307" t="s">
        <v>4690</v>
      </c>
      <c r="J1307" t="s">
        <v>8668</v>
      </c>
      <c r="L1307">
        <f t="shared" si="40"/>
        <v>0</v>
      </c>
      <c r="R1307" s="16" t="s">
        <v>8064</v>
      </c>
      <c r="S1307" s="16" t="s">
        <v>8064</v>
      </c>
      <c r="T1307" t="s">
        <v>1613</v>
      </c>
      <c r="U1307">
        <v>0</v>
      </c>
      <c r="V1307" t="s">
        <v>8655</v>
      </c>
      <c r="X1307" t="s">
        <v>8660</v>
      </c>
      <c r="Y1307">
        <f t="shared" si="41"/>
        <v>0</v>
      </c>
    </row>
    <row r="1308" spans="1:25" hidden="1">
      <c r="A1308" t="s">
        <v>7112</v>
      </c>
      <c r="B1308" t="s">
        <v>411</v>
      </c>
      <c r="C1308">
        <v>1296</v>
      </c>
      <c r="D1308">
        <v>13</v>
      </c>
      <c r="E1308" t="s">
        <v>4116</v>
      </c>
      <c r="F1308" t="s">
        <v>786</v>
      </c>
      <c r="H1308" t="s">
        <v>787</v>
      </c>
      <c r="J1308" t="s">
        <v>8668</v>
      </c>
      <c r="L1308">
        <f t="shared" si="40"/>
        <v>1</v>
      </c>
      <c r="M1308" t="s">
        <v>6494</v>
      </c>
      <c r="N1308" t="s">
        <v>6469</v>
      </c>
      <c r="O1308" t="s">
        <v>12</v>
      </c>
      <c r="P1308" t="s">
        <v>6495</v>
      </c>
      <c r="Q1308">
        <v>528180</v>
      </c>
      <c r="R1308" s="16" t="s">
        <v>8417</v>
      </c>
      <c r="S1308" s="16" t="s">
        <v>8121</v>
      </c>
      <c r="T1308" t="s">
        <v>7772</v>
      </c>
      <c r="U1308">
        <v>0</v>
      </c>
      <c r="V1308" t="s">
        <v>8654</v>
      </c>
      <c r="W1308" t="s">
        <v>12</v>
      </c>
      <c r="X1308" t="s">
        <v>8659</v>
      </c>
      <c r="Y1308">
        <f t="shared" si="41"/>
        <v>1</v>
      </c>
    </row>
    <row r="1309" spans="1:25" hidden="1">
      <c r="A1309" t="s">
        <v>1619</v>
      </c>
      <c r="B1309" t="s">
        <v>4757</v>
      </c>
      <c r="C1309">
        <v>1164</v>
      </c>
      <c r="D1309">
        <v>12</v>
      </c>
      <c r="E1309" t="s">
        <v>4374</v>
      </c>
      <c r="F1309" t="s">
        <v>4690</v>
      </c>
      <c r="J1309" t="s">
        <v>9008</v>
      </c>
      <c r="L1309">
        <f t="shared" si="40"/>
        <v>1</v>
      </c>
      <c r="M1309" t="s">
        <v>6377</v>
      </c>
      <c r="N1309" t="s">
        <v>6378</v>
      </c>
      <c r="O1309" t="s">
        <v>104</v>
      </c>
      <c r="P1309">
        <v>25400</v>
      </c>
      <c r="Q1309">
        <v>499370</v>
      </c>
      <c r="R1309" s="16" t="s">
        <v>8577</v>
      </c>
      <c r="S1309" s="16" t="s">
        <v>8282</v>
      </c>
      <c r="T1309" t="s">
        <v>1619</v>
      </c>
      <c r="U1309">
        <v>1</v>
      </c>
      <c r="V1309" t="s">
        <v>8656</v>
      </c>
      <c r="W1309" t="s">
        <v>104</v>
      </c>
      <c r="X1309" t="s">
        <v>8660</v>
      </c>
      <c r="Y1309">
        <f t="shared" si="41"/>
        <v>1</v>
      </c>
    </row>
    <row r="1310" spans="1:25" hidden="1">
      <c r="A1310" t="s">
        <v>7172</v>
      </c>
      <c r="B1310" t="s">
        <v>413</v>
      </c>
      <c r="C1310">
        <v>1296</v>
      </c>
      <c r="D1310">
        <v>13</v>
      </c>
      <c r="E1310" t="s">
        <v>228</v>
      </c>
      <c r="F1310" t="s">
        <v>797</v>
      </c>
      <c r="H1310" t="s">
        <v>798</v>
      </c>
      <c r="J1310" t="s">
        <v>8668</v>
      </c>
      <c r="L1310">
        <f t="shared" si="40"/>
        <v>1</v>
      </c>
      <c r="M1310" t="s">
        <v>6311</v>
      </c>
      <c r="N1310" t="s">
        <v>6983</v>
      </c>
      <c r="O1310" t="s">
        <v>6984</v>
      </c>
      <c r="P1310" t="s">
        <v>6985</v>
      </c>
      <c r="Q1310">
        <v>524545</v>
      </c>
      <c r="R1310" s="16" t="s">
        <v>8441</v>
      </c>
      <c r="S1310" s="16" t="s">
        <v>8145</v>
      </c>
      <c r="T1310" t="s">
        <v>7172</v>
      </c>
      <c r="U1310">
        <v>0</v>
      </c>
      <c r="V1310" t="s">
        <v>8654</v>
      </c>
      <c r="W1310" t="s">
        <v>6984</v>
      </c>
      <c r="X1310" t="s">
        <v>8659</v>
      </c>
      <c r="Y1310">
        <f t="shared" si="41"/>
        <v>1</v>
      </c>
    </row>
    <row r="1311" spans="1:25" hidden="1">
      <c r="A1311" t="s">
        <v>1663</v>
      </c>
      <c r="B1311" t="s">
        <v>4989</v>
      </c>
      <c r="C1311">
        <v>1200</v>
      </c>
      <c r="D1311">
        <v>13</v>
      </c>
      <c r="E1311" t="s">
        <v>4502</v>
      </c>
      <c r="F1311" t="s">
        <v>4690</v>
      </c>
      <c r="J1311" t="s">
        <v>8668</v>
      </c>
      <c r="L1311">
        <f t="shared" si="40"/>
        <v>1</v>
      </c>
      <c r="M1311" t="s">
        <v>4502</v>
      </c>
      <c r="N1311" t="s">
        <v>6456</v>
      </c>
      <c r="O1311" t="s">
        <v>104</v>
      </c>
      <c r="P1311">
        <v>23522</v>
      </c>
      <c r="Q1311">
        <v>488566</v>
      </c>
      <c r="R1311" s="16" t="s">
        <v>8364</v>
      </c>
      <c r="S1311" s="16" t="s">
        <v>8069</v>
      </c>
      <c r="T1311" t="s">
        <v>1663</v>
      </c>
      <c r="U1311">
        <v>0</v>
      </c>
      <c r="V1311" t="s">
        <v>8654</v>
      </c>
      <c r="W1311" t="s">
        <v>104</v>
      </c>
      <c r="X1311" t="s">
        <v>8660</v>
      </c>
      <c r="Y1311">
        <f t="shared" si="41"/>
        <v>1</v>
      </c>
    </row>
    <row r="1312" spans="1:25" hidden="1">
      <c r="A1312" t="s">
        <v>1635</v>
      </c>
      <c r="B1312" t="s">
        <v>4979</v>
      </c>
      <c r="C1312">
        <v>1232</v>
      </c>
      <c r="D1312">
        <v>13</v>
      </c>
      <c r="E1312" t="s">
        <v>4537</v>
      </c>
      <c r="F1312" t="s">
        <v>4690</v>
      </c>
      <c r="J1312" t="s">
        <v>9121</v>
      </c>
      <c r="L1312">
        <f t="shared" si="40"/>
        <v>1</v>
      </c>
      <c r="M1312" t="s">
        <v>6897</v>
      </c>
      <c r="N1312" t="s">
        <v>6473</v>
      </c>
      <c r="O1312" t="s">
        <v>11</v>
      </c>
      <c r="P1312" t="s">
        <v>6898</v>
      </c>
      <c r="Q1312" t="s">
        <v>6899</v>
      </c>
      <c r="R1312" s="16" t="s">
        <v>8570</v>
      </c>
      <c r="S1312" s="16" t="s">
        <v>6899</v>
      </c>
      <c r="T1312" t="s">
        <v>1635</v>
      </c>
      <c r="U1312">
        <v>1</v>
      </c>
      <c r="V1312" t="s">
        <v>8656</v>
      </c>
      <c r="W1312" t="s">
        <v>11</v>
      </c>
      <c r="X1312" t="s">
        <v>8660</v>
      </c>
      <c r="Y1312">
        <f t="shared" si="41"/>
        <v>1</v>
      </c>
    </row>
    <row r="1313" spans="1:25" hidden="1">
      <c r="A1313" t="s">
        <v>2077</v>
      </c>
      <c r="B1313" t="s">
        <v>1432</v>
      </c>
      <c r="C1313">
        <v>1239</v>
      </c>
      <c r="D1313">
        <v>13</v>
      </c>
      <c r="E1313" t="s">
        <v>1444</v>
      </c>
      <c r="F1313" t="s">
        <v>4690</v>
      </c>
      <c r="J1313" t="s">
        <v>8668</v>
      </c>
      <c r="L1313">
        <f t="shared" si="40"/>
        <v>0</v>
      </c>
      <c r="R1313" s="16" t="s">
        <v>8064</v>
      </c>
      <c r="S1313" s="16" t="s">
        <v>8064</v>
      </c>
      <c r="T1313" t="s">
        <v>7946</v>
      </c>
      <c r="U1313">
        <v>0</v>
      </c>
      <c r="V1313" t="s">
        <v>8655</v>
      </c>
      <c r="X1313" t="s">
        <v>8660</v>
      </c>
      <c r="Y1313">
        <f t="shared" si="41"/>
        <v>0</v>
      </c>
    </row>
    <row r="1314" spans="1:25" hidden="1">
      <c r="A1314" t="s">
        <v>1633</v>
      </c>
      <c r="B1314" t="s">
        <v>1428</v>
      </c>
      <c r="C1314">
        <v>1240</v>
      </c>
      <c r="D1314">
        <v>13</v>
      </c>
      <c r="E1314" t="s">
        <v>4535</v>
      </c>
      <c r="F1314" t="s">
        <v>4690</v>
      </c>
      <c r="J1314" t="s">
        <v>8997</v>
      </c>
      <c r="L1314">
        <f t="shared" si="40"/>
        <v>1</v>
      </c>
      <c r="M1314" t="s">
        <v>6492</v>
      </c>
      <c r="N1314" t="s">
        <v>6357</v>
      </c>
      <c r="O1314" t="s">
        <v>104</v>
      </c>
      <c r="P1314">
        <v>40830</v>
      </c>
      <c r="Q1314">
        <v>482970</v>
      </c>
      <c r="R1314" s="16" t="s">
        <v>8505</v>
      </c>
      <c r="S1314" s="16" t="s">
        <v>8211</v>
      </c>
      <c r="T1314" t="s">
        <v>1633</v>
      </c>
      <c r="U1314">
        <v>1</v>
      </c>
      <c r="V1314" t="s">
        <v>8656</v>
      </c>
      <c r="W1314" t="s">
        <v>104</v>
      </c>
      <c r="X1314" t="s">
        <v>8660</v>
      </c>
      <c r="Y1314">
        <f t="shared" si="41"/>
        <v>1</v>
      </c>
    </row>
    <row r="1315" spans="1:25" hidden="1">
      <c r="A1315" t="s">
        <v>1641</v>
      </c>
      <c r="B1315" t="s">
        <v>1433</v>
      </c>
      <c r="C1315">
        <v>1242</v>
      </c>
      <c r="D1315">
        <v>13</v>
      </c>
      <c r="E1315" t="s">
        <v>1444</v>
      </c>
      <c r="F1315" t="s">
        <v>4690</v>
      </c>
      <c r="J1315" t="s">
        <v>8668</v>
      </c>
      <c r="L1315">
        <f t="shared" si="40"/>
        <v>0</v>
      </c>
      <c r="R1315" s="16" t="s">
        <v>8064</v>
      </c>
      <c r="S1315" s="16" t="s">
        <v>8064</v>
      </c>
      <c r="T1315" t="s">
        <v>1641</v>
      </c>
      <c r="U1315">
        <v>0</v>
      </c>
      <c r="V1315" t="s">
        <v>8655</v>
      </c>
      <c r="X1315" t="s">
        <v>8660</v>
      </c>
      <c r="Y1315">
        <f t="shared" si="41"/>
        <v>0</v>
      </c>
    </row>
    <row r="1316" spans="1:25" hidden="1">
      <c r="A1316" t="s">
        <v>1644</v>
      </c>
      <c r="B1316" t="s">
        <v>1434</v>
      </c>
      <c r="C1316">
        <v>1258</v>
      </c>
      <c r="D1316">
        <v>13</v>
      </c>
      <c r="E1316" t="s">
        <v>1444</v>
      </c>
      <c r="F1316" t="s">
        <v>4690</v>
      </c>
      <c r="J1316" t="s">
        <v>8668</v>
      </c>
      <c r="L1316">
        <f t="shared" si="40"/>
        <v>0</v>
      </c>
      <c r="R1316" s="16" t="s">
        <v>8064</v>
      </c>
      <c r="S1316" s="16" t="s">
        <v>8064</v>
      </c>
      <c r="T1316" t="s">
        <v>1644</v>
      </c>
      <c r="U1316">
        <v>0</v>
      </c>
      <c r="V1316" t="s">
        <v>8655</v>
      </c>
      <c r="X1316" t="s">
        <v>8660</v>
      </c>
      <c r="Y1316">
        <f t="shared" si="41"/>
        <v>0</v>
      </c>
    </row>
    <row r="1317" spans="1:25" hidden="1">
      <c r="A1317" t="s">
        <v>1646</v>
      </c>
      <c r="B1317" t="s">
        <v>1436</v>
      </c>
      <c r="C1317">
        <v>1261</v>
      </c>
      <c r="D1317">
        <v>13</v>
      </c>
      <c r="E1317" t="s">
        <v>1444</v>
      </c>
      <c r="F1317" t="s">
        <v>4690</v>
      </c>
      <c r="J1317" t="s">
        <v>8668</v>
      </c>
      <c r="L1317">
        <f t="shared" si="40"/>
        <v>0</v>
      </c>
      <c r="R1317" s="16" t="s">
        <v>8064</v>
      </c>
      <c r="S1317" s="16" t="s">
        <v>8064</v>
      </c>
      <c r="T1317" t="s">
        <v>1646</v>
      </c>
      <c r="U1317">
        <v>0</v>
      </c>
      <c r="V1317" t="s">
        <v>8655</v>
      </c>
      <c r="X1317" t="s">
        <v>8660</v>
      </c>
      <c r="Y1317">
        <f t="shared" si="41"/>
        <v>0</v>
      </c>
    </row>
    <row r="1318" spans="1:25" hidden="1">
      <c r="A1318" t="s">
        <v>1666</v>
      </c>
      <c r="B1318" t="s">
        <v>4990</v>
      </c>
      <c r="C1318">
        <v>1261</v>
      </c>
      <c r="D1318">
        <v>13</v>
      </c>
      <c r="E1318" t="s">
        <v>4502</v>
      </c>
      <c r="F1318" t="s">
        <v>4690</v>
      </c>
      <c r="J1318" t="s">
        <v>9005</v>
      </c>
      <c r="L1318">
        <f t="shared" si="40"/>
        <v>1</v>
      </c>
      <c r="M1318" t="s">
        <v>4502</v>
      </c>
      <c r="N1318" t="s">
        <v>6456</v>
      </c>
      <c r="O1318" t="s">
        <v>104</v>
      </c>
      <c r="P1318">
        <v>23522</v>
      </c>
      <c r="Q1318">
        <v>488566</v>
      </c>
      <c r="R1318" s="16" t="s">
        <v>8364</v>
      </c>
      <c r="S1318" s="16" t="s">
        <v>8069</v>
      </c>
      <c r="T1318" t="s">
        <v>1666</v>
      </c>
      <c r="U1318">
        <v>1</v>
      </c>
      <c r="V1318" t="s">
        <v>8656</v>
      </c>
      <c r="W1318" t="s">
        <v>104</v>
      </c>
      <c r="X1318" t="s">
        <v>8660</v>
      </c>
      <c r="Y1318">
        <f t="shared" si="41"/>
        <v>1</v>
      </c>
    </row>
    <row r="1319" spans="1:25" hidden="1">
      <c r="A1319" t="s">
        <v>1649</v>
      </c>
      <c r="B1319" t="s">
        <v>1439</v>
      </c>
      <c r="C1319">
        <v>1264</v>
      </c>
      <c r="D1319">
        <v>13</v>
      </c>
      <c r="E1319" t="s">
        <v>1444</v>
      </c>
      <c r="F1319" t="s">
        <v>4690</v>
      </c>
      <c r="J1319" t="s">
        <v>8668</v>
      </c>
      <c r="L1319">
        <f t="shared" si="40"/>
        <v>0</v>
      </c>
      <c r="R1319" s="16" t="s">
        <v>8064</v>
      </c>
      <c r="S1319" s="16" t="s">
        <v>8064</v>
      </c>
      <c r="T1319" t="s">
        <v>1649</v>
      </c>
      <c r="U1319">
        <v>0</v>
      </c>
      <c r="V1319" t="s">
        <v>8655</v>
      </c>
      <c r="X1319" t="s">
        <v>8660</v>
      </c>
      <c r="Y1319">
        <f t="shared" si="41"/>
        <v>0</v>
      </c>
    </row>
    <row r="1320" spans="1:25" hidden="1">
      <c r="A1320" t="s">
        <v>1654</v>
      </c>
      <c r="B1320" t="s">
        <v>1442</v>
      </c>
      <c r="C1320">
        <v>1264</v>
      </c>
      <c r="D1320">
        <v>13</v>
      </c>
      <c r="E1320" t="s">
        <v>4502</v>
      </c>
      <c r="F1320" t="s">
        <v>4690</v>
      </c>
      <c r="J1320" t="s">
        <v>9004</v>
      </c>
      <c r="L1320">
        <f t="shared" si="40"/>
        <v>1</v>
      </c>
      <c r="M1320" t="s">
        <v>4502</v>
      </c>
      <c r="N1320" t="s">
        <v>6456</v>
      </c>
      <c r="O1320" t="s">
        <v>104</v>
      </c>
      <c r="P1320">
        <v>23522</v>
      </c>
      <c r="Q1320">
        <v>488566</v>
      </c>
      <c r="R1320" s="16" t="s">
        <v>8364</v>
      </c>
      <c r="S1320" s="16" t="s">
        <v>8069</v>
      </c>
      <c r="T1320" t="s">
        <v>1654</v>
      </c>
      <c r="U1320">
        <v>1</v>
      </c>
      <c r="V1320" t="s">
        <v>8656</v>
      </c>
      <c r="W1320" t="s">
        <v>104</v>
      </c>
      <c r="X1320" t="s">
        <v>8660</v>
      </c>
      <c r="Y1320">
        <f t="shared" si="41"/>
        <v>1</v>
      </c>
    </row>
    <row r="1321" spans="1:25" hidden="1">
      <c r="A1321" t="s">
        <v>1657</v>
      </c>
      <c r="B1321" t="s">
        <v>4564</v>
      </c>
      <c r="C1321">
        <v>1265</v>
      </c>
      <c r="D1321">
        <v>13</v>
      </c>
      <c r="E1321" t="s">
        <v>1444</v>
      </c>
      <c r="F1321" t="s">
        <v>4690</v>
      </c>
      <c r="J1321" t="s">
        <v>8668</v>
      </c>
      <c r="L1321">
        <f t="shared" si="40"/>
        <v>0</v>
      </c>
      <c r="R1321" s="16" t="s">
        <v>8064</v>
      </c>
      <c r="S1321" s="16" t="s">
        <v>8064</v>
      </c>
      <c r="T1321" t="s">
        <v>1657</v>
      </c>
      <c r="U1321">
        <v>0</v>
      </c>
      <c r="V1321" t="s">
        <v>8655</v>
      </c>
      <c r="X1321" t="s">
        <v>8660</v>
      </c>
      <c r="Y1321">
        <f t="shared" si="41"/>
        <v>0</v>
      </c>
    </row>
    <row r="1322" spans="1:25" hidden="1">
      <c r="A1322" t="s">
        <v>1661</v>
      </c>
      <c r="B1322" t="s">
        <v>4988</v>
      </c>
      <c r="C1322">
        <v>1267</v>
      </c>
      <c r="D1322">
        <v>13</v>
      </c>
      <c r="E1322" t="s">
        <v>4502</v>
      </c>
      <c r="F1322" t="s">
        <v>4690</v>
      </c>
      <c r="J1322" t="s">
        <v>8668</v>
      </c>
      <c r="L1322">
        <f t="shared" si="40"/>
        <v>1</v>
      </c>
      <c r="M1322" t="s">
        <v>4502</v>
      </c>
      <c r="N1322" t="s">
        <v>6456</v>
      </c>
      <c r="O1322" t="s">
        <v>104</v>
      </c>
      <c r="P1322">
        <v>23522</v>
      </c>
      <c r="Q1322">
        <v>488566</v>
      </c>
      <c r="R1322" s="16" t="s">
        <v>8364</v>
      </c>
      <c r="S1322" s="16" t="s">
        <v>8069</v>
      </c>
      <c r="T1322" t="s">
        <v>1661</v>
      </c>
      <c r="U1322">
        <v>0</v>
      </c>
      <c r="V1322" t="s">
        <v>8654</v>
      </c>
      <c r="W1322" t="s">
        <v>104</v>
      </c>
      <c r="X1322" t="s">
        <v>8660</v>
      </c>
      <c r="Y1322">
        <f t="shared" si="41"/>
        <v>1</v>
      </c>
    </row>
    <row r="1323" spans="1:25" hidden="1">
      <c r="A1323" t="s">
        <v>1662</v>
      </c>
      <c r="B1323" t="s">
        <v>4988</v>
      </c>
      <c r="C1323">
        <v>1267</v>
      </c>
      <c r="D1323">
        <v>13</v>
      </c>
      <c r="E1323" t="s">
        <v>4502</v>
      </c>
      <c r="F1323" t="s">
        <v>4690</v>
      </c>
      <c r="J1323" t="s">
        <v>8668</v>
      </c>
      <c r="L1323">
        <f t="shared" si="40"/>
        <v>1</v>
      </c>
      <c r="M1323" t="s">
        <v>4502</v>
      </c>
      <c r="N1323" t="s">
        <v>6456</v>
      </c>
      <c r="O1323" t="s">
        <v>104</v>
      </c>
      <c r="P1323">
        <v>23522</v>
      </c>
      <c r="Q1323">
        <v>488566</v>
      </c>
      <c r="R1323" s="16" t="s">
        <v>8364</v>
      </c>
      <c r="S1323" s="16" t="s">
        <v>8069</v>
      </c>
      <c r="T1323" t="s">
        <v>1662</v>
      </c>
      <c r="U1323">
        <v>0</v>
      </c>
      <c r="V1323" t="s">
        <v>8654</v>
      </c>
      <c r="W1323" t="s">
        <v>104</v>
      </c>
      <c r="X1323" t="s">
        <v>8660</v>
      </c>
      <c r="Y1323">
        <f t="shared" si="41"/>
        <v>1</v>
      </c>
    </row>
    <row r="1324" spans="1:25" hidden="1">
      <c r="A1324" t="s">
        <v>1664</v>
      </c>
      <c r="B1324" t="s">
        <v>4988</v>
      </c>
      <c r="C1324">
        <v>1267</v>
      </c>
      <c r="D1324">
        <v>13</v>
      </c>
      <c r="E1324" t="s">
        <v>4502</v>
      </c>
      <c r="F1324" t="s">
        <v>4690</v>
      </c>
      <c r="J1324" t="s">
        <v>8668</v>
      </c>
      <c r="L1324">
        <f t="shared" si="40"/>
        <v>1</v>
      </c>
      <c r="M1324" t="s">
        <v>4502</v>
      </c>
      <c r="N1324" t="s">
        <v>6456</v>
      </c>
      <c r="O1324" t="s">
        <v>104</v>
      </c>
      <c r="P1324">
        <v>23522</v>
      </c>
      <c r="Q1324">
        <v>488566</v>
      </c>
      <c r="R1324" s="16" t="s">
        <v>8364</v>
      </c>
      <c r="S1324" s="16" t="s">
        <v>8069</v>
      </c>
      <c r="T1324" t="s">
        <v>1664</v>
      </c>
      <c r="U1324">
        <v>0</v>
      </c>
      <c r="V1324" t="s">
        <v>8654</v>
      </c>
      <c r="W1324" t="s">
        <v>104</v>
      </c>
      <c r="X1324" t="s">
        <v>8660</v>
      </c>
      <c r="Y1324">
        <f t="shared" si="41"/>
        <v>1</v>
      </c>
    </row>
    <row r="1325" spans="1:25" hidden="1">
      <c r="A1325" t="s">
        <v>1658</v>
      </c>
      <c r="B1325" t="s">
        <v>4994</v>
      </c>
      <c r="C1325">
        <v>1268</v>
      </c>
      <c r="D1325">
        <v>13</v>
      </c>
      <c r="E1325" t="s">
        <v>4502</v>
      </c>
      <c r="F1325" t="s">
        <v>4690</v>
      </c>
      <c r="J1325" t="s">
        <v>8668</v>
      </c>
      <c r="L1325">
        <f t="shared" si="40"/>
        <v>1</v>
      </c>
      <c r="M1325" t="s">
        <v>4502</v>
      </c>
      <c r="N1325" t="s">
        <v>6456</v>
      </c>
      <c r="O1325" t="s">
        <v>104</v>
      </c>
      <c r="P1325">
        <v>23522</v>
      </c>
      <c r="Q1325">
        <v>488566</v>
      </c>
      <c r="R1325" s="16" t="s">
        <v>8364</v>
      </c>
      <c r="S1325" s="16" t="s">
        <v>8069</v>
      </c>
      <c r="T1325" t="s">
        <v>1658</v>
      </c>
      <c r="U1325">
        <v>0</v>
      </c>
      <c r="V1325" t="s">
        <v>8654</v>
      </c>
      <c r="W1325" t="s">
        <v>104</v>
      </c>
      <c r="X1325" t="s">
        <v>8660</v>
      </c>
      <c r="Y1325">
        <f t="shared" si="41"/>
        <v>1</v>
      </c>
    </row>
    <row r="1326" spans="1:25" hidden="1">
      <c r="A1326" t="s">
        <v>1650</v>
      </c>
      <c r="B1326" t="s">
        <v>1440</v>
      </c>
      <c r="C1326">
        <v>1269</v>
      </c>
      <c r="D1326">
        <v>13</v>
      </c>
      <c r="E1326" t="s">
        <v>1444</v>
      </c>
      <c r="F1326" t="s">
        <v>4690</v>
      </c>
      <c r="J1326" t="s">
        <v>8668</v>
      </c>
      <c r="L1326">
        <f t="shared" si="40"/>
        <v>0</v>
      </c>
      <c r="R1326" s="16" t="s">
        <v>8064</v>
      </c>
      <c r="S1326" s="16" t="s">
        <v>8064</v>
      </c>
      <c r="T1326" t="s">
        <v>1650</v>
      </c>
      <c r="U1326">
        <v>0</v>
      </c>
      <c r="V1326" t="s">
        <v>8655</v>
      </c>
      <c r="X1326" t="s">
        <v>8660</v>
      </c>
      <c r="Y1326">
        <f t="shared" si="41"/>
        <v>0</v>
      </c>
    </row>
    <row r="1327" spans="1:25" hidden="1">
      <c r="A1327" t="s">
        <v>1651</v>
      </c>
      <c r="B1327" t="s">
        <v>1273</v>
      </c>
      <c r="C1327">
        <v>1270</v>
      </c>
      <c r="D1327">
        <v>13</v>
      </c>
      <c r="E1327" t="s">
        <v>4418</v>
      </c>
      <c r="F1327" t="s">
        <v>4690</v>
      </c>
      <c r="J1327" t="s">
        <v>8668</v>
      </c>
      <c r="L1327">
        <f t="shared" si="40"/>
        <v>1</v>
      </c>
      <c r="M1327" t="s">
        <v>4418</v>
      </c>
      <c r="N1327" t="s">
        <v>6773</v>
      </c>
      <c r="O1327" t="s">
        <v>104</v>
      </c>
      <c r="P1327" t="s">
        <v>6774</v>
      </c>
      <c r="Q1327" t="s">
        <v>6775</v>
      </c>
      <c r="R1327" s="16" t="s">
        <v>8558</v>
      </c>
      <c r="S1327" s="16" t="s">
        <v>8263</v>
      </c>
      <c r="T1327" t="s">
        <v>1651</v>
      </c>
      <c r="U1327">
        <v>0</v>
      </c>
      <c r="V1327" t="s">
        <v>8654</v>
      </c>
      <c r="W1327" t="s">
        <v>104</v>
      </c>
      <c r="X1327" t="s">
        <v>8660</v>
      </c>
      <c r="Y1327">
        <f t="shared" si="41"/>
        <v>1</v>
      </c>
    </row>
    <row r="1328" spans="1:25" hidden="1">
      <c r="A1328" t="s">
        <v>1653</v>
      </c>
      <c r="B1328" t="s">
        <v>1273</v>
      </c>
      <c r="C1328">
        <v>1270</v>
      </c>
      <c r="D1328">
        <v>13</v>
      </c>
      <c r="E1328" t="s">
        <v>4418</v>
      </c>
      <c r="F1328" t="s">
        <v>4690</v>
      </c>
      <c r="J1328" t="s">
        <v>8668</v>
      </c>
      <c r="L1328">
        <f t="shared" si="40"/>
        <v>1</v>
      </c>
      <c r="M1328" t="s">
        <v>4418</v>
      </c>
      <c r="N1328" t="s">
        <v>6773</v>
      </c>
      <c r="O1328" t="s">
        <v>104</v>
      </c>
      <c r="P1328" t="s">
        <v>6774</v>
      </c>
      <c r="Q1328" t="s">
        <v>6775</v>
      </c>
      <c r="R1328" s="16" t="s">
        <v>8558</v>
      </c>
      <c r="S1328" s="16" t="s">
        <v>8263</v>
      </c>
      <c r="T1328" t="s">
        <v>1653</v>
      </c>
      <c r="U1328">
        <v>0</v>
      </c>
      <c r="V1328" t="s">
        <v>8654</v>
      </c>
      <c r="W1328" t="s">
        <v>104</v>
      </c>
      <c r="X1328" t="s">
        <v>8660</v>
      </c>
      <c r="Y1328">
        <f t="shared" si="41"/>
        <v>1</v>
      </c>
    </row>
    <row r="1329" spans="1:25" hidden="1">
      <c r="A1329" t="s">
        <v>2084</v>
      </c>
      <c r="B1329" t="s">
        <v>4581</v>
      </c>
      <c r="C1329">
        <v>1271</v>
      </c>
      <c r="D1329">
        <v>13</v>
      </c>
      <c r="E1329" t="s">
        <v>4502</v>
      </c>
      <c r="F1329" t="s">
        <v>4690</v>
      </c>
      <c r="J1329" t="s">
        <v>8668</v>
      </c>
      <c r="L1329">
        <f t="shared" si="40"/>
        <v>1</v>
      </c>
      <c r="M1329" t="s">
        <v>4502</v>
      </c>
      <c r="N1329" t="s">
        <v>6456</v>
      </c>
      <c r="O1329" t="s">
        <v>104</v>
      </c>
      <c r="P1329">
        <v>23522</v>
      </c>
      <c r="Q1329">
        <v>488566</v>
      </c>
      <c r="R1329" s="16" t="s">
        <v>8364</v>
      </c>
      <c r="S1329" s="16" t="s">
        <v>8069</v>
      </c>
      <c r="T1329" t="s">
        <v>7943</v>
      </c>
      <c r="U1329">
        <v>0</v>
      </c>
      <c r="V1329" t="s">
        <v>8654</v>
      </c>
      <c r="W1329" t="s">
        <v>104</v>
      </c>
      <c r="X1329" t="s">
        <v>8660</v>
      </c>
      <c r="Y1329">
        <f t="shared" si="41"/>
        <v>1</v>
      </c>
    </row>
    <row r="1330" spans="1:25" hidden="1">
      <c r="A1330" t="s">
        <v>1682</v>
      </c>
      <c r="B1330" t="s">
        <v>756</v>
      </c>
      <c r="C1330">
        <v>1272</v>
      </c>
      <c r="D1330">
        <v>13</v>
      </c>
      <c r="E1330" t="s">
        <v>1444</v>
      </c>
      <c r="F1330" t="s">
        <v>4690</v>
      </c>
      <c r="J1330" t="s">
        <v>8668</v>
      </c>
      <c r="L1330">
        <f t="shared" si="40"/>
        <v>0</v>
      </c>
      <c r="R1330" s="16" t="s">
        <v>8064</v>
      </c>
      <c r="S1330" s="16" t="s">
        <v>8064</v>
      </c>
      <c r="T1330" t="s">
        <v>1682</v>
      </c>
      <c r="U1330">
        <v>0</v>
      </c>
      <c r="V1330" t="s">
        <v>8655</v>
      </c>
      <c r="X1330" t="s">
        <v>8660</v>
      </c>
      <c r="Y1330">
        <f t="shared" si="41"/>
        <v>0</v>
      </c>
    </row>
    <row r="1331" spans="1:25" hidden="1">
      <c r="A1331" t="s">
        <v>1670</v>
      </c>
      <c r="B1331" t="s">
        <v>4574</v>
      </c>
      <c r="C1331">
        <v>1277</v>
      </c>
      <c r="D1331">
        <v>13</v>
      </c>
      <c r="E1331" t="s">
        <v>4575</v>
      </c>
      <c r="F1331" t="s">
        <v>4690</v>
      </c>
      <c r="J1331" t="s">
        <v>8668</v>
      </c>
      <c r="L1331">
        <f t="shared" si="40"/>
        <v>1</v>
      </c>
      <c r="M1331" t="s">
        <v>6900</v>
      </c>
      <c r="N1331" t="s">
        <v>6901</v>
      </c>
      <c r="O1331" t="s">
        <v>104</v>
      </c>
      <c r="P1331" t="s">
        <v>6902</v>
      </c>
      <c r="Q1331" t="s">
        <v>6609</v>
      </c>
      <c r="R1331" s="16" t="s">
        <v>8569</v>
      </c>
      <c r="S1331" s="16" t="s">
        <v>8275</v>
      </c>
      <c r="T1331" t="s">
        <v>1670</v>
      </c>
      <c r="U1331">
        <v>0</v>
      </c>
      <c r="V1331" t="s">
        <v>8654</v>
      </c>
      <c r="W1331" t="s">
        <v>104</v>
      </c>
      <c r="X1331" t="s">
        <v>8660</v>
      </c>
      <c r="Y1331">
        <f t="shared" si="41"/>
        <v>1</v>
      </c>
    </row>
    <row r="1332" spans="1:25" hidden="1">
      <c r="A1332" t="s">
        <v>4996</v>
      </c>
      <c r="B1332" t="s">
        <v>4579</v>
      </c>
      <c r="C1332">
        <v>1278</v>
      </c>
      <c r="D1332">
        <v>13</v>
      </c>
      <c r="E1332" t="s">
        <v>1444</v>
      </c>
      <c r="F1332" t="s">
        <v>4690</v>
      </c>
      <c r="J1332" t="s">
        <v>8668</v>
      </c>
      <c r="L1332">
        <f t="shared" si="40"/>
        <v>0</v>
      </c>
      <c r="R1332" s="16" t="s">
        <v>8064</v>
      </c>
      <c r="S1332" s="16" t="s">
        <v>8064</v>
      </c>
      <c r="T1332" t="s">
        <v>4996</v>
      </c>
      <c r="U1332">
        <v>0</v>
      </c>
      <c r="V1332" t="s">
        <v>8655</v>
      </c>
      <c r="X1332" t="s">
        <v>8660</v>
      </c>
      <c r="Y1332">
        <f t="shared" si="41"/>
        <v>0</v>
      </c>
    </row>
    <row r="1333" spans="1:25" hidden="1">
      <c r="A1333" t="s">
        <v>2090</v>
      </c>
      <c r="B1333" t="s">
        <v>4984</v>
      </c>
      <c r="C1333">
        <v>1282</v>
      </c>
      <c r="D1333">
        <v>13</v>
      </c>
      <c r="E1333" t="s">
        <v>1444</v>
      </c>
      <c r="F1333" t="s">
        <v>4690</v>
      </c>
      <c r="J1333" t="s">
        <v>8668</v>
      </c>
      <c r="L1333">
        <f t="shared" si="40"/>
        <v>0</v>
      </c>
      <c r="R1333" s="16" t="s">
        <v>8064</v>
      </c>
      <c r="S1333" s="16" t="s">
        <v>8064</v>
      </c>
      <c r="T1333" t="s">
        <v>7949</v>
      </c>
      <c r="U1333">
        <v>0</v>
      </c>
      <c r="V1333" t="s">
        <v>8655</v>
      </c>
      <c r="X1333" t="s">
        <v>8660</v>
      </c>
      <c r="Y1333">
        <f t="shared" si="41"/>
        <v>0</v>
      </c>
    </row>
    <row r="1334" spans="1:25" hidden="1">
      <c r="A1334" t="s">
        <v>2086</v>
      </c>
      <c r="B1334" t="s">
        <v>4590</v>
      </c>
      <c r="C1334">
        <v>1283</v>
      </c>
      <c r="D1334">
        <v>13</v>
      </c>
      <c r="E1334" t="s">
        <v>4591</v>
      </c>
      <c r="F1334" t="s">
        <v>4690</v>
      </c>
      <c r="J1334" t="s">
        <v>8668</v>
      </c>
      <c r="L1334">
        <f t="shared" si="40"/>
        <v>1</v>
      </c>
      <c r="M1334" t="s">
        <v>6989</v>
      </c>
      <c r="N1334" t="s">
        <v>6990</v>
      </c>
      <c r="O1334" t="s">
        <v>6991</v>
      </c>
      <c r="P1334">
        <v>41437</v>
      </c>
      <c r="Q1334">
        <v>503861</v>
      </c>
      <c r="R1334" s="16" t="s">
        <v>8546</v>
      </c>
      <c r="S1334" s="16" t="s">
        <v>8252</v>
      </c>
      <c r="T1334" t="s">
        <v>7947</v>
      </c>
      <c r="U1334">
        <v>0</v>
      </c>
      <c r="V1334" t="s">
        <v>8654</v>
      </c>
      <c r="W1334" t="s">
        <v>6991</v>
      </c>
      <c r="X1334" t="s">
        <v>8660</v>
      </c>
      <c r="Y1334">
        <f t="shared" si="41"/>
        <v>1</v>
      </c>
    </row>
    <row r="1335" spans="1:25" hidden="1">
      <c r="A1335" t="s">
        <v>1699</v>
      </c>
      <c r="B1335" t="s">
        <v>4609</v>
      </c>
      <c r="C1335">
        <v>1284</v>
      </c>
      <c r="D1335">
        <v>13</v>
      </c>
      <c r="E1335" t="s">
        <v>1444</v>
      </c>
      <c r="F1335" t="s">
        <v>4690</v>
      </c>
      <c r="J1335" t="s">
        <v>8668</v>
      </c>
      <c r="L1335">
        <f t="shared" si="40"/>
        <v>0</v>
      </c>
      <c r="R1335" s="16" t="s">
        <v>8064</v>
      </c>
      <c r="S1335" s="16" t="s">
        <v>8064</v>
      </c>
      <c r="T1335" t="s">
        <v>1699</v>
      </c>
      <c r="U1335">
        <v>0</v>
      </c>
      <c r="V1335" t="s">
        <v>8655</v>
      </c>
      <c r="X1335" t="s">
        <v>8660</v>
      </c>
      <c r="Y1335">
        <f t="shared" si="41"/>
        <v>0</v>
      </c>
    </row>
    <row r="1336" spans="1:25" hidden="1">
      <c r="A1336" t="s">
        <v>2091</v>
      </c>
      <c r="B1336" t="s">
        <v>4985</v>
      </c>
      <c r="C1336">
        <v>1284</v>
      </c>
      <c r="D1336">
        <v>13</v>
      </c>
      <c r="E1336" t="s">
        <v>4502</v>
      </c>
      <c r="F1336" t="s">
        <v>4690</v>
      </c>
      <c r="J1336" t="s">
        <v>8668</v>
      </c>
      <c r="L1336">
        <f t="shared" si="40"/>
        <v>1</v>
      </c>
      <c r="M1336" t="s">
        <v>4502</v>
      </c>
      <c r="N1336" t="s">
        <v>6456</v>
      </c>
      <c r="O1336" t="s">
        <v>104</v>
      </c>
      <c r="P1336">
        <v>23522</v>
      </c>
      <c r="Q1336">
        <v>488566</v>
      </c>
      <c r="R1336" s="16" t="s">
        <v>8364</v>
      </c>
      <c r="S1336" s="16" t="s">
        <v>8069</v>
      </c>
      <c r="T1336" t="s">
        <v>7942</v>
      </c>
      <c r="U1336">
        <v>0</v>
      </c>
      <c r="V1336" t="s">
        <v>8654</v>
      </c>
      <c r="W1336" t="s">
        <v>104</v>
      </c>
      <c r="X1336" t="s">
        <v>8660</v>
      </c>
      <c r="Y1336">
        <f t="shared" si="41"/>
        <v>1</v>
      </c>
    </row>
    <row r="1337" spans="1:25" hidden="1">
      <c r="A1337" t="s">
        <v>1701</v>
      </c>
      <c r="B1337" t="s">
        <v>4612</v>
      </c>
      <c r="C1337">
        <v>1285</v>
      </c>
      <c r="D1337">
        <v>13</v>
      </c>
      <c r="E1337" t="s">
        <v>1444</v>
      </c>
      <c r="F1337" t="s">
        <v>4690</v>
      </c>
      <c r="J1337" t="s">
        <v>8668</v>
      </c>
      <c r="L1337">
        <f t="shared" si="40"/>
        <v>0</v>
      </c>
      <c r="R1337" s="16" t="s">
        <v>8064</v>
      </c>
      <c r="S1337" s="16" t="s">
        <v>8064</v>
      </c>
      <c r="T1337" t="s">
        <v>1701</v>
      </c>
      <c r="U1337">
        <v>0</v>
      </c>
      <c r="V1337" t="s">
        <v>8655</v>
      </c>
      <c r="X1337" t="s">
        <v>8660</v>
      </c>
      <c r="Y1337">
        <f t="shared" si="41"/>
        <v>0</v>
      </c>
    </row>
    <row r="1338" spans="1:25" hidden="1">
      <c r="A1338" t="s">
        <v>1671</v>
      </c>
      <c r="B1338" t="s">
        <v>4576</v>
      </c>
      <c r="C1338">
        <v>1286</v>
      </c>
      <c r="D1338">
        <v>13</v>
      </c>
      <c r="E1338" t="s">
        <v>1444</v>
      </c>
      <c r="F1338" t="s">
        <v>4690</v>
      </c>
      <c r="J1338" t="s">
        <v>8668</v>
      </c>
      <c r="L1338">
        <f t="shared" si="40"/>
        <v>0</v>
      </c>
      <c r="R1338" s="16" t="s">
        <v>8064</v>
      </c>
      <c r="S1338" s="16" t="s">
        <v>8064</v>
      </c>
      <c r="T1338" t="s">
        <v>1671</v>
      </c>
      <c r="U1338">
        <v>0</v>
      </c>
      <c r="V1338" t="s">
        <v>8655</v>
      </c>
      <c r="X1338" t="s">
        <v>8660</v>
      </c>
      <c r="Y1338">
        <f t="shared" si="41"/>
        <v>0</v>
      </c>
    </row>
    <row r="1339" spans="1:25" hidden="1">
      <c r="A1339" t="s">
        <v>1704</v>
      </c>
      <c r="B1339" t="s">
        <v>4617</v>
      </c>
      <c r="C1339">
        <v>1287</v>
      </c>
      <c r="D1339">
        <v>13</v>
      </c>
      <c r="E1339" t="s">
        <v>1444</v>
      </c>
      <c r="F1339" t="s">
        <v>4690</v>
      </c>
      <c r="J1339" t="s">
        <v>8668</v>
      </c>
      <c r="L1339">
        <f t="shared" si="40"/>
        <v>0</v>
      </c>
      <c r="R1339" s="16" t="s">
        <v>8064</v>
      </c>
      <c r="S1339" s="16" t="s">
        <v>8064</v>
      </c>
      <c r="T1339" t="s">
        <v>1704</v>
      </c>
      <c r="U1339">
        <v>0</v>
      </c>
      <c r="V1339" t="s">
        <v>8655</v>
      </c>
      <c r="X1339" t="s">
        <v>8660</v>
      </c>
      <c r="Y1339">
        <f t="shared" si="41"/>
        <v>0</v>
      </c>
    </row>
    <row r="1340" spans="1:25" hidden="1">
      <c r="A1340" t="s">
        <v>1685</v>
      </c>
      <c r="B1340" t="s">
        <v>4995</v>
      </c>
      <c r="C1340">
        <v>1289</v>
      </c>
      <c r="D1340">
        <v>13</v>
      </c>
      <c r="E1340" t="s">
        <v>1444</v>
      </c>
      <c r="F1340" t="s">
        <v>4690</v>
      </c>
      <c r="J1340" t="s">
        <v>8668</v>
      </c>
      <c r="L1340">
        <f t="shared" si="40"/>
        <v>0</v>
      </c>
      <c r="R1340" s="16" t="s">
        <v>8064</v>
      </c>
      <c r="S1340" s="16" t="s">
        <v>8064</v>
      </c>
      <c r="T1340" t="s">
        <v>1685</v>
      </c>
      <c r="U1340">
        <v>0</v>
      </c>
      <c r="V1340" t="s">
        <v>8655</v>
      </c>
      <c r="X1340" t="s">
        <v>8660</v>
      </c>
      <c r="Y1340">
        <f t="shared" si="41"/>
        <v>0</v>
      </c>
    </row>
    <row r="1341" spans="1:25" hidden="1">
      <c r="A1341" t="s">
        <v>1687</v>
      </c>
      <c r="B1341" t="s">
        <v>4597</v>
      </c>
      <c r="C1341">
        <v>1290</v>
      </c>
      <c r="D1341">
        <v>13</v>
      </c>
      <c r="E1341" t="s">
        <v>1444</v>
      </c>
      <c r="F1341" t="s">
        <v>4690</v>
      </c>
      <c r="J1341" t="s">
        <v>8668</v>
      </c>
      <c r="L1341">
        <f t="shared" si="40"/>
        <v>0</v>
      </c>
      <c r="R1341" s="16" t="s">
        <v>8064</v>
      </c>
      <c r="S1341" s="16" t="s">
        <v>8064</v>
      </c>
      <c r="T1341" t="s">
        <v>1687</v>
      </c>
      <c r="U1341">
        <v>0</v>
      </c>
      <c r="V1341" t="s">
        <v>8655</v>
      </c>
      <c r="X1341" t="s">
        <v>8660</v>
      </c>
      <c r="Y1341">
        <f t="shared" si="41"/>
        <v>0</v>
      </c>
    </row>
    <row r="1342" spans="1:25" hidden="1">
      <c r="A1342" t="s">
        <v>1688</v>
      </c>
      <c r="B1342" t="s">
        <v>8055</v>
      </c>
      <c r="C1342">
        <v>1290</v>
      </c>
      <c r="D1342">
        <v>13</v>
      </c>
      <c r="E1342" t="s">
        <v>1444</v>
      </c>
      <c r="F1342" t="s">
        <v>4690</v>
      </c>
      <c r="J1342" t="s">
        <v>8668</v>
      </c>
      <c r="L1342">
        <f t="shared" si="40"/>
        <v>0</v>
      </c>
      <c r="R1342" s="16" t="s">
        <v>8064</v>
      </c>
      <c r="S1342" s="16" t="s">
        <v>8064</v>
      </c>
      <c r="T1342" t="s">
        <v>1688</v>
      </c>
      <c r="U1342">
        <v>0</v>
      </c>
      <c r="V1342" t="s">
        <v>8655</v>
      </c>
      <c r="X1342" t="s">
        <v>8660</v>
      </c>
      <c r="Y1342">
        <f t="shared" si="41"/>
        <v>0</v>
      </c>
    </row>
    <row r="1343" spans="1:25" hidden="1">
      <c r="A1343" t="s">
        <v>2095</v>
      </c>
      <c r="B1343" t="s">
        <v>4809</v>
      </c>
      <c r="C1343">
        <v>1290</v>
      </c>
      <c r="D1343">
        <v>13</v>
      </c>
      <c r="E1343" t="s">
        <v>4377</v>
      </c>
      <c r="F1343" t="s">
        <v>4690</v>
      </c>
      <c r="J1343" t="s">
        <v>8668</v>
      </c>
      <c r="L1343">
        <f t="shared" si="40"/>
        <v>1</v>
      </c>
      <c r="M1343" t="s">
        <v>4377</v>
      </c>
      <c r="N1343" t="s">
        <v>6308</v>
      </c>
      <c r="O1343" t="s">
        <v>104</v>
      </c>
      <c r="P1343">
        <v>35650</v>
      </c>
      <c r="Q1343">
        <v>477980</v>
      </c>
      <c r="R1343" s="16" t="s">
        <v>8479</v>
      </c>
      <c r="S1343" s="16" t="s">
        <v>8184</v>
      </c>
      <c r="T1343" t="s">
        <v>7938</v>
      </c>
      <c r="U1343">
        <v>0</v>
      </c>
      <c r="V1343" t="s">
        <v>8654</v>
      </c>
      <c r="W1343" t="s">
        <v>104</v>
      </c>
      <c r="X1343" t="s">
        <v>8660</v>
      </c>
      <c r="Y1343">
        <f t="shared" si="41"/>
        <v>1</v>
      </c>
    </row>
    <row r="1344" spans="1:25" hidden="1">
      <c r="A1344" t="s">
        <v>2094</v>
      </c>
      <c r="B1344" t="s">
        <v>4347</v>
      </c>
      <c r="C1344">
        <v>1290</v>
      </c>
      <c r="D1344">
        <v>13</v>
      </c>
      <c r="E1344" t="s">
        <v>4540</v>
      </c>
      <c r="F1344" t="s">
        <v>4690</v>
      </c>
      <c r="J1344" t="s">
        <v>8668</v>
      </c>
      <c r="L1344">
        <f t="shared" si="40"/>
        <v>1</v>
      </c>
      <c r="M1344" t="s">
        <v>6762</v>
      </c>
      <c r="N1344" t="s">
        <v>6763</v>
      </c>
      <c r="O1344" t="s">
        <v>104</v>
      </c>
      <c r="P1344" t="s">
        <v>6764</v>
      </c>
      <c r="Q1344" t="s">
        <v>6765</v>
      </c>
      <c r="R1344" s="16" t="s">
        <v>8367</v>
      </c>
      <c r="S1344" s="16" t="s">
        <v>8072</v>
      </c>
      <c r="T1344" t="s">
        <v>7939</v>
      </c>
      <c r="U1344">
        <v>0</v>
      </c>
      <c r="V1344" t="s">
        <v>8654</v>
      </c>
      <c r="W1344" t="s">
        <v>104</v>
      </c>
      <c r="X1344" t="s">
        <v>8660</v>
      </c>
      <c r="Y1344">
        <f t="shared" si="41"/>
        <v>1</v>
      </c>
    </row>
    <row r="1345" spans="1:25" hidden="1">
      <c r="A1345" t="s">
        <v>2089</v>
      </c>
      <c r="B1345" t="s">
        <v>4982</v>
      </c>
      <c r="C1345">
        <v>1291</v>
      </c>
      <c r="D1345">
        <v>13</v>
      </c>
      <c r="E1345" t="s">
        <v>1444</v>
      </c>
      <c r="F1345" t="s">
        <v>4690</v>
      </c>
      <c r="J1345" t="s">
        <v>8668</v>
      </c>
      <c r="L1345">
        <f t="shared" si="40"/>
        <v>0</v>
      </c>
      <c r="R1345" s="16" t="s">
        <v>8064</v>
      </c>
      <c r="S1345" s="16" t="s">
        <v>8064</v>
      </c>
      <c r="T1345" t="s">
        <v>7948</v>
      </c>
      <c r="U1345">
        <v>0</v>
      </c>
      <c r="V1345" t="s">
        <v>8655</v>
      </c>
      <c r="X1345" t="s">
        <v>8660</v>
      </c>
      <c r="Y1345">
        <f t="shared" si="41"/>
        <v>0</v>
      </c>
    </row>
    <row r="1346" spans="1:25" hidden="1">
      <c r="A1346" t="s">
        <v>1713</v>
      </c>
      <c r="B1346" t="s">
        <v>4629</v>
      </c>
      <c r="C1346">
        <v>1293</v>
      </c>
      <c r="D1346">
        <v>13</v>
      </c>
      <c r="E1346" t="s">
        <v>1444</v>
      </c>
      <c r="F1346" t="s">
        <v>4690</v>
      </c>
      <c r="J1346" t="s">
        <v>8668</v>
      </c>
      <c r="L1346">
        <f t="shared" ref="L1346:L1409" si="42">IF(M1346&lt;&gt;"",1,0)</f>
        <v>0</v>
      </c>
      <c r="R1346" s="16" t="s">
        <v>8064</v>
      </c>
      <c r="S1346" s="16" t="s">
        <v>8064</v>
      </c>
      <c r="T1346" t="s">
        <v>1713</v>
      </c>
      <c r="U1346">
        <v>0</v>
      </c>
      <c r="V1346" t="s">
        <v>8655</v>
      </c>
      <c r="X1346" t="s">
        <v>8660</v>
      </c>
      <c r="Y1346">
        <f t="shared" ref="Y1346:Y1409" si="43">IF(OR(V1346="Loc",V1346="IIIF"),1,0)</f>
        <v>0</v>
      </c>
    </row>
    <row r="1347" spans="1:25" hidden="1">
      <c r="A1347" t="s">
        <v>1692</v>
      </c>
      <c r="B1347" t="s">
        <v>4740</v>
      </c>
      <c r="C1347">
        <v>1293</v>
      </c>
      <c r="D1347">
        <v>13</v>
      </c>
      <c r="E1347" t="s">
        <v>1444</v>
      </c>
      <c r="F1347" t="s">
        <v>4690</v>
      </c>
      <c r="J1347" t="s">
        <v>8668</v>
      </c>
      <c r="L1347">
        <f t="shared" si="42"/>
        <v>0</v>
      </c>
      <c r="R1347" s="16" t="s">
        <v>8064</v>
      </c>
      <c r="S1347" s="16" t="s">
        <v>8064</v>
      </c>
      <c r="T1347" t="s">
        <v>1692</v>
      </c>
      <c r="U1347">
        <v>0</v>
      </c>
      <c r="V1347" t="s">
        <v>8655</v>
      </c>
      <c r="X1347" t="s">
        <v>8660</v>
      </c>
      <c r="Y1347">
        <f t="shared" si="43"/>
        <v>0</v>
      </c>
    </row>
    <row r="1348" spans="1:25" hidden="1">
      <c r="A1348" t="s">
        <v>1696</v>
      </c>
      <c r="B1348" t="s">
        <v>4605</v>
      </c>
      <c r="C1348">
        <v>1294</v>
      </c>
      <c r="D1348">
        <v>13</v>
      </c>
      <c r="E1348" t="s">
        <v>1444</v>
      </c>
      <c r="F1348" t="s">
        <v>4690</v>
      </c>
      <c r="J1348" t="s">
        <v>8668</v>
      </c>
      <c r="L1348">
        <f t="shared" si="42"/>
        <v>0</v>
      </c>
      <c r="R1348" s="16" t="s">
        <v>8064</v>
      </c>
      <c r="S1348" s="16" t="s">
        <v>8064</v>
      </c>
      <c r="T1348" t="s">
        <v>1696</v>
      </c>
      <c r="U1348">
        <v>0</v>
      </c>
      <c r="V1348" t="s">
        <v>8655</v>
      </c>
      <c r="X1348" t="s">
        <v>8660</v>
      </c>
      <c r="Y1348">
        <f t="shared" si="43"/>
        <v>0</v>
      </c>
    </row>
    <row r="1349" spans="1:25" hidden="1">
      <c r="A1349" t="s">
        <v>1698</v>
      </c>
      <c r="B1349" t="s">
        <v>4608</v>
      </c>
      <c r="C1349">
        <v>1294</v>
      </c>
      <c r="D1349">
        <v>13</v>
      </c>
      <c r="E1349" t="s">
        <v>1444</v>
      </c>
      <c r="F1349" t="s">
        <v>4690</v>
      </c>
      <c r="J1349" t="s">
        <v>8668</v>
      </c>
      <c r="L1349">
        <f t="shared" si="42"/>
        <v>0</v>
      </c>
      <c r="R1349" s="16" t="s">
        <v>8064</v>
      </c>
      <c r="S1349" s="16" t="s">
        <v>8064</v>
      </c>
      <c r="T1349" t="s">
        <v>1698</v>
      </c>
      <c r="U1349">
        <v>0</v>
      </c>
      <c r="V1349" t="s">
        <v>8655</v>
      </c>
      <c r="X1349" t="s">
        <v>8660</v>
      </c>
      <c r="Y1349">
        <f t="shared" si="43"/>
        <v>0</v>
      </c>
    </row>
    <row r="1350" spans="1:25" hidden="1">
      <c r="A1350" t="s">
        <v>1702</v>
      </c>
      <c r="B1350" t="s">
        <v>4993</v>
      </c>
      <c r="C1350">
        <v>1295</v>
      </c>
      <c r="D1350">
        <v>13</v>
      </c>
      <c r="E1350" t="s">
        <v>1444</v>
      </c>
      <c r="F1350" t="s">
        <v>4690</v>
      </c>
      <c r="J1350" t="s">
        <v>8668</v>
      </c>
      <c r="L1350">
        <f t="shared" si="42"/>
        <v>0</v>
      </c>
      <c r="R1350" s="16" t="s">
        <v>8064</v>
      </c>
      <c r="S1350" s="16" t="s">
        <v>8064</v>
      </c>
      <c r="T1350" t="s">
        <v>1702</v>
      </c>
      <c r="U1350">
        <v>0</v>
      </c>
      <c r="V1350" t="s">
        <v>8655</v>
      </c>
      <c r="X1350" t="s">
        <v>8660</v>
      </c>
      <c r="Y1350">
        <f t="shared" si="43"/>
        <v>0</v>
      </c>
    </row>
    <row r="1351" spans="1:25" hidden="1">
      <c r="A1351" t="s">
        <v>1711</v>
      </c>
      <c r="B1351" t="s">
        <v>4627</v>
      </c>
      <c r="C1351">
        <v>1299</v>
      </c>
      <c r="D1351">
        <v>13</v>
      </c>
      <c r="E1351" t="s">
        <v>1444</v>
      </c>
      <c r="F1351" t="s">
        <v>4690</v>
      </c>
      <c r="J1351" t="s">
        <v>8668</v>
      </c>
      <c r="L1351">
        <f t="shared" si="42"/>
        <v>0</v>
      </c>
      <c r="R1351" s="16" t="s">
        <v>8064</v>
      </c>
      <c r="S1351" s="16" t="s">
        <v>8064</v>
      </c>
      <c r="T1351" t="s">
        <v>1711</v>
      </c>
      <c r="U1351">
        <v>0</v>
      </c>
      <c r="V1351" t="s">
        <v>8655</v>
      </c>
      <c r="X1351" t="s">
        <v>8660</v>
      </c>
      <c r="Y1351">
        <f t="shared" si="43"/>
        <v>0</v>
      </c>
    </row>
    <row r="1352" spans="1:25" hidden="1">
      <c r="A1352" t="s">
        <v>1714</v>
      </c>
      <c r="B1352" t="s">
        <v>4630</v>
      </c>
      <c r="C1352">
        <v>1299</v>
      </c>
      <c r="D1352">
        <v>13</v>
      </c>
      <c r="E1352" t="s">
        <v>1444</v>
      </c>
      <c r="F1352" t="s">
        <v>4690</v>
      </c>
      <c r="J1352" t="s">
        <v>8668</v>
      </c>
      <c r="L1352">
        <f t="shared" si="42"/>
        <v>0</v>
      </c>
      <c r="R1352" s="16" t="s">
        <v>8064</v>
      </c>
      <c r="S1352" s="16" t="s">
        <v>8064</v>
      </c>
      <c r="T1352" t="s">
        <v>1714</v>
      </c>
      <c r="U1352">
        <v>0</v>
      </c>
      <c r="V1352" t="s">
        <v>8655</v>
      </c>
      <c r="X1352" t="s">
        <v>8660</v>
      </c>
      <c r="Y1352">
        <f t="shared" si="43"/>
        <v>0</v>
      </c>
    </row>
    <row r="1353" spans="1:25" hidden="1">
      <c r="A1353" t="s">
        <v>1715</v>
      </c>
      <c r="B1353" t="s">
        <v>4630</v>
      </c>
      <c r="C1353">
        <v>1299</v>
      </c>
      <c r="D1353">
        <v>13</v>
      </c>
      <c r="E1353" t="s">
        <v>1444</v>
      </c>
      <c r="F1353" t="s">
        <v>4690</v>
      </c>
      <c r="J1353" t="s">
        <v>8668</v>
      </c>
      <c r="L1353">
        <f t="shared" si="42"/>
        <v>0</v>
      </c>
      <c r="R1353" s="16" t="s">
        <v>8064</v>
      </c>
      <c r="S1353" s="16" t="s">
        <v>8064</v>
      </c>
      <c r="T1353" t="s">
        <v>1715</v>
      </c>
      <c r="U1353">
        <v>0</v>
      </c>
      <c r="V1353" t="s">
        <v>8655</v>
      </c>
      <c r="X1353" t="s">
        <v>8660</v>
      </c>
      <c r="Y1353">
        <f t="shared" si="43"/>
        <v>0</v>
      </c>
    </row>
    <row r="1354" spans="1:25" hidden="1">
      <c r="A1354" t="s">
        <v>2100</v>
      </c>
      <c r="B1354" t="s">
        <v>4997</v>
      </c>
      <c r="C1354">
        <v>1299</v>
      </c>
      <c r="D1354">
        <v>13</v>
      </c>
      <c r="E1354" t="s">
        <v>1444</v>
      </c>
      <c r="F1354" t="s">
        <v>4690</v>
      </c>
      <c r="J1354" t="s">
        <v>8668</v>
      </c>
      <c r="L1354">
        <f t="shared" si="42"/>
        <v>0</v>
      </c>
      <c r="R1354" s="16" t="s">
        <v>8064</v>
      </c>
      <c r="S1354" s="16" t="s">
        <v>8064</v>
      </c>
      <c r="T1354" t="s">
        <v>7952</v>
      </c>
      <c r="U1354">
        <v>0</v>
      </c>
      <c r="V1354" t="s">
        <v>8655</v>
      </c>
      <c r="X1354" t="s">
        <v>8660</v>
      </c>
      <c r="Y1354">
        <f t="shared" si="43"/>
        <v>0</v>
      </c>
    </row>
    <row r="1355" spans="1:25" hidden="1">
      <c r="A1355" t="s">
        <v>2097</v>
      </c>
      <c r="B1355" t="s">
        <v>4632</v>
      </c>
      <c r="C1355">
        <v>1300</v>
      </c>
      <c r="D1355">
        <v>13</v>
      </c>
      <c r="E1355" t="s">
        <v>1444</v>
      </c>
      <c r="F1355" t="s">
        <v>4690</v>
      </c>
      <c r="J1355" t="s">
        <v>8668</v>
      </c>
      <c r="L1355">
        <f t="shared" si="42"/>
        <v>0</v>
      </c>
      <c r="R1355" s="16" t="s">
        <v>8064</v>
      </c>
      <c r="S1355" s="16" t="s">
        <v>8064</v>
      </c>
      <c r="T1355" t="s">
        <v>7950</v>
      </c>
      <c r="U1355">
        <v>0</v>
      </c>
      <c r="V1355" t="s">
        <v>8655</v>
      </c>
      <c r="X1355" t="s">
        <v>8660</v>
      </c>
      <c r="Y1355">
        <f t="shared" si="43"/>
        <v>0</v>
      </c>
    </row>
    <row r="1356" spans="1:25" hidden="1">
      <c r="A1356" t="s">
        <v>1717</v>
      </c>
      <c r="B1356" t="s">
        <v>4632</v>
      </c>
      <c r="C1356">
        <v>1300</v>
      </c>
      <c r="D1356">
        <v>13</v>
      </c>
      <c r="E1356" t="s">
        <v>4530</v>
      </c>
      <c r="F1356" t="s">
        <v>4690</v>
      </c>
      <c r="J1356" t="s">
        <v>9003</v>
      </c>
      <c r="L1356">
        <f t="shared" si="42"/>
        <v>1</v>
      </c>
      <c r="M1356" t="s">
        <v>4502</v>
      </c>
      <c r="N1356" t="s">
        <v>6456</v>
      </c>
      <c r="O1356" t="s">
        <v>104</v>
      </c>
      <c r="P1356">
        <v>23522</v>
      </c>
      <c r="Q1356">
        <v>488566</v>
      </c>
      <c r="R1356" s="16" t="s">
        <v>8364</v>
      </c>
      <c r="S1356" s="16" t="s">
        <v>8069</v>
      </c>
      <c r="T1356" t="s">
        <v>1717</v>
      </c>
      <c r="U1356">
        <v>1</v>
      </c>
      <c r="V1356" t="s">
        <v>8656</v>
      </c>
      <c r="W1356" t="s">
        <v>104</v>
      </c>
      <c r="X1356" t="s">
        <v>8660</v>
      </c>
      <c r="Y1356">
        <f t="shared" si="43"/>
        <v>1</v>
      </c>
    </row>
    <row r="1357" spans="1:25" hidden="1">
      <c r="A1357" t="s">
        <v>1725</v>
      </c>
      <c r="B1357" t="s">
        <v>5007</v>
      </c>
      <c r="C1357">
        <v>945</v>
      </c>
      <c r="D1357">
        <v>10</v>
      </c>
      <c r="E1357" t="s">
        <v>4358</v>
      </c>
      <c r="F1357" t="s">
        <v>4697</v>
      </c>
      <c r="J1357" t="s">
        <v>8668</v>
      </c>
      <c r="L1357">
        <f t="shared" si="42"/>
        <v>1</v>
      </c>
      <c r="M1357" t="s">
        <v>4362</v>
      </c>
      <c r="N1357" t="s">
        <v>6373</v>
      </c>
      <c r="O1357" t="s">
        <v>104</v>
      </c>
      <c r="P1357">
        <v>46540</v>
      </c>
      <c r="Q1357">
        <v>464340</v>
      </c>
      <c r="R1357" s="16" t="s">
        <v>8392</v>
      </c>
      <c r="S1357" s="16" t="s">
        <v>8096</v>
      </c>
      <c r="T1357" t="s">
        <v>1725</v>
      </c>
      <c r="U1357">
        <v>0</v>
      </c>
      <c r="V1357" t="s">
        <v>8656</v>
      </c>
      <c r="W1357" t="s">
        <v>104</v>
      </c>
      <c r="X1357" t="s">
        <v>8660</v>
      </c>
      <c r="Y1357">
        <f t="shared" si="43"/>
        <v>1</v>
      </c>
    </row>
    <row r="1358" spans="1:25" hidden="1">
      <c r="A1358" t="s">
        <v>2102</v>
      </c>
      <c r="B1358" t="s">
        <v>5006</v>
      </c>
      <c r="C1358">
        <v>977</v>
      </c>
      <c r="D1358">
        <v>10</v>
      </c>
      <c r="E1358" t="s">
        <v>4358</v>
      </c>
      <c r="F1358" t="s">
        <v>4697</v>
      </c>
      <c r="J1358" t="s">
        <v>8668</v>
      </c>
      <c r="L1358">
        <f t="shared" si="42"/>
        <v>1</v>
      </c>
      <c r="M1358" t="s">
        <v>4362</v>
      </c>
      <c r="N1358" t="s">
        <v>6373</v>
      </c>
      <c r="O1358" t="s">
        <v>104</v>
      </c>
      <c r="P1358">
        <v>46540</v>
      </c>
      <c r="Q1358">
        <v>464340</v>
      </c>
      <c r="R1358" s="16" t="s">
        <v>8392</v>
      </c>
      <c r="S1358" s="16" t="s">
        <v>8096</v>
      </c>
      <c r="T1358" t="s">
        <v>7992</v>
      </c>
      <c r="U1358">
        <v>0</v>
      </c>
      <c r="V1358" t="s">
        <v>8656</v>
      </c>
      <c r="W1358" t="s">
        <v>104</v>
      </c>
      <c r="X1358" t="s">
        <v>8660</v>
      </c>
      <c r="Y1358">
        <f t="shared" si="43"/>
        <v>1</v>
      </c>
    </row>
    <row r="1359" spans="1:25" hidden="1">
      <c r="A1359" t="s">
        <v>1733</v>
      </c>
      <c r="B1359" t="s">
        <v>5008</v>
      </c>
      <c r="C1359">
        <v>984</v>
      </c>
      <c r="D1359">
        <v>10</v>
      </c>
      <c r="E1359" t="s">
        <v>4358</v>
      </c>
      <c r="F1359" t="s">
        <v>4697</v>
      </c>
      <c r="J1359" t="s">
        <v>8668</v>
      </c>
      <c r="L1359">
        <f t="shared" si="42"/>
        <v>1</v>
      </c>
      <c r="M1359" t="s">
        <v>4362</v>
      </c>
      <c r="N1359" t="s">
        <v>6373</v>
      </c>
      <c r="O1359" t="s">
        <v>104</v>
      </c>
      <c r="P1359">
        <v>46540</v>
      </c>
      <c r="Q1359">
        <v>464340</v>
      </c>
      <c r="R1359" s="16" t="s">
        <v>8392</v>
      </c>
      <c r="S1359" s="16" t="s">
        <v>8096</v>
      </c>
      <c r="T1359" t="s">
        <v>1733</v>
      </c>
      <c r="U1359">
        <v>0</v>
      </c>
      <c r="V1359" t="s">
        <v>8656</v>
      </c>
      <c r="W1359" t="s">
        <v>104</v>
      </c>
      <c r="X1359" t="s">
        <v>8660</v>
      </c>
      <c r="Y1359">
        <f t="shared" si="43"/>
        <v>1</v>
      </c>
    </row>
    <row r="1360" spans="1:25" hidden="1">
      <c r="A1360" t="s">
        <v>1736</v>
      </c>
      <c r="B1360" t="s">
        <v>4773</v>
      </c>
      <c r="C1360">
        <v>1003</v>
      </c>
      <c r="D1360">
        <v>11</v>
      </c>
      <c r="E1360" t="s">
        <v>4362</v>
      </c>
      <c r="F1360" t="s">
        <v>4697</v>
      </c>
      <c r="J1360" t="s">
        <v>8668</v>
      </c>
      <c r="L1360">
        <f t="shared" si="42"/>
        <v>1</v>
      </c>
      <c r="M1360" t="s">
        <v>4362</v>
      </c>
      <c r="N1360" t="s">
        <v>6373</v>
      </c>
      <c r="O1360" t="s">
        <v>104</v>
      </c>
      <c r="P1360">
        <v>46540</v>
      </c>
      <c r="Q1360">
        <v>464340</v>
      </c>
      <c r="R1360" s="16" t="s">
        <v>8392</v>
      </c>
      <c r="S1360" s="16" t="s">
        <v>8096</v>
      </c>
      <c r="T1360" t="s">
        <v>1736</v>
      </c>
      <c r="U1360">
        <v>0</v>
      </c>
      <c r="V1360" t="s">
        <v>8656</v>
      </c>
      <c r="W1360" t="s">
        <v>104</v>
      </c>
      <c r="X1360" t="s">
        <v>8660</v>
      </c>
      <c r="Y1360">
        <f t="shared" si="43"/>
        <v>1</v>
      </c>
    </row>
    <row r="1361" spans="1:25" hidden="1">
      <c r="A1361" t="s">
        <v>1739</v>
      </c>
      <c r="B1361" t="s">
        <v>5012</v>
      </c>
      <c r="C1361">
        <v>1050</v>
      </c>
      <c r="D1361">
        <v>11</v>
      </c>
      <c r="E1361" t="s">
        <v>4408</v>
      </c>
      <c r="F1361" t="s">
        <v>4697</v>
      </c>
      <c r="J1361" t="s">
        <v>8668</v>
      </c>
      <c r="L1361">
        <f t="shared" si="42"/>
        <v>1</v>
      </c>
      <c r="M1361" t="s">
        <v>6389</v>
      </c>
      <c r="N1361" t="s">
        <v>6389</v>
      </c>
      <c r="O1361" t="s">
        <v>6390</v>
      </c>
      <c r="P1361">
        <v>64790</v>
      </c>
      <c r="Q1361">
        <v>498110</v>
      </c>
      <c r="R1361" s="16" t="s">
        <v>8576</v>
      </c>
      <c r="S1361" s="16" t="s">
        <v>8281</v>
      </c>
      <c r="T1361" t="s">
        <v>1739</v>
      </c>
      <c r="U1361">
        <v>0</v>
      </c>
      <c r="V1361" t="s">
        <v>8656</v>
      </c>
      <c r="W1361" t="s">
        <v>6390</v>
      </c>
      <c r="X1361" t="s">
        <v>8660</v>
      </c>
      <c r="Y1361">
        <f t="shared" si="43"/>
        <v>1</v>
      </c>
    </row>
    <row r="1362" spans="1:25" hidden="1">
      <c r="A1362" t="s">
        <v>5010</v>
      </c>
      <c r="B1362" t="s">
        <v>5011</v>
      </c>
      <c r="C1362">
        <v>1070</v>
      </c>
      <c r="D1362">
        <v>11</v>
      </c>
      <c r="E1362" t="s">
        <v>4423</v>
      </c>
      <c r="F1362" t="s">
        <v>4697</v>
      </c>
      <c r="J1362" t="s">
        <v>8668</v>
      </c>
      <c r="L1362">
        <f t="shared" si="42"/>
        <v>1</v>
      </c>
      <c r="M1362" t="s">
        <v>6483</v>
      </c>
      <c r="N1362" t="s">
        <v>6484</v>
      </c>
      <c r="O1362" t="s">
        <v>6290</v>
      </c>
      <c r="P1362">
        <v>-38090</v>
      </c>
      <c r="Q1362">
        <v>423540</v>
      </c>
      <c r="R1362" s="16" t="s">
        <v>8425</v>
      </c>
      <c r="S1362" s="16" t="s">
        <v>8129</v>
      </c>
      <c r="T1362" t="s">
        <v>7990</v>
      </c>
      <c r="U1362">
        <v>0</v>
      </c>
      <c r="V1362" t="s">
        <v>8656</v>
      </c>
      <c r="W1362" t="s">
        <v>6290</v>
      </c>
      <c r="X1362" t="s">
        <v>8660</v>
      </c>
      <c r="Y1362">
        <f t="shared" si="43"/>
        <v>1</v>
      </c>
    </row>
    <row r="1363" spans="1:25" hidden="1">
      <c r="A1363" t="s">
        <v>7314</v>
      </c>
      <c r="B1363" t="s">
        <v>4467</v>
      </c>
      <c r="C1363">
        <v>1157</v>
      </c>
      <c r="D1363">
        <v>12</v>
      </c>
      <c r="E1363" t="s">
        <v>1444</v>
      </c>
      <c r="F1363" t="s">
        <v>4697</v>
      </c>
      <c r="J1363" t="s">
        <v>8668</v>
      </c>
      <c r="L1363">
        <f t="shared" si="42"/>
        <v>0</v>
      </c>
      <c r="R1363" s="16" t="s">
        <v>8064</v>
      </c>
      <c r="S1363" s="16" t="s">
        <v>8064</v>
      </c>
      <c r="T1363" t="s">
        <v>7314</v>
      </c>
      <c r="U1363">
        <v>0</v>
      </c>
      <c r="V1363" t="s">
        <v>8655</v>
      </c>
      <c r="X1363" t="s">
        <v>8660</v>
      </c>
      <c r="Y1363">
        <f t="shared" si="43"/>
        <v>0</v>
      </c>
    </row>
    <row r="1364" spans="1:25" hidden="1">
      <c r="A1364" t="s">
        <v>7321</v>
      </c>
      <c r="B1364" t="s">
        <v>4496</v>
      </c>
      <c r="C1364">
        <v>1158</v>
      </c>
      <c r="D1364">
        <v>12</v>
      </c>
      <c r="E1364" t="s">
        <v>1444</v>
      </c>
      <c r="F1364" t="s">
        <v>4697</v>
      </c>
      <c r="J1364" t="s">
        <v>8668</v>
      </c>
      <c r="L1364">
        <f t="shared" si="42"/>
        <v>0</v>
      </c>
      <c r="R1364" s="16" t="s">
        <v>8064</v>
      </c>
      <c r="S1364" s="16" t="s">
        <v>8064</v>
      </c>
      <c r="T1364" t="s">
        <v>7826</v>
      </c>
      <c r="U1364">
        <v>0</v>
      </c>
      <c r="V1364" t="s">
        <v>8655</v>
      </c>
      <c r="X1364" t="s">
        <v>8660</v>
      </c>
      <c r="Y1364">
        <f t="shared" si="43"/>
        <v>0</v>
      </c>
    </row>
    <row r="1365" spans="1:25" hidden="1">
      <c r="A1365" t="s">
        <v>7309</v>
      </c>
      <c r="B1365" t="s">
        <v>5019</v>
      </c>
      <c r="C1365">
        <v>1161</v>
      </c>
      <c r="D1365">
        <v>12</v>
      </c>
      <c r="E1365" t="s">
        <v>4369</v>
      </c>
      <c r="F1365" t="s">
        <v>4697</v>
      </c>
      <c r="J1365" t="s">
        <v>8668</v>
      </c>
      <c r="L1365">
        <f t="shared" si="42"/>
        <v>1</v>
      </c>
      <c r="M1365" t="s">
        <v>4369</v>
      </c>
      <c r="N1365" t="s">
        <v>6787</v>
      </c>
      <c r="O1365" t="s">
        <v>104</v>
      </c>
      <c r="P1365" t="s">
        <v>6788</v>
      </c>
      <c r="Q1365" t="s">
        <v>6789</v>
      </c>
      <c r="R1365" s="16" t="s">
        <v>8463</v>
      </c>
      <c r="S1365" s="16" t="s">
        <v>8167</v>
      </c>
      <c r="T1365" t="s">
        <v>7309</v>
      </c>
      <c r="U1365">
        <v>0</v>
      </c>
      <c r="V1365" t="s">
        <v>8654</v>
      </c>
      <c r="W1365" t="s">
        <v>104</v>
      </c>
      <c r="X1365" t="s">
        <v>8660</v>
      </c>
      <c r="Y1365">
        <f t="shared" si="43"/>
        <v>1</v>
      </c>
    </row>
    <row r="1366" spans="1:25" hidden="1">
      <c r="A1366" t="s">
        <v>7312</v>
      </c>
      <c r="B1366" t="s">
        <v>4352</v>
      </c>
      <c r="C1366">
        <v>1163</v>
      </c>
      <c r="D1366">
        <v>12</v>
      </c>
      <c r="E1366" t="s">
        <v>4485</v>
      </c>
      <c r="F1366" t="s">
        <v>4697</v>
      </c>
      <c r="J1366" t="s">
        <v>8668</v>
      </c>
      <c r="L1366">
        <f t="shared" si="42"/>
        <v>1</v>
      </c>
      <c r="M1366" t="s">
        <v>6504</v>
      </c>
      <c r="N1366" t="s">
        <v>6505</v>
      </c>
      <c r="O1366" t="s">
        <v>104</v>
      </c>
      <c r="P1366" t="s">
        <v>6506</v>
      </c>
      <c r="Q1366" t="s">
        <v>6507</v>
      </c>
      <c r="R1366" s="16" t="s">
        <v>8465</v>
      </c>
      <c r="S1366" s="16" t="s">
        <v>8169</v>
      </c>
      <c r="T1366" t="s">
        <v>7312</v>
      </c>
      <c r="U1366">
        <v>0</v>
      </c>
      <c r="V1366" t="s">
        <v>8654</v>
      </c>
      <c r="W1366" t="s">
        <v>104</v>
      </c>
      <c r="X1366" t="s">
        <v>8660</v>
      </c>
      <c r="Y1366">
        <f t="shared" si="43"/>
        <v>1</v>
      </c>
    </row>
    <row r="1367" spans="1:25" hidden="1">
      <c r="A1367" t="s">
        <v>7315</v>
      </c>
      <c r="B1367" t="s">
        <v>4500</v>
      </c>
      <c r="C1367">
        <v>1168</v>
      </c>
      <c r="D1367">
        <v>12</v>
      </c>
      <c r="E1367" t="s">
        <v>1444</v>
      </c>
      <c r="F1367" t="s">
        <v>4697</v>
      </c>
      <c r="J1367" t="s">
        <v>8668</v>
      </c>
      <c r="L1367">
        <f t="shared" si="42"/>
        <v>0</v>
      </c>
      <c r="R1367" s="16" t="s">
        <v>8064</v>
      </c>
      <c r="S1367" s="16" t="s">
        <v>8064</v>
      </c>
      <c r="T1367" t="s">
        <v>7315</v>
      </c>
      <c r="U1367">
        <v>0</v>
      </c>
      <c r="V1367" t="s">
        <v>8655</v>
      </c>
      <c r="X1367" t="s">
        <v>8660</v>
      </c>
      <c r="Y1367">
        <f t="shared" si="43"/>
        <v>0</v>
      </c>
    </row>
    <row r="1368" spans="1:25" hidden="1">
      <c r="A1368" t="s">
        <v>7311</v>
      </c>
      <c r="B1368" t="s">
        <v>5026</v>
      </c>
      <c r="C1368">
        <v>1196</v>
      </c>
      <c r="D1368">
        <v>12</v>
      </c>
      <c r="E1368" t="s">
        <v>4485</v>
      </c>
      <c r="F1368" t="s">
        <v>4697</v>
      </c>
      <c r="J1368" t="s">
        <v>8668</v>
      </c>
      <c r="L1368">
        <f t="shared" si="42"/>
        <v>1</v>
      </c>
      <c r="M1368" t="s">
        <v>6504</v>
      </c>
      <c r="N1368" t="s">
        <v>6505</v>
      </c>
      <c r="O1368" t="s">
        <v>104</v>
      </c>
      <c r="P1368" t="s">
        <v>6506</v>
      </c>
      <c r="Q1368" t="s">
        <v>6507</v>
      </c>
      <c r="R1368" s="16" t="s">
        <v>8465</v>
      </c>
      <c r="S1368" s="16" t="s">
        <v>8169</v>
      </c>
      <c r="T1368" t="s">
        <v>7824</v>
      </c>
      <c r="U1368">
        <v>0</v>
      </c>
      <c r="V1368" t="s">
        <v>8654</v>
      </c>
      <c r="W1368" t="s">
        <v>104</v>
      </c>
      <c r="X1368" t="s">
        <v>8660</v>
      </c>
      <c r="Y1368">
        <f t="shared" si="43"/>
        <v>1</v>
      </c>
    </row>
    <row r="1369" spans="1:25" hidden="1">
      <c r="A1369" t="s">
        <v>7313</v>
      </c>
      <c r="B1369" t="s">
        <v>5027</v>
      </c>
      <c r="C1369">
        <v>1231</v>
      </c>
      <c r="D1369">
        <v>13</v>
      </c>
      <c r="E1369" t="s">
        <v>4481</v>
      </c>
      <c r="F1369" t="s">
        <v>4697</v>
      </c>
      <c r="J1369" t="s">
        <v>8668</v>
      </c>
      <c r="L1369">
        <f t="shared" si="42"/>
        <v>1</v>
      </c>
      <c r="M1369" t="s">
        <v>6504</v>
      </c>
      <c r="N1369" t="s">
        <v>6505</v>
      </c>
      <c r="O1369" t="s">
        <v>104</v>
      </c>
      <c r="P1369" t="s">
        <v>6506</v>
      </c>
      <c r="Q1369" t="s">
        <v>6507</v>
      </c>
      <c r="R1369" s="16" t="s">
        <v>8465</v>
      </c>
      <c r="S1369" s="16" t="s">
        <v>8169</v>
      </c>
      <c r="T1369" t="s">
        <v>7825</v>
      </c>
      <c r="U1369">
        <v>0</v>
      </c>
      <c r="V1369" t="s">
        <v>8654</v>
      </c>
      <c r="W1369" t="s">
        <v>104</v>
      </c>
      <c r="X1369" t="s">
        <v>8660</v>
      </c>
      <c r="Y1369">
        <f t="shared" si="43"/>
        <v>1</v>
      </c>
    </row>
    <row r="1370" spans="1:25" hidden="1">
      <c r="A1370" t="s">
        <v>7322</v>
      </c>
      <c r="B1370" t="s">
        <v>5030</v>
      </c>
      <c r="C1370">
        <v>1248</v>
      </c>
      <c r="D1370">
        <v>13</v>
      </c>
      <c r="E1370" t="s">
        <v>1444</v>
      </c>
      <c r="F1370" t="s">
        <v>4697</v>
      </c>
      <c r="J1370" t="s">
        <v>8668</v>
      </c>
      <c r="L1370">
        <f t="shared" si="42"/>
        <v>0</v>
      </c>
      <c r="R1370" s="16" t="s">
        <v>8064</v>
      </c>
      <c r="S1370" s="16" t="s">
        <v>8064</v>
      </c>
      <c r="T1370" t="s">
        <v>7322</v>
      </c>
      <c r="U1370">
        <v>0</v>
      </c>
      <c r="V1370" t="s">
        <v>8655</v>
      </c>
      <c r="X1370" t="s">
        <v>8660</v>
      </c>
      <c r="Y1370">
        <f t="shared" si="43"/>
        <v>0</v>
      </c>
    </row>
    <row r="1371" spans="1:25" hidden="1">
      <c r="A1371" t="s">
        <v>7317</v>
      </c>
      <c r="B1371" t="s">
        <v>4558</v>
      </c>
      <c r="C1371">
        <v>1255</v>
      </c>
      <c r="D1371">
        <v>13</v>
      </c>
      <c r="E1371" t="s">
        <v>1444</v>
      </c>
      <c r="F1371" t="s">
        <v>4697</v>
      </c>
      <c r="J1371" t="s">
        <v>8668</v>
      </c>
      <c r="L1371">
        <f t="shared" si="42"/>
        <v>0</v>
      </c>
      <c r="R1371" s="16" t="s">
        <v>8064</v>
      </c>
      <c r="S1371" s="16" t="s">
        <v>8064</v>
      </c>
      <c r="T1371" t="s">
        <v>7317</v>
      </c>
      <c r="U1371">
        <v>0</v>
      </c>
      <c r="V1371" t="s">
        <v>8655</v>
      </c>
      <c r="X1371" t="s">
        <v>8660</v>
      </c>
      <c r="Y1371">
        <f t="shared" si="43"/>
        <v>0</v>
      </c>
    </row>
    <row r="1372" spans="1:25" hidden="1">
      <c r="A1372" t="s">
        <v>7320</v>
      </c>
      <c r="B1372" t="s">
        <v>4562</v>
      </c>
      <c r="C1372">
        <v>1277</v>
      </c>
      <c r="D1372">
        <v>13</v>
      </c>
      <c r="E1372" t="s">
        <v>1444</v>
      </c>
      <c r="F1372" t="s">
        <v>4697</v>
      </c>
      <c r="J1372" t="s">
        <v>8817</v>
      </c>
      <c r="L1372">
        <f t="shared" si="42"/>
        <v>0</v>
      </c>
      <c r="R1372" s="16" t="s">
        <v>8064</v>
      </c>
      <c r="S1372" s="16" t="s">
        <v>8064</v>
      </c>
      <c r="T1372" t="s">
        <v>7320</v>
      </c>
      <c r="U1372">
        <v>1</v>
      </c>
      <c r="V1372" t="s">
        <v>8655</v>
      </c>
      <c r="X1372" t="s">
        <v>8660</v>
      </c>
      <c r="Y1372">
        <f t="shared" si="43"/>
        <v>0</v>
      </c>
    </row>
    <row r="1373" spans="1:25" hidden="1">
      <c r="A1373" t="s">
        <v>7318</v>
      </c>
      <c r="B1373" t="s">
        <v>4604</v>
      </c>
      <c r="C1373">
        <v>1282</v>
      </c>
      <c r="D1373">
        <v>13</v>
      </c>
      <c r="E1373" t="s">
        <v>1444</v>
      </c>
      <c r="F1373" t="s">
        <v>4697</v>
      </c>
      <c r="J1373" t="s">
        <v>8668</v>
      </c>
      <c r="L1373">
        <f t="shared" si="42"/>
        <v>0</v>
      </c>
      <c r="R1373" s="16" t="s">
        <v>8064</v>
      </c>
      <c r="S1373" s="16" t="s">
        <v>8064</v>
      </c>
      <c r="T1373" t="s">
        <v>7318</v>
      </c>
      <c r="U1373">
        <v>0</v>
      </c>
      <c r="V1373" t="s">
        <v>8655</v>
      </c>
      <c r="X1373" t="s">
        <v>8660</v>
      </c>
      <c r="Y1373">
        <f t="shared" si="43"/>
        <v>0</v>
      </c>
    </row>
    <row r="1374" spans="1:25" hidden="1">
      <c r="A1374" t="s">
        <v>7310</v>
      </c>
      <c r="B1374" t="s">
        <v>5028</v>
      </c>
      <c r="C1374">
        <v>1283</v>
      </c>
      <c r="D1374">
        <v>13</v>
      </c>
      <c r="E1374" t="s">
        <v>4607</v>
      </c>
      <c r="F1374" t="s">
        <v>4697</v>
      </c>
      <c r="J1374" t="s">
        <v>8668</v>
      </c>
      <c r="L1374">
        <f t="shared" si="42"/>
        <v>1</v>
      </c>
      <c r="M1374" t="s">
        <v>6457</v>
      </c>
      <c r="N1374" t="s">
        <v>6357</v>
      </c>
      <c r="O1374" t="s">
        <v>104</v>
      </c>
      <c r="P1374">
        <v>61750</v>
      </c>
      <c r="Q1374">
        <v>491190</v>
      </c>
      <c r="R1374" s="16" t="s">
        <v>8464</v>
      </c>
      <c r="S1374" s="16" t="s">
        <v>8168</v>
      </c>
      <c r="T1374" t="s">
        <v>7310</v>
      </c>
      <c r="U1374">
        <v>0</v>
      </c>
      <c r="V1374" t="s">
        <v>8654</v>
      </c>
      <c r="W1374" t="s">
        <v>104</v>
      </c>
      <c r="X1374" t="s">
        <v>8660</v>
      </c>
      <c r="Y1374">
        <f t="shared" si="43"/>
        <v>1</v>
      </c>
    </row>
    <row r="1375" spans="1:25" hidden="1">
      <c r="A1375" t="s">
        <v>1760</v>
      </c>
      <c r="B1375" t="s">
        <v>5013</v>
      </c>
      <c r="C1375">
        <v>1285</v>
      </c>
      <c r="D1375">
        <v>13</v>
      </c>
      <c r="E1375" t="s">
        <v>4592</v>
      </c>
      <c r="F1375" t="s">
        <v>4697</v>
      </c>
      <c r="J1375" t="s">
        <v>8844</v>
      </c>
      <c r="L1375">
        <f t="shared" si="42"/>
        <v>0</v>
      </c>
      <c r="R1375" s="16" t="s">
        <v>8064</v>
      </c>
      <c r="S1375" s="16" t="s">
        <v>8064</v>
      </c>
      <c r="T1375" t="s">
        <v>1760</v>
      </c>
      <c r="U1375">
        <v>1</v>
      </c>
      <c r="V1375" t="s">
        <v>8655</v>
      </c>
      <c r="X1375" t="s">
        <v>8660</v>
      </c>
      <c r="Y1375">
        <f t="shared" si="43"/>
        <v>0</v>
      </c>
    </row>
    <row r="1376" spans="1:25" hidden="1">
      <c r="A1376" t="s">
        <v>2117</v>
      </c>
      <c r="B1376" t="s">
        <v>5014</v>
      </c>
      <c r="C1376">
        <v>1287</v>
      </c>
      <c r="D1376">
        <v>13</v>
      </c>
      <c r="E1376" t="s">
        <v>4502</v>
      </c>
      <c r="F1376" t="s">
        <v>4697</v>
      </c>
      <c r="J1376" t="s">
        <v>8668</v>
      </c>
      <c r="L1376">
        <f t="shared" si="42"/>
        <v>1</v>
      </c>
      <c r="M1376" t="s">
        <v>4502</v>
      </c>
      <c r="N1376" t="s">
        <v>6456</v>
      </c>
      <c r="O1376" t="s">
        <v>104</v>
      </c>
      <c r="P1376">
        <v>23522</v>
      </c>
      <c r="Q1376">
        <v>488566</v>
      </c>
      <c r="R1376" s="16" t="s">
        <v>8364</v>
      </c>
      <c r="S1376" s="16" t="s">
        <v>8069</v>
      </c>
      <c r="T1376" t="s">
        <v>7991</v>
      </c>
      <c r="U1376">
        <v>0</v>
      </c>
      <c r="V1376" t="s">
        <v>8656</v>
      </c>
      <c r="W1376" t="s">
        <v>104</v>
      </c>
      <c r="X1376" t="s">
        <v>8660</v>
      </c>
      <c r="Y1376">
        <f t="shared" si="43"/>
        <v>1</v>
      </c>
    </row>
    <row r="1377" spans="1:25" hidden="1">
      <c r="A1377" t="s">
        <v>7316</v>
      </c>
      <c r="B1377" t="s">
        <v>5020</v>
      </c>
      <c r="C1377">
        <v>1288</v>
      </c>
      <c r="D1377">
        <v>13</v>
      </c>
      <c r="E1377" t="s">
        <v>1444</v>
      </c>
      <c r="F1377" t="s">
        <v>4697</v>
      </c>
      <c r="J1377" t="s">
        <v>8668</v>
      </c>
      <c r="L1377">
        <f t="shared" si="42"/>
        <v>0</v>
      </c>
      <c r="R1377" s="16" t="s">
        <v>8064</v>
      </c>
      <c r="S1377" s="16" t="s">
        <v>8064</v>
      </c>
      <c r="T1377" t="s">
        <v>7316</v>
      </c>
      <c r="U1377">
        <v>0</v>
      </c>
      <c r="V1377" t="s">
        <v>8655</v>
      </c>
      <c r="X1377" t="s">
        <v>8660</v>
      </c>
      <c r="Y1377">
        <f t="shared" si="43"/>
        <v>0</v>
      </c>
    </row>
    <row r="1378" spans="1:25" hidden="1">
      <c r="A1378" t="s">
        <v>7705</v>
      </c>
      <c r="B1378" t="s">
        <v>4401</v>
      </c>
      <c r="C1378">
        <v>1042</v>
      </c>
      <c r="D1378">
        <v>11</v>
      </c>
      <c r="E1378" t="s">
        <v>1444</v>
      </c>
      <c r="F1378" t="s">
        <v>4911</v>
      </c>
      <c r="J1378" t="s">
        <v>8668</v>
      </c>
      <c r="L1378">
        <f t="shared" si="42"/>
        <v>0</v>
      </c>
      <c r="R1378" s="16" t="s">
        <v>8064</v>
      </c>
      <c r="S1378" s="16" t="s">
        <v>8064</v>
      </c>
      <c r="T1378" t="s">
        <v>7735</v>
      </c>
      <c r="U1378">
        <v>0</v>
      </c>
      <c r="V1378" t="s">
        <v>8655</v>
      </c>
      <c r="X1378" t="s">
        <v>8660</v>
      </c>
      <c r="Y1378">
        <f t="shared" si="43"/>
        <v>0</v>
      </c>
    </row>
    <row r="1379" spans="1:25" hidden="1">
      <c r="A1379" t="s">
        <v>7373</v>
      </c>
      <c r="B1379" t="s">
        <v>4403</v>
      </c>
      <c r="C1379">
        <v>1054</v>
      </c>
      <c r="D1379">
        <v>11</v>
      </c>
      <c r="E1379" t="s">
        <v>4404</v>
      </c>
      <c r="F1379" t="s">
        <v>4911</v>
      </c>
      <c r="J1379" t="s">
        <v>8668</v>
      </c>
      <c r="L1379">
        <f t="shared" si="42"/>
        <v>1</v>
      </c>
      <c r="M1379" t="s">
        <v>6310</v>
      </c>
      <c r="N1379" t="s">
        <v>6309</v>
      </c>
      <c r="O1379" t="s">
        <v>104</v>
      </c>
      <c r="P1379">
        <v>48055</v>
      </c>
      <c r="Q1379">
        <v>439493</v>
      </c>
      <c r="R1379" s="16" t="s">
        <v>8476</v>
      </c>
      <c r="S1379" s="16" t="s">
        <v>8181</v>
      </c>
      <c r="T1379" t="s">
        <v>7373</v>
      </c>
      <c r="U1379">
        <v>0</v>
      </c>
      <c r="V1379" t="s">
        <v>8654</v>
      </c>
      <c r="W1379" t="s">
        <v>104</v>
      </c>
      <c r="X1379" t="s">
        <v>8660</v>
      </c>
      <c r="Y1379">
        <f t="shared" si="43"/>
        <v>1</v>
      </c>
    </row>
    <row r="1380" spans="1:25" hidden="1">
      <c r="A1380" t="s">
        <v>7706</v>
      </c>
      <c r="B1380" t="s">
        <v>4409</v>
      </c>
      <c r="C1380">
        <v>1057</v>
      </c>
      <c r="D1380">
        <v>11</v>
      </c>
      <c r="E1380" t="s">
        <v>1444</v>
      </c>
      <c r="F1380" t="s">
        <v>4911</v>
      </c>
      <c r="J1380" t="s">
        <v>8668</v>
      </c>
      <c r="L1380">
        <f t="shared" si="42"/>
        <v>0</v>
      </c>
      <c r="R1380" s="16" t="s">
        <v>8064</v>
      </c>
      <c r="S1380" s="16" t="s">
        <v>8064</v>
      </c>
      <c r="T1380" t="s">
        <v>7735</v>
      </c>
      <c r="U1380">
        <v>0</v>
      </c>
      <c r="V1380" t="s">
        <v>8655</v>
      </c>
      <c r="X1380" t="s">
        <v>8660</v>
      </c>
      <c r="Y1380">
        <f t="shared" si="43"/>
        <v>0</v>
      </c>
    </row>
    <row r="1381" spans="1:25" hidden="1">
      <c r="A1381" t="s">
        <v>7369</v>
      </c>
      <c r="B1381" t="s">
        <v>4814</v>
      </c>
      <c r="C1381">
        <v>1109</v>
      </c>
      <c r="D1381">
        <v>12</v>
      </c>
      <c r="E1381" t="s">
        <v>4446</v>
      </c>
      <c r="F1381" t="s">
        <v>4911</v>
      </c>
      <c r="J1381" t="s">
        <v>8668</v>
      </c>
      <c r="L1381">
        <f t="shared" si="42"/>
        <v>1</v>
      </c>
      <c r="M1381" t="s">
        <v>6368</v>
      </c>
      <c r="N1381" t="s">
        <v>6369</v>
      </c>
      <c r="O1381" t="s">
        <v>104</v>
      </c>
      <c r="P1381">
        <v>50860</v>
      </c>
      <c r="Q1381">
        <v>472440</v>
      </c>
      <c r="R1381" s="16" t="s">
        <v>8386</v>
      </c>
      <c r="S1381" s="16" t="s">
        <v>8090</v>
      </c>
      <c r="T1381" t="s">
        <v>7369</v>
      </c>
      <c r="U1381">
        <v>0</v>
      </c>
      <c r="V1381" t="s">
        <v>8654</v>
      </c>
      <c r="W1381" t="s">
        <v>104</v>
      </c>
      <c r="X1381" t="s">
        <v>8660</v>
      </c>
      <c r="Y1381">
        <f t="shared" si="43"/>
        <v>1</v>
      </c>
    </row>
    <row r="1382" spans="1:25" hidden="1">
      <c r="A1382" t="s">
        <v>7370</v>
      </c>
      <c r="B1382" t="s">
        <v>4814</v>
      </c>
      <c r="C1382">
        <v>1109</v>
      </c>
      <c r="D1382">
        <v>12</v>
      </c>
      <c r="E1382" t="s">
        <v>4446</v>
      </c>
      <c r="F1382" t="s">
        <v>4911</v>
      </c>
      <c r="J1382" t="s">
        <v>8668</v>
      </c>
      <c r="L1382">
        <f t="shared" si="42"/>
        <v>1</v>
      </c>
      <c r="M1382" t="s">
        <v>6368</v>
      </c>
      <c r="N1382" t="s">
        <v>6369</v>
      </c>
      <c r="O1382" t="s">
        <v>104</v>
      </c>
      <c r="P1382">
        <v>50860</v>
      </c>
      <c r="Q1382">
        <v>472440</v>
      </c>
      <c r="R1382" s="16" t="s">
        <v>8386</v>
      </c>
      <c r="S1382" s="16" t="s">
        <v>8090</v>
      </c>
      <c r="T1382" t="s">
        <v>7370</v>
      </c>
      <c r="U1382">
        <v>0</v>
      </c>
      <c r="V1382" t="s">
        <v>8654</v>
      </c>
      <c r="W1382" t="s">
        <v>104</v>
      </c>
      <c r="X1382" t="s">
        <v>8660</v>
      </c>
      <c r="Y1382">
        <f t="shared" si="43"/>
        <v>1</v>
      </c>
    </row>
    <row r="1383" spans="1:25" hidden="1">
      <c r="A1383" t="s">
        <v>7371</v>
      </c>
      <c r="B1383" t="s">
        <v>4814</v>
      </c>
      <c r="C1383">
        <v>1109</v>
      </c>
      <c r="D1383">
        <v>12</v>
      </c>
      <c r="E1383" t="s">
        <v>4446</v>
      </c>
      <c r="F1383" t="s">
        <v>4911</v>
      </c>
      <c r="J1383" t="s">
        <v>8668</v>
      </c>
      <c r="L1383">
        <f t="shared" si="42"/>
        <v>1</v>
      </c>
      <c r="M1383" t="s">
        <v>6368</v>
      </c>
      <c r="N1383" t="s">
        <v>6369</v>
      </c>
      <c r="O1383" t="s">
        <v>104</v>
      </c>
      <c r="P1383">
        <v>50860</v>
      </c>
      <c r="Q1383">
        <v>472440</v>
      </c>
      <c r="R1383" s="16" t="s">
        <v>8386</v>
      </c>
      <c r="S1383" s="16" t="s">
        <v>8090</v>
      </c>
      <c r="T1383" t="s">
        <v>7371</v>
      </c>
      <c r="U1383">
        <v>0</v>
      </c>
      <c r="V1383" t="s">
        <v>8654</v>
      </c>
      <c r="W1383" t="s">
        <v>104</v>
      </c>
      <c r="X1383" t="s">
        <v>8660</v>
      </c>
      <c r="Y1383">
        <f t="shared" si="43"/>
        <v>1</v>
      </c>
    </row>
    <row r="1384" spans="1:25" hidden="1">
      <c r="A1384" t="s">
        <v>7372</v>
      </c>
      <c r="B1384" t="s">
        <v>4816</v>
      </c>
      <c r="C1384">
        <v>1111</v>
      </c>
      <c r="D1384">
        <v>12</v>
      </c>
      <c r="E1384" t="s">
        <v>4446</v>
      </c>
      <c r="F1384" t="s">
        <v>4911</v>
      </c>
      <c r="J1384" t="s">
        <v>8668</v>
      </c>
      <c r="L1384">
        <f t="shared" si="42"/>
        <v>1</v>
      </c>
      <c r="M1384" t="s">
        <v>6368</v>
      </c>
      <c r="N1384" t="s">
        <v>6369</v>
      </c>
      <c r="O1384" t="s">
        <v>104</v>
      </c>
      <c r="P1384">
        <v>50860</v>
      </c>
      <c r="Q1384">
        <v>472440</v>
      </c>
      <c r="R1384" s="16" t="s">
        <v>8386</v>
      </c>
      <c r="S1384" s="16" t="s">
        <v>8090</v>
      </c>
      <c r="T1384" t="s">
        <v>7372</v>
      </c>
      <c r="U1384">
        <v>0</v>
      </c>
      <c r="V1384" t="s">
        <v>8654</v>
      </c>
      <c r="W1384" t="s">
        <v>104</v>
      </c>
      <c r="X1384" t="s">
        <v>8660</v>
      </c>
      <c r="Y1384">
        <f t="shared" si="43"/>
        <v>1</v>
      </c>
    </row>
    <row r="1385" spans="1:25" hidden="1">
      <c r="A1385" t="s">
        <v>7365</v>
      </c>
      <c r="B1385" t="s">
        <v>4968</v>
      </c>
      <c r="C1385">
        <v>1130</v>
      </c>
      <c r="D1385">
        <v>12</v>
      </c>
      <c r="E1385" t="s">
        <v>4460</v>
      </c>
      <c r="F1385" t="s">
        <v>4911</v>
      </c>
      <c r="J1385" s="5" t="s">
        <v>8700</v>
      </c>
      <c r="L1385">
        <f t="shared" si="42"/>
        <v>1</v>
      </c>
      <c r="M1385" t="s">
        <v>4508</v>
      </c>
      <c r="N1385" t="s">
        <v>6414</v>
      </c>
      <c r="O1385" t="s">
        <v>104</v>
      </c>
      <c r="P1385">
        <v>58500</v>
      </c>
      <c r="Q1385">
        <v>453500</v>
      </c>
      <c r="R1385" s="16" t="s">
        <v>8475</v>
      </c>
      <c r="S1385" s="16" t="s">
        <v>8179</v>
      </c>
      <c r="T1385" t="s">
        <v>7365</v>
      </c>
      <c r="U1385">
        <v>1</v>
      </c>
      <c r="V1385" t="s">
        <v>8654</v>
      </c>
      <c r="W1385" t="s">
        <v>104</v>
      </c>
      <c r="X1385" t="s">
        <v>8660</v>
      </c>
      <c r="Y1385">
        <f t="shared" si="43"/>
        <v>1</v>
      </c>
    </row>
    <row r="1386" spans="1:25" hidden="1">
      <c r="A1386" t="s">
        <v>7364</v>
      </c>
      <c r="B1386" t="s">
        <v>4968</v>
      </c>
      <c r="C1386">
        <v>1130</v>
      </c>
      <c r="D1386">
        <v>12</v>
      </c>
      <c r="E1386" t="s">
        <v>4460</v>
      </c>
      <c r="F1386" t="s">
        <v>4911</v>
      </c>
      <c r="J1386" s="5" t="s">
        <v>8699</v>
      </c>
      <c r="L1386">
        <f t="shared" si="42"/>
        <v>1</v>
      </c>
      <c r="M1386" t="s">
        <v>4508</v>
      </c>
      <c r="N1386" t="s">
        <v>6414</v>
      </c>
      <c r="O1386" t="s">
        <v>104</v>
      </c>
      <c r="P1386">
        <v>58500</v>
      </c>
      <c r="Q1386">
        <v>453500</v>
      </c>
      <c r="R1386" s="16" t="s">
        <v>8475</v>
      </c>
      <c r="S1386" s="16" t="s">
        <v>8179</v>
      </c>
      <c r="T1386" t="s">
        <v>7364</v>
      </c>
      <c r="U1386">
        <v>1</v>
      </c>
      <c r="V1386" t="s">
        <v>8654</v>
      </c>
      <c r="W1386" t="s">
        <v>104</v>
      </c>
      <c r="X1386" t="s">
        <v>8660</v>
      </c>
      <c r="Y1386">
        <f t="shared" si="43"/>
        <v>1</v>
      </c>
    </row>
    <row r="1387" spans="1:25" hidden="1">
      <c r="A1387" t="s">
        <v>7363</v>
      </c>
      <c r="B1387" t="s">
        <v>4968</v>
      </c>
      <c r="C1387">
        <v>1130</v>
      </c>
      <c r="D1387">
        <v>12</v>
      </c>
      <c r="E1387" t="s">
        <v>4460</v>
      </c>
      <c r="F1387" t="s">
        <v>4911</v>
      </c>
      <c r="J1387" t="s">
        <v>8698</v>
      </c>
      <c r="L1387">
        <f t="shared" si="42"/>
        <v>1</v>
      </c>
      <c r="M1387" t="s">
        <v>4508</v>
      </c>
      <c r="N1387" t="s">
        <v>6414</v>
      </c>
      <c r="O1387" t="s">
        <v>104</v>
      </c>
      <c r="P1387">
        <v>58500</v>
      </c>
      <c r="Q1387">
        <v>453500</v>
      </c>
      <c r="R1387" s="16" t="s">
        <v>8475</v>
      </c>
      <c r="S1387" s="16" t="s">
        <v>8179</v>
      </c>
      <c r="T1387" t="s">
        <v>7363</v>
      </c>
      <c r="U1387">
        <v>1</v>
      </c>
      <c r="V1387" t="s">
        <v>8654</v>
      </c>
      <c r="W1387" t="s">
        <v>104</v>
      </c>
      <c r="X1387" t="s">
        <v>8660</v>
      </c>
      <c r="Y1387">
        <f t="shared" si="43"/>
        <v>1</v>
      </c>
    </row>
    <row r="1388" spans="1:25" hidden="1">
      <c r="A1388" t="s">
        <v>7366</v>
      </c>
      <c r="B1388" t="s">
        <v>586</v>
      </c>
      <c r="C1388">
        <v>1134</v>
      </c>
      <c r="D1388">
        <v>12</v>
      </c>
      <c r="E1388" t="s">
        <v>4461</v>
      </c>
      <c r="F1388" t="s">
        <v>4911</v>
      </c>
      <c r="J1388" t="s">
        <v>9053</v>
      </c>
      <c r="L1388">
        <f t="shared" si="42"/>
        <v>1</v>
      </c>
      <c r="M1388" t="s">
        <v>6403</v>
      </c>
      <c r="N1388" t="s">
        <v>6308</v>
      </c>
      <c r="O1388" t="s">
        <v>104</v>
      </c>
      <c r="P1388">
        <v>47000</v>
      </c>
      <c r="Q1388">
        <v>465000</v>
      </c>
      <c r="R1388" s="16" t="s">
        <v>8470</v>
      </c>
      <c r="S1388" s="16" t="s">
        <v>8180</v>
      </c>
      <c r="T1388" t="s">
        <v>7366</v>
      </c>
      <c r="U1388">
        <v>1</v>
      </c>
      <c r="V1388" t="s">
        <v>8656</v>
      </c>
      <c r="W1388" t="s">
        <v>104</v>
      </c>
      <c r="X1388" t="s">
        <v>8660</v>
      </c>
      <c r="Y1388">
        <f t="shared" si="43"/>
        <v>1</v>
      </c>
    </row>
    <row r="1389" spans="1:25" hidden="1">
      <c r="A1389" t="s">
        <v>7367</v>
      </c>
      <c r="B1389" t="s">
        <v>586</v>
      </c>
      <c r="C1389">
        <v>1134</v>
      </c>
      <c r="D1389">
        <v>12</v>
      </c>
      <c r="E1389" t="s">
        <v>4461</v>
      </c>
      <c r="F1389" t="s">
        <v>4911</v>
      </c>
      <c r="J1389" t="s">
        <v>9054</v>
      </c>
      <c r="L1389">
        <f t="shared" si="42"/>
        <v>1</v>
      </c>
      <c r="M1389" t="s">
        <v>6403</v>
      </c>
      <c r="N1389" t="s">
        <v>6308</v>
      </c>
      <c r="O1389" t="s">
        <v>104</v>
      </c>
      <c r="P1389">
        <v>47000</v>
      </c>
      <c r="Q1389">
        <v>465000</v>
      </c>
      <c r="R1389" s="16" t="s">
        <v>8470</v>
      </c>
      <c r="S1389" s="16" t="s">
        <v>8180</v>
      </c>
      <c r="T1389" t="s">
        <v>7367</v>
      </c>
      <c r="U1389">
        <v>1</v>
      </c>
      <c r="V1389" t="s">
        <v>8656</v>
      </c>
      <c r="W1389" t="s">
        <v>104</v>
      </c>
      <c r="X1389" t="s">
        <v>8660</v>
      </c>
      <c r="Y1389">
        <f t="shared" si="43"/>
        <v>1</v>
      </c>
    </row>
    <row r="1390" spans="1:25" hidden="1">
      <c r="A1390" t="s">
        <v>7368</v>
      </c>
      <c r="B1390" t="s">
        <v>586</v>
      </c>
      <c r="C1390">
        <v>1134</v>
      </c>
      <c r="D1390">
        <v>12</v>
      </c>
      <c r="E1390" t="s">
        <v>4461</v>
      </c>
      <c r="F1390" t="s">
        <v>4911</v>
      </c>
      <c r="J1390" t="s">
        <v>9055</v>
      </c>
      <c r="L1390">
        <f t="shared" si="42"/>
        <v>1</v>
      </c>
      <c r="M1390" t="s">
        <v>6403</v>
      </c>
      <c r="N1390" t="s">
        <v>6308</v>
      </c>
      <c r="O1390" t="s">
        <v>104</v>
      </c>
      <c r="P1390">
        <v>47000</v>
      </c>
      <c r="Q1390">
        <v>465000</v>
      </c>
      <c r="R1390" s="16" t="s">
        <v>8470</v>
      </c>
      <c r="S1390" s="16" t="s">
        <v>8180</v>
      </c>
      <c r="T1390" t="s">
        <v>7368</v>
      </c>
      <c r="U1390">
        <v>1</v>
      </c>
      <c r="V1390" t="s">
        <v>8656</v>
      </c>
      <c r="W1390" t="s">
        <v>104</v>
      </c>
      <c r="X1390" t="s">
        <v>8660</v>
      </c>
      <c r="Y1390">
        <f t="shared" si="43"/>
        <v>1</v>
      </c>
    </row>
    <row r="1391" spans="1:25" hidden="1">
      <c r="A1391" t="s">
        <v>7376</v>
      </c>
      <c r="B1391" t="s">
        <v>4964</v>
      </c>
      <c r="C1391">
        <v>1214</v>
      </c>
      <c r="D1391">
        <v>13</v>
      </c>
      <c r="E1391" t="s">
        <v>1444</v>
      </c>
      <c r="F1391" t="s">
        <v>4911</v>
      </c>
      <c r="J1391" t="s">
        <v>8668</v>
      </c>
      <c r="L1391">
        <f t="shared" si="42"/>
        <v>0</v>
      </c>
      <c r="R1391" s="16" t="s">
        <v>8064</v>
      </c>
      <c r="S1391" s="16" t="s">
        <v>8064</v>
      </c>
      <c r="T1391" t="s">
        <v>7376</v>
      </c>
      <c r="U1391">
        <v>0</v>
      </c>
      <c r="V1391" t="s">
        <v>8655</v>
      </c>
      <c r="X1391" t="s">
        <v>8660</v>
      </c>
      <c r="Y1391">
        <f t="shared" si="43"/>
        <v>0</v>
      </c>
    </row>
    <row r="1392" spans="1:25" hidden="1">
      <c r="A1392" t="s">
        <v>2137</v>
      </c>
      <c r="B1392" t="s">
        <v>4973</v>
      </c>
      <c r="C1392">
        <v>1227</v>
      </c>
      <c r="D1392">
        <v>13</v>
      </c>
      <c r="E1392" t="s">
        <v>4531</v>
      </c>
      <c r="F1392" t="s">
        <v>4911</v>
      </c>
      <c r="J1392" t="s">
        <v>9051</v>
      </c>
      <c r="L1392">
        <f t="shared" si="42"/>
        <v>1</v>
      </c>
      <c r="M1392" t="s">
        <v>6306</v>
      </c>
      <c r="N1392" t="s">
        <v>6307</v>
      </c>
      <c r="O1392" t="s">
        <v>104</v>
      </c>
      <c r="P1392">
        <v>24400</v>
      </c>
      <c r="Q1392">
        <v>449260</v>
      </c>
      <c r="R1392" s="16" t="s">
        <v>8361</v>
      </c>
      <c r="S1392" s="16" t="s">
        <v>8065</v>
      </c>
      <c r="T1392" t="s">
        <v>8047</v>
      </c>
      <c r="U1392">
        <v>1</v>
      </c>
      <c r="V1392" t="s">
        <v>8656</v>
      </c>
      <c r="W1392" t="s">
        <v>104</v>
      </c>
      <c r="X1392" t="s">
        <v>8660</v>
      </c>
      <c r="Y1392">
        <f t="shared" si="43"/>
        <v>1</v>
      </c>
    </row>
    <row r="1393" spans="1:25" hidden="1">
      <c r="A1393" t="s">
        <v>7374</v>
      </c>
      <c r="B1393" t="s">
        <v>4533</v>
      </c>
      <c r="C1393">
        <v>1229</v>
      </c>
      <c r="D1393">
        <v>13</v>
      </c>
      <c r="E1393" t="s">
        <v>1444</v>
      </c>
      <c r="F1393" t="s">
        <v>4911</v>
      </c>
      <c r="J1393" t="s">
        <v>8819</v>
      </c>
      <c r="L1393">
        <f t="shared" si="42"/>
        <v>0</v>
      </c>
      <c r="R1393" s="16" t="s">
        <v>8064</v>
      </c>
      <c r="S1393" s="16" t="s">
        <v>8064</v>
      </c>
      <c r="T1393" t="s">
        <v>7374</v>
      </c>
      <c r="U1393">
        <v>1</v>
      </c>
      <c r="V1393" t="s">
        <v>8655</v>
      </c>
      <c r="X1393" t="s">
        <v>8660</v>
      </c>
      <c r="Y1393">
        <f t="shared" si="43"/>
        <v>0</v>
      </c>
    </row>
    <row r="1394" spans="1:25" hidden="1">
      <c r="A1394" t="s">
        <v>7377</v>
      </c>
      <c r="B1394" t="s">
        <v>4551</v>
      </c>
      <c r="C1394">
        <v>1253</v>
      </c>
      <c r="D1394">
        <v>13</v>
      </c>
      <c r="E1394" t="s">
        <v>1444</v>
      </c>
      <c r="F1394" t="s">
        <v>4911</v>
      </c>
      <c r="J1394" t="s">
        <v>8668</v>
      </c>
      <c r="L1394">
        <f t="shared" si="42"/>
        <v>0</v>
      </c>
      <c r="R1394" s="16" t="s">
        <v>8064</v>
      </c>
      <c r="S1394" s="16" t="s">
        <v>8064</v>
      </c>
      <c r="T1394" t="s">
        <v>7377</v>
      </c>
      <c r="U1394">
        <v>0</v>
      </c>
      <c r="V1394" t="s">
        <v>8655</v>
      </c>
      <c r="X1394" t="s">
        <v>8660</v>
      </c>
      <c r="Y1394">
        <f t="shared" si="43"/>
        <v>0</v>
      </c>
    </row>
    <row r="1395" spans="1:25" hidden="1">
      <c r="A1395" t="s">
        <v>7362</v>
      </c>
      <c r="B1395" t="s">
        <v>4346</v>
      </c>
      <c r="C1395">
        <v>1260</v>
      </c>
      <c r="D1395">
        <v>13</v>
      </c>
      <c r="E1395" t="s">
        <v>4561</v>
      </c>
      <c r="F1395" t="s">
        <v>4911</v>
      </c>
      <c r="J1395" t="s">
        <v>9052</v>
      </c>
      <c r="L1395">
        <f t="shared" si="42"/>
        <v>1</v>
      </c>
      <c r="M1395" t="s">
        <v>4550</v>
      </c>
      <c r="N1395" t="s">
        <v>6345</v>
      </c>
      <c r="O1395" t="s">
        <v>104</v>
      </c>
      <c r="P1395">
        <v>14440</v>
      </c>
      <c r="Q1395">
        <v>436040</v>
      </c>
      <c r="R1395" s="16" t="s">
        <v>8474</v>
      </c>
      <c r="S1395" s="16" t="s">
        <v>8178</v>
      </c>
      <c r="T1395" t="s">
        <v>7362</v>
      </c>
      <c r="U1395">
        <v>1</v>
      </c>
      <c r="V1395" t="s">
        <v>8656</v>
      </c>
      <c r="W1395" t="s">
        <v>104</v>
      </c>
      <c r="X1395" t="s">
        <v>8660</v>
      </c>
      <c r="Y1395">
        <f t="shared" si="43"/>
        <v>1</v>
      </c>
    </row>
    <row r="1396" spans="1:25" hidden="1">
      <c r="A1396" t="s">
        <v>7380</v>
      </c>
      <c r="B1396" t="s">
        <v>5022</v>
      </c>
      <c r="C1396">
        <v>1285</v>
      </c>
      <c r="D1396">
        <v>13</v>
      </c>
      <c r="E1396" t="s">
        <v>1444</v>
      </c>
      <c r="F1396" t="s">
        <v>4911</v>
      </c>
      <c r="J1396" t="s">
        <v>8823</v>
      </c>
      <c r="L1396">
        <f t="shared" si="42"/>
        <v>0</v>
      </c>
      <c r="R1396" s="16" t="s">
        <v>8064</v>
      </c>
      <c r="S1396" s="16" t="s">
        <v>8064</v>
      </c>
      <c r="T1396" t="s">
        <v>7380</v>
      </c>
      <c r="U1396">
        <v>1</v>
      </c>
      <c r="V1396" t="s">
        <v>8655</v>
      </c>
      <c r="X1396" t="s">
        <v>8660</v>
      </c>
      <c r="Y1396">
        <f t="shared" si="43"/>
        <v>0</v>
      </c>
    </row>
    <row r="1397" spans="1:25" hidden="1">
      <c r="A1397" t="s">
        <v>7378</v>
      </c>
      <c r="B1397" t="s">
        <v>4810</v>
      </c>
      <c r="C1397">
        <v>1295</v>
      </c>
      <c r="D1397">
        <v>13</v>
      </c>
      <c r="E1397" t="s">
        <v>1444</v>
      </c>
      <c r="F1397" t="s">
        <v>4911</v>
      </c>
      <c r="J1397" t="s">
        <v>8820</v>
      </c>
      <c r="L1397">
        <f t="shared" si="42"/>
        <v>0</v>
      </c>
      <c r="R1397" s="16" t="s">
        <v>8064</v>
      </c>
      <c r="S1397" s="16" t="s">
        <v>8064</v>
      </c>
      <c r="T1397" t="s">
        <v>7378</v>
      </c>
      <c r="U1397">
        <v>1</v>
      </c>
      <c r="V1397" t="s">
        <v>8655</v>
      </c>
      <c r="X1397" t="s">
        <v>8660</v>
      </c>
      <c r="Y1397">
        <f t="shared" si="43"/>
        <v>0</v>
      </c>
    </row>
    <row r="1398" spans="1:25" hidden="1">
      <c r="A1398" t="s">
        <v>7379</v>
      </c>
      <c r="B1398" t="s">
        <v>4825</v>
      </c>
      <c r="C1398">
        <v>1295</v>
      </c>
      <c r="D1398">
        <v>13</v>
      </c>
      <c r="E1398" t="s">
        <v>1444</v>
      </c>
      <c r="F1398" t="s">
        <v>4911</v>
      </c>
      <c r="J1398" t="s">
        <v>8821</v>
      </c>
      <c r="L1398">
        <f t="shared" si="42"/>
        <v>0</v>
      </c>
      <c r="R1398" s="16" t="s">
        <v>8064</v>
      </c>
      <c r="S1398" s="16" t="s">
        <v>8064</v>
      </c>
      <c r="T1398" t="s">
        <v>7379</v>
      </c>
      <c r="U1398">
        <v>1</v>
      </c>
      <c r="V1398" t="s">
        <v>8655</v>
      </c>
      <c r="X1398" t="s">
        <v>8660</v>
      </c>
      <c r="Y1398">
        <f t="shared" si="43"/>
        <v>0</v>
      </c>
    </row>
    <row r="1399" spans="1:25" hidden="1">
      <c r="A1399" t="s">
        <v>7375</v>
      </c>
      <c r="B1399" t="s">
        <v>4602</v>
      </c>
      <c r="C1399">
        <v>1297</v>
      </c>
      <c r="D1399">
        <v>13</v>
      </c>
      <c r="E1399" t="s">
        <v>1444</v>
      </c>
      <c r="F1399" t="s">
        <v>4911</v>
      </c>
      <c r="J1399" t="s">
        <v>8668</v>
      </c>
      <c r="L1399">
        <f t="shared" si="42"/>
        <v>0</v>
      </c>
      <c r="R1399" s="16" t="s">
        <v>8064</v>
      </c>
      <c r="S1399" s="16" t="s">
        <v>8064</v>
      </c>
      <c r="T1399" t="s">
        <v>7375</v>
      </c>
      <c r="U1399">
        <v>0</v>
      </c>
      <c r="V1399" t="s">
        <v>8655</v>
      </c>
      <c r="X1399" t="s">
        <v>8660</v>
      </c>
      <c r="Y1399">
        <f t="shared" si="43"/>
        <v>0</v>
      </c>
    </row>
    <row r="1400" spans="1:25" hidden="1">
      <c r="A1400" t="s">
        <v>7405</v>
      </c>
      <c r="B1400" t="s">
        <v>4966</v>
      </c>
      <c r="C1400">
        <v>1194</v>
      </c>
      <c r="D1400">
        <v>12</v>
      </c>
      <c r="E1400" t="s">
        <v>1444</v>
      </c>
      <c r="F1400" t="s">
        <v>4812</v>
      </c>
      <c r="J1400" t="s">
        <v>8668</v>
      </c>
      <c r="L1400">
        <f t="shared" si="42"/>
        <v>0</v>
      </c>
      <c r="R1400" s="16" t="s">
        <v>8064</v>
      </c>
      <c r="S1400" s="16" t="s">
        <v>8064</v>
      </c>
      <c r="T1400" t="s">
        <v>7405</v>
      </c>
      <c r="U1400">
        <v>0</v>
      </c>
      <c r="V1400" t="s">
        <v>8655</v>
      </c>
      <c r="X1400" t="s">
        <v>8660</v>
      </c>
      <c r="Y1400">
        <f t="shared" si="43"/>
        <v>0</v>
      </c>
    </row>
    <row r="1401" spans="1:25" hidden="1">
      <c r="A1401" t="s">
        <v>7404</v>
      </c>
      <c r="B1401" t="s">
        <v>4965</v>
      </c>
      <c r="C1401">
        <v>1289</v>
      </c>
      <c r="D1401">
        <v>13</v>
      </c>
      <c r="E1401" t="s">
        <v>1444</v>
      </c>
      <c r="F1401" t="s">
        <v>4812</v>
      </c>
      <c r="J1401" t="s">
        <v>8668</v>
      </c>
      <c r="L1401">
        <f t="shared" si="42"/>
        <v>0</v>
      </c>
      <c r="R1401" s="16" t="s">
        <v>8064</v>
      </c>
      <c r="S1401" s="16" t="s">
        <v>8064</v>
      </c>
      <c r="T1401" t="s">
        <v>7404</v>
      </c>
      <c r="U1401">
        <v>0</v>
      </c>
      <c r="V1401" t="s">
        <v>8655</v>
      </c>
      <c r="X1401" t="s">
        <v>8660</v>
      </c>
      <c r="Y1401">
        <f t="shared" si="43"/>
        <v>0</v>
      </c>
    </row>
    <row r="1402" spans="1:25" hidden="1">
      <c r="A1402" t="s">
        <v>7447</v>
      </c>
      <c r="B1402" t="s">
        <v>4355</v>
      </c>
      <c r="C1402">
        <v>931</v>
      </c>
      <c r="D1402">
        <v>10</v>
      </c>
      <c r="E1402" t="s">
        <v>1444</v>
      </c>
      <c r="F1402" t="s">
        <v>4868</v>
      </c>
      <c r="J1402" t="s">
        <v>8668</v>
      </c>
      <c r="L1402">
        <f t="shared" si="42"/>
        <v>0</v>
      </c>
      <c r="R1402" s="16" t="s">
        <v>8064</v>
      </c>
      <c r="S1402" s="16" t="s">
        <v>8064</v>
      </c>
      <c r="T1402" t="s">
        <v>7447</v>
      </c>
      <c r="U1402">
        <v>0</v>
      </c>
      <c r="V1402" t="s">
        <v>8655</v>
      </c>
      <c r="X1402" t="s">
        <v>8660</v>
      </c>
      <c r="Y1402">
        <f t="shared" si="43"/>
        <v>0</v>
      </c>
    </row>
    <row r="1403" spans="1:25" hidden="1">
      <c r="A1403" t="s">
        <v>7446</v>
      </c>
      <c r="B1403" t="s">
        <v>4356</v>
      </c>
      <c r="C1403">
        <v>936</v>
      </c>
      <c r="D1403">
        <v>10</v>
      </c>
      <c r="E1403" t="s">
        <v>1444</v>
      </c>
      <c r="F1403" t="s">
        <v>4868</v>
      </c>
      <c r="J1403" t="s">
        <v>8668</v>
      </c>
      <c r="L1403">
        <f t="shared" si="42"/>
        <v>0</v>
      </c>
      <c r="R1403" s="16" t="s">
        <v>8064</v>
      </c>
      <c r="S1403" s="16" t="s">
        <v>8064</v>
      </c>
      <c r="T1403" t="s">
        <v>7850</v>
      </c>
      <c r="U1403">
        <v>0</v>
      </c>
      <c r="V1403" t="s">
        <v>8655</v>
      </c>
      <c r="X1403" t="s">
        <v>8660</v>
      </c>
      <c r="Y1403">
        <f t="shared" si="43"/>
        <v>0</v>
      </c>
    </row>
    <row r="1404" spans="1:25" hidden="1">
      <c r="A1404" t="s">
        <v>7419</v>
      </c>
      <c r="B1404" t="s">
        <v>5023</v>
      </c>
      <c r="C1404">
        <v>995</v>
      </c>
      <c r="D1404">
        <v>10</v>
      </c>
      <c r="E1404" t="s">
        <v>4367</v>
      </c>
      <c r="F1404" t="s">
        <v>4868</v>
      </c>
      <c r="J1404" t="s">
        <v>8738</v>
      </c>
      <c r="L1404">
        <f t="shared" si="42"/>
        <v>1</v>
      </c>
      <c r="M1404" t="s">
        <v>4367</v>
      </c>
      <c r="N1404" t="s">
        <v>6359</v>
      </c>
      <c r="O1404" t="s">
        <v>104</v>
      </c>
      <c r="P1404" t="s">
        <v>6491</v>
      </c>
      <c r="Q1404">
        <v>473940</v>
      </c>
      <c r="R1404" s="16" t="s">
        <v>8482</v>
      </c>
      <c r="S1404" s="16" t="s">
        <v>8187</v>
      </c>
      <c r="T1404" t="s">
        <v>7419</v>
      </c>
      <c r="U1404">
        <v>1</v>
      </c>
      <c r="V1404" t="s">
        <v>8654</v>
      </c>
      <c r="W1404" t="s">
        <v>104</v>
      </c>
      <c r="X1404" t="s">
        <v>8660</v>
      </c>
      <c r="Y1404">
        <f t="shared" si="43"/>
        <v>1</v>
      </c>
    </row>
    <row r="1405" spans="1:25" hidden="1">
      <c r="A1405" t="s">
        <v>7441</v>
      </c>
      <c r="B1405" t="s">
        <v>4950</v>
      </c>
      <c r="C1405">
        <v>997</v>
      </c>
      <c r="D1405">
        <v>10</v>
      </c>
      <c r="E1405" t="s">
        <v>1444</v>
      </c>
      <c r="F1405" t="s">
        <v>4868</v>
      </c>
      <c r="J1405" t="s">
        <v>8834</v>
      </c>
      <c r="L1405">
        <f t="shared" si="42"/>
        <v>0</v>
      </c>
      <c r="R1405" s="16" t="s">
        <v>8064</v>
      </c>
      <c r="S1405" s="16" t="s">
        <v>8064</v>
      </c>
      <c r="T1405" t="s">
        <v>7848</v>
      </c>
      <c r="U1405">
        <v>1</v>
      </c>
      <c r="V1405" t="s">
        <v>8655</v>
      </c>
      <c r="X1405" t="s">
        <v>8660</v>
      </c>
      <c r="Y1405">
        <f t="shared" si="43"/>
        <v>0</v>
      </c>
    </row>
    <row r="1406" spans="1:25" hidden="1">
      <c r="A1406" t="s">
        <v>7426</v>
      </c>
      <c r="B1406" t="s">
        <v>4842</v>
      </c>
      <c r="C1406">
        <v>1000</v>
      </c>
      <c r="D1406">
        <v>11</v>
      </c>
      <c r="E1406" t="s">
        <v>4366</v>
      </c>
      <c r="F1406" t="s">
        <v>4868</v>
      </c>
      <c r="J1406" t="s">
        <v>9123</v>
      </c>
      <c r="L1406">
        <f t="shared" si="42"/>
        <v>1</v>
      </c>
      <c r="M1406" t="s">
        <v>6646</v>
      </c>
      <c r="N1406" t="s">
        <v>6647</v>
      </c>
      <c r="O1406" t="s">
        <v>104</v>
      </c>
      <c r="P1406" t="s">
        <v>6648</v>
      </c>
      <c r="Q1406" t="s">
        <v>6649</v>
      </c>
      <c r="R1406" s="16" t="s">
        <v>8485</v>
      </c>
      <c r="S1406" s="16" t="s">
        <v>8189</v>
      </c>
      <c r="T1406" t="s">
        <v>7843</v>
      </c>
      <c r="U1406">
        <v>1</v>
      </c>
      <c r="V1406" t="s">
        <v>8656</v>
      </c>
      <c r="W1406" t="s">
        <v>104</v>
      </c>
      <c r="X1406" t="s">
        <v>8660</v>
      </c>
      <c r="Y1406">
        <f t="shared" si="43"/>
        <v>1</v>
      </c>
    </row>
    <row r="1407" spans="1:25" hidden="1">
      <c r="A1407" t="s">
        <v>7428</v>
      </c>
      <c r="B1407" t="s">
        <v>4842</v>
      </c>
      <c r="C1407">
        <v>1000</v>
      </c>
      <c r="D1407">
        <v>11</v>
      </c>
      <c r="E1407" t="s">
        <v>4366</v>
      </c>
      <c r="F1407" t="s">
        <v>4868</v>
      </c>
      <c r="J1407" t="s">
        <v>9067</v>
      </c>
      <c r="L1407">
        <f t="shared" si="42"/>
        <v>1</v>
      </c>
      <c r="M1407" t="s">
        <v>6646</v>
      </c>
      <c r="N1407" t="s">
        <v>6647</v>
      </c>
      <c r="O1407" t="s">
        <v>104</v>
      </c>
      <c r="P1407" t="s">
        <v>6648</v>
      </c>
      <c r="Q1407" t="s">
        <v>6649</v>
      </c>
      <c r="R1407" s="16" t="s">
        <v>8485</v>
      </c>
      <c r="S1407" s="16" t="s">
        <v>8189</v>
      </c>
      <c r="T1407" t="s">
        <v>7428</v>
      </c>
      <c r="U1407">
        <v>1</v>
      </c>
      <c r="V1407" t="s">
        <v>8656</v>
      </c>
      <c r="W1407" t="s">
        <v>104</v>
      </c>
      <c r="X1407" t="s">
        <v>8660</v>
      </c>
      <c r="Y1407">
        <f t="shared" si="43"/>
        <v>1</v>
      </c>
    </row>
    <row r="1408" spans="1:25" hidden="1">
      <c r="A1408" t="s">
        <v>7429</v>
      </c>
      <c r="B1408" t="s">
        <v>4842</v>
      </c>
      <c r="C1408">
        <v>1000</v>
      </c>
      <c r="D1408">
        <v>11</v>
      </c>
      <c r="E1408" t="s">
        <v>4366</v>
      </c>
      <c r="F1408" t="s">
        <v>4868</v>
      </c>
      <c r="J1408" t="s">
        <v>9068</v>
      </c>
      <c r="L1408">
        <f t="shared" si="42"/>
        <v>1</v>
      </c>
      <c r="M1408" t="s">
        <v>6646</v>
      </c>
      <c r="N1408" t="s">
        <v>6647</v>
      </c>
      <c r="O1408" t="s">
        <v>104</v>
      </c>
      <c r="P1408" t="s">
        <v>6648</v>
      </c>
      <c r="Q1408" t="s">
        <v>6649</v>
      </c>
      <c r="R1408" s="16" t="s">
        <v>8485</v>
      </c>
      <c r="S1408" s="16" t="s">
        <v>8189</v>
      </c>
      <c r="T1408" t="s">
        <v>7845</v>
      </c>
      <c r="U1408">
        <v>1</v>
      </c>
      <c r="V1408" t="s">
        <v>8656</v>
      </c>
      <c r="W1408" t="s">
        <v>104</v>
      </c>
      <c r="X1408" t="s">
        <v>8660</v>
      </c>
      <c r="Y1408">
        <f t="shared" si="43"/>
        <v>1</v>
      </c>
    </row>
    <row r="1409" spans="1:25" hidden="1">
      <c r="A1409" t="s">
        <v>7430</v>
      </c>
      <c r="B1409" t="s">
        <v>4336</v>
      </c>
      <c r="C1409">
        <v>1021</v>
      </c>
      <c r="D1409">
        <v>11</v>
      </c>
      <c r="E1409" t="s">
        <v>4389</v>
      </c>
      <c r="F1409" t="s">
        <v>4868</v>
      </c>
      <c r="J1409" t="s">
        <v>8668</v>
      </c>
      <c r="L1409">
        <f t="shared" si="42"/>
        <v>1</v>
      </c>
      <c r="M1409" t="s">
        <v>6424</v>
      </c>
      <c r="N1409" t="s">
        <v>6401</v>
      </c>
      <c r="O1409" t="s">
        <v>104</v>
      </c>
      <c r="P1409" t="s">
        <v>6425</v>
      </c>
      <c r="Q1409">
        <v>494260</v>
      </c>
      <c r="R1409" s="16" t="s">
        <v>8486</v>
      </c>
      <c r="S1409" s="16" t="s">
        <v>8190</v>
      </c>
      <c r="T1409" t="s">
        <v>7430</v>
      </c>
      <c r="U1409">
        <v>0</v>
      </c>
      <c r="V1409" t="s">
        <v>8654</v>
      </c>
      <c r="W1409" t="s">
        <v>104</v>
      </c>
      <c r="X1409" t="s">
        <v>8660</v>
      </c>
      <c r="Y1409">
        <f t="shared" si="43"/>
        <v>1</v>
      </c>
    </row>
    <row r="1410" spans="1:25" hidden="1">
      <c r="A1410" t="s">
        <v>7442</v>
      </c>
      <c r="B1410" t="s">
        <v>4952</v>
      </c>
      <c r="C1410">
        <v>1040</v>
      </c>
      <c r="D1410">
        <v>11</v>
      </c>
      <c r="E1410" t="s">
        <v>1444</v>
      </c>
      <c r="F1410" t="s">
        <v>4868</v>
      </c>
      <c r="J1410" t="s">
        <v>8835</v>
      </c>
      <c r="L1410">
        <f t="shared" ref="L1410:L1449" si="44">IF(M1410&lt;&gt;"",1,0)</f>
        <v>0</v>
      </c>
      <c r="R1410" s="16" t="s">
        <v>8064</v>
      </c>
      <c r="S1410" s="16" t="s">
        <v>8064</v>
      </c>
      <c r="T1410" t="s">
        <v>7845</v>
      </c>
      <c r="U1410">
        <v>1</v>
      </c>
      <c r="V1410" t="s">
        <v>8655</v>
      </c>
      <c r="X1410" t="s">
        <v>8660</v>
      </c>
      <c r="Y1410">
        <f t="shared" ref="Y1410:Y1449" si="45">IF(OR(V1410="Loc",V1410="IIIF"),1,0)</f>
        <v>0</v>
      </c>
    </row>
    <row r="1411" spans="1:25" hidden="1">
      <c r="A1411" t="s">
        <v>7424</v>
      </c>
      <c r="B1411" t="s">
        <v>4439</v>
      </c>
      <c r="C1411">
        <v>1106</v>
      </c>
      <c r="D1411">
        <v>12</v>
      </c>
      <c r="E1411" t="s">
        <v>4440</v>
      </c>
      <c r="F1411" t="s">
        <v>4868</v>
      </c>
      <c r="J1411" t="s">
        <v>9064</v>
      </c>
      <c r="L1411">
        <f t="shared" si="44"/>
        <v>1</v>
      </c>
      <c r="M1411" t="s">
        <v>4440</v>
      </c>
      <c r="N1411" t="s">
        <v>6318</v>
      </c>
      <c r="O1411" t="s">
        <v>104</v>
      </c>
      <c r="P1411" t="s">
        <v>6710</v>
      </c>
      <c r="Q1411" t="s">
        <v>6589</v>
      </c>
      <c r="R1411" s="16" t="s">
        <v>8484</v>
      </c>
      <c r="S1411" s="16" t="s">
        <v>8163</v>
      </c>
      <c r="T1411" t="s">
        <v>7424</v>
      </c>
      <c r="U1411">
        <v>1</v>
      </c>
      <c r="V1411" t="s">
        <v>8656</v>
      </c>
      <c r="W1411" t="s">
        <v>104</v>
      </c>
      <c r="X1411" t="s">
        <v>8660</v>
      </c>
      <c r="Y1411">
        <f t="shared" si="45"/>
        <v>1</v>
      </c>
    </row>
    <row r="1412" spans="1:25" hidden="1">
      <c r="A1412" t="s">
        <v>7434</v>
      </c>
      <c r="B1412" t="s">
        <v>4444</v>
      </c>
      <c r="C1412">
        <v>1110</v>
      </c>
      <c r="D1412">
        <v>12</v>
      </c>
      <c r="E1412" t="s">
        <v>4422</v>
      </c>
      <c r="F1412" t="s">
        <v>4868</v>
      </c>
      <c r="J1412" t="s">
        <v>8668</v>
      </c>
      <c r="L1412">
        <f t="shared" si="44"/>
        <v>1</v>
      </c>
      <c r="M1412" t="s">
        <v>4422</v>
      </c>
      <c r="N1412" t="s">
        <v>6296</v>
      </c>
      <c r="O1412" t="s">
        <v>104</v>
      </c>
      <c r="P1412" t="s">
        <v>6297</v>
      </c>
      <c r="Q1412">
        <v>474784</v>
      </c>
      <c r="R1412" s="16" t="s">
        <v>6297</v>
      </c>
      <c r="S1412" s="16" t="s">
        <v>8193</v>
      </c>
      <c r="T1412" t="s">
        <v>7846</v>
      </c>
      <c r="U1412">
        <v>0</v>
      </c>
      <c r="V1412" t="s">
        <v>8654</v>
      </c>
      <c r="W1412" t="s">
        <v>104</v>
      </c>
      <c r="X1412" t="s">
        <v>8660</v>
      </c>
      <c r="Y1412">
        <f t="shared" si="45"/>
        <v>1</v>
      </c>
    </row>
    <row r="1413" spans="1:25" hidden="1">
      <c r="A1413" t="s">
        <v>7440</v>
      </c>
      <c r="B1413" t="s">
        <v>4459</v>
      </c>
      <c r="C1413">
        <v>1130</v>
      </c>
      <c r="D1413">
        <v>12</v>
      </c>
      <c r="E1413" t="s">
        <v>1444</v>
      </c>
      <c r="F1413" t="s">
        <v>4868</v>
      </c>
      <c r="J1413" t="s">
        <v>8668</v>
      </c>
      <c r="L1413">
        <f t="shared" si="44"/>
        <v>0</v>
      </c>
      <c r="R1413" s="16" t="s">
        <v>8064</v>
      </c>
      <c r="S1413" s="16" t="s">
        <v>8064</v>
      </c>
      <c r="T1413" t="s">
        <v>7440</v>
      </c>
      <c r="U1413">
        <v>0</v>
      </c>
      <c r="V1413" t="s">
        <v>8655</v>
      </c>
      <c r="X1413" t="s">
        <v>8660</v>
      </c>
      <c r="Y1413">
        <f t="shared" si="45"/>
        <v>0</v>
      </c>
    </row>
    <row r="1414" spans="1:25" hidden="1">
      <c r="A1414" t="s">
        <v>7420</v>
      </c>
      <c r="B1414" t="s">
        <v>4948</v>
      </c>
      <c r="C1414">
        <v>1162</v>
      </c>
      <c r="D1414">
        <v>12</v>
      </c>
      <c r="E1414" t="s">
        <v>4477</v>
      </c>
      <c r="F1414" t="s">
        <v>4868</v>
      </c>
      <c r="J1414" t="s">
        <v>8668</v>
      </c>
      <c r="K1414" t="s">
        <v>8673</v>
      </c>
      <c r="L1414">
        <f t="shared" si="44"/>
        <v>1</v>
      </c>
      <c r="M1414" t="s">
        <v>4447</v>
      </c>
      <c r="N1414" t="s">
        <v>6509</v>
      </c>
      <c r="O1414" t="s">
        <v>104</v>
      </c>
      <c r="P1414" t="s">
        <v>6766</v>
      </c>
      <c r="Q1414" t="s">
        <v>6767</v>
      </c>
      <c r="R1414" s="16" t="s">
        <v>8363</v>
      </c>
      <c r="S1414" s="16" t="s">
        <v>8067</v>
      </c>
      <c r="T1414" t="s">
        <v>7420</v>
      </c>
      <c r="U1414">
        <v>0</v>
      </c>
      <c r="V1414" t="s">
        <v>8654</v>
      </c>
      <c r="W1414" t="s">
        <v>104</v>
      </c>
      <c r="X1414" t="s">
        <v>8660</v>
      </c>
      <c r="Y1414">
        <f t="shared" si="45"/>
        <v>1</v>
      </c>
    </row>
    <row r="1415" spans="1:25" hidden="1">
      <c r="A1415" t="s">
        <v>7437</v>
      </c>
      <c r="B1415" t="s">
        <v>4352</v>
      </c>
      <c r="C1415">
        <v>1163</v>
      </c>
      <c r="D1415">
        <v>12</v>
      </c>
      <c r="E1415" t="s">
        <v>1444</v>
      </c>
      <c r="F1415" t="s">
        <v>4868</v>
      </c>
      <c r="J1415" t="s">
        <v>8668</v>
      </c>
      <c r="L1415">
        <f t="shared" si="44"/>
        <v>0</v>
      </c>
      <c r="R1415" s="16" t="s">
        <v>8064</v>
      </c>
      <c r="S1415" s="16" t="s">
        <v>8064</v>
      </c>
      <c r="T1415" t="s">
        <v>7437</v>
      </c>
      <c r="U1415">
        <v>0</v>
      </c>
      <c r="V1415" t="s">
        <v>8655</v>
      </c>
      <c r="X1415" t="s">
        <v>8660</v>
      </c>
      <c r="Y1415">
        <f t="shared" si="45"/>
        <v>0</v>
      </c>
    </row>
    <row r="1416" spans="1:25" hidden="1">
      <c r="A1416" t="s">
        <v>7427</v>
      </c>
      <c r="B1416" t="s">
        <v>4489</v>
      </c>
      <c r="C1416">
        <v>1170</v>
      </c>
      <c r="D1416">
        <v>12</v>
      </c>
      <c r="E1416" t="s">
        <v>4366</v>
      </c>
      <c r="F1416" t="s">
        <v>4868</v>
      </c>
      <c r="J1416" t="s">
        <v>9066</v>
      </c>
      <c r="L1416">
        <f t="shared" si="44"/>
        <v>1</v>
      </c>
      <c r="M1416" t="s">
        <v>6646</v>
      </c>
      <c r="N1416" t="s">
        <v>6647</v>
      </c>
      <c r="O1416" t="s">
        <v>104</v>
      </c>
      <c r="P1416" t="s">
        <v>6648</v>
      </c>
      <c r="Q1416" t="s">
        <v>6649</v>
      </c>
      <c r="R1416" s="16" t="s">
        <v>8485</v>
      </c>
      <c r="S1416" s="16" t="s">
        <v>8189</v>
      </c>
      <c r="T1416" t="s">
        <v>7844</v>
      </c>
      <c r="U1416">
        <v>1</v>
      </c>
      <c r="V1416" t="s">
        <v>8656</v>
      </c>
      <c r="W1416" t="s">
        <v>104</v>
      </c>
      <c r="X1416" t="s">
        <v>8660</v>
      </c>
      <c r="Y1416">
        <f t="shared" si="45"/>
        <v>1</v>
      </c>
    </row>
    <row r="1417" spans="1:25" hidden="1">
      <c r="A1417" t="s">
        <v>7431</v>
      </c>
      <c r="B1417" t="s">
        <v>4849</v>
      </c>
      <c r="C1417">
        <v>1173</v>
      </c>
      <c r="D1417">
        <v>12</v>
      </c>
      <c r="E1417" t="s">
        <v>4361</v>
      </c>
      <c r="F1417" t="s">
        <v>4868</v>
      </c>
      <c r="J1417" t="s">
        <v>8668</v>
      </c>
      <c r="L1417">
        <f t="shared" si="44"/>
        <v>1</v>
      </c>
      <c r="M1417" t="s">
        <v>6424</v>
      </c>
      <c r="N1417" t="s">
        <v>6401</v>
      </c>
      <c r="O1417" t="s">
        <v>104</v>
      </c>
      <c r="P1417" t="s">
        <v>6425</v>
      </c>
      <c r="Q1417">
        <v>494260</v>
      </c>
      <c r="R1417" s="16" t="s">
        <v>8486</v>
      </c>
      <c r="S1417" s="16" t="s">
        <v>8190</v>
      </c>
      <c r="T1417" t="s">
        <v>7431</v>
      </c>
      <c r="U1417">
        <v>0</v>
      </c>
      <c r="V1417" t="s">
        <v>8654</v>
      </c>
      <c r="W1417" t="s">
        <v>104</v>
      </c>
      <c r="X1417" t="s">
        <v>8660</v>
      </c>
      <c r="Y1417">
        <f t="shared" si="45"/>
        <v>1</v>
      </c>
    </row>
    <row r="1418" spans="1:25" hidden="1">
      <c r="A1418" t="s">
        <v>7418</v>
      </c>
      <c r="B1418" t="s">
        <v>5024</v>
      </c>
      <c r="C1418">
        <v>1182</v>
      </c>
      <c r="D1418">
        <v>12</v>
      </c>
      <c r="E1418" t="s">
        <v>4506</v>
      </c>
      <c r="F1418" t="s">
        <v>4868</v>
      </c>
      <c r="J1418" t="s">
        <v>9063</v>
      </c>
      <c r="L1418">
        <f t="shared" si="44"/>
        <v>1</v>
      </c>
      <c r="M1418" t="s">
        <v>4367</v>
      </c>
      <c r="N1418" t="s">
        <v>6359</v>
      </c>
      <c r="O1418" t="s">
        <v>104</v>
      </c>
      <c r="P1418" t="s">
        <v>6491</v>
      </c>
      <c r="Q1418">
        <v>473940</v>
      </c>
      <c r="R1418" s="16" t="s">
        <v>8482</v>
      </c>
      <c r="S1418" s="16" t="s">
        <v>8187</v>
      </c>
      <c r="T1418" t="s">
        <v>7842</v>
      </c>
      <c r="U1418">
        <v>1</v>
      </c>
      <c r="V1418" t="s">
        <v>8656</v>
      </c>
      <c r="W1418" t="s">
        <v>104</v>
      </c>
      <c r="X1418" t="s">
        <v>8660</v>
      </c>
      <c r="Y1418">
        <f t="shared" si="45"/>
        <v>1</v>
      </c>
    </row>
    <row r="1419" spans="1:25" hidden="1">
      <c r="A1419" t="s">
        <v>7445</v>
      </c>
      <c r="B1419" t="s">
        <v>4975</v>
      </c>
      <c r="C1419">
        <v>1187</v>
      </c>
      <c r="D1419">
        <v>12</v>
      </c>
      <c r="E1419" t="s">
        <v>1444</v>
      </c>
      <c r="F1419" t="s">
        <v>4868</v>
      </c>
      <c r="J1419" t="s">
        <v>8668</v>
      </c>
      <c r="L1419">
        <f t="shared" si="44"/>
        <v>0</v>
      </c>
      <c r="R1419" s="16" t="s">
        <v>8064</v>
      </c>
      <c r="S1419" s="16" t="s">
        <v>8064</v>
      </c>
      <c r="T1419" t="s">
        <v>7445</v>
      </c>
      <c r="U1419">
        <v>0</v>
      </c>
      <c r="V1419" t="s">
        <v>8655</v>
      </c>
      <c r="X1419" t="s">
        <v>8660</v>
      </c>
      <c r="Y1419">
        <f t="shared" si="45"/>
        <v>0</v>
      </c>
    </row>
    <row r="1420" spans="1:25" hidden="1">
      <c r="A1420" t="s">
        <v>7448</v>
      </c>
      <c r="B1420" t="s">
        <v>4519</v>
      </c>
      <c r="C1420">
        <v>1211</v>
      </c>
      <c r="D1420">
        <v>13</v>
      </c>
      <c r="E1420" t="s">
        <v>1444</v>
      </c>
      <c r="F1420" t="s">
        <v>4868</v>
      </c>
      <c r="J1420" t="s">
        <v>8668</v>
      </c>
      <c r="L1420">
        <f t="shared" si="44"/>
        <v>0</v>
      </c>
      <c r="R1420" s="16" t="s">
        <v>8064</v>
      </c>
      <c r="S1420" s="16" t="s">
        <v>8064</v>
      </c>
      <c r="T1420" t="s">
        <v>7448</v>
      </c>
      <c r="U1420">
        <v>0</v>
      </c>
      <c r="V1420" t="s">
        <v>8655</v>
      </c>
      <c r="X1420" t="s">
        <v>8660</v>
      </c>
      <c r="Y1420">
        <f t="shared" si="45"/>
        <v>0</v>
      </c>
    </row>
    <row r="1421" spans="1:25" hidden="1">
      <c r="A1421" t="s">
        <v>7449</v>
      </c>
      <c r="B1421" t="s">
        <v>4519</v>
      </c>
      <c r="C1421">
        <v>1211</v>
      </c>
      <c r="D1421">
        <v>13</v>
      </c>
      <c r="E1421" t="s">
        <v>1444</v>
      </c>
      <c r="F1421" t="s">
        <v>4868</v>
      </c>
      <c r="J1421" t="s">
        <v>8668</v>
      </c>
      <c r="L1421">
        <f t="shared" si="44"/>
        <v>0</v>
      </c>
      <c r="R1421" s="16" t="s">
        <v>8064</v>
      </c>
      <c r="S1421" s="16" t="s">
        <v>8064</v>
      </c>
      <c r="T1421" t="s">
        <v>7449</v>
      </c>
      <c r="U1421">
        <v>0</v>
      </c>
      <c r="V1421" t="s">
        <v>8655</v>
      </c>
      <c r="X1421" t="s">
        <v>8660</v>
      </c>
      <c r="Y1421">
        <f t="shared" si="45"/>
        <v>0</v>
      </c>
    </row>
    <row r="1422" spans="1:25" hidden="1">
      <c r="A1422" t="s">
        <v>7450</v>
      </c>
      <c r="B1422" t="s">
        <v>4519</v>
      </c>
      <c r="C1422">
        <v>1211</v>
      </c>
      <c r="D1422">
        <v>13</v>
      </c>
      <c r="E1422" t="s">
        <v>1444</v>
      </c>
      <c r="F1422" t="s">
        <v>4868</v>
      </c>
      <c r="J1422" t="s">
        <v>8668</v>
      </c>
      <c r="L1422">
        <f t="shared" si="44"/>
        <v>0</v>
      </c>
      <c r="R1422" s="16" t="s">
        <v>8064</v>
      </c>
      <c r="S1422" s="16" t="s">
        <v>8064</v>
      </c>
      <c r="T1422" t="s">
        <v>7450</v>
      </c>
      <c r="U1422">
        <v>0</v>
      </c>
      <c r="V1422" t="s">
        <v>8655</v>
      </c>
      <c r="X1422" t="s">
        <v>8660</v>
      </c>
      <c r="Y1422">
        <f t="shared" si="45"/>
        <v>0</v>
      </c>
    </row>
    <row r="1423" spans="1:25" hidden="1">
      <c r="A1423" t="s">
        <v>7438</v>
      </c>
      <c r="B1423" t="s">
        <v>4949</v>
      </c>
      <c r="C1423">
        <v>1216</v>
      </c>
      <c r="D1423">
        <v>13</v>
      </c>
      <c r="E1423" t="s">
        <v>1444</v>
      </c>
      <c r="F1423" t="s">
        <v>4868</v>
      </c>
      <c r="J1423" t="s">
        <v>8833</v>
      </c>
      <c r="L1423">
        <f t="shared" si="44"/>
        <v>0</v>
      </c>
      <c r="R1423" s="16" t="s">
        <v>8064</v>
      </c>
      <c r="S1423" s="16" t="s">
        <v>8064</v>
      </c>
      <c r="T1423" t="s">
        <v>7847</v>
      </c>
      <c r="U1423">
        <v>1</v>
      </c>
      <c r="V1423" t="s">
        <v>8655</v>
      </c>
      <c r="X1423" t="s">
        <v>8660</v>
      </c>
      <c r="Y1423">
        <f t="shared" si="45"/>
        <v>0</v>
      </c>
    </row>
    <row r="1424" spans="1:25" hidden="1">
      <c r="A1424" t="s">
        <v>7425</v>
      </c>
      <c r="B1424" t="s">
        <v>4529</v>
      </c>
      <c r="C1424">
        <v>1226</v>
      </c>
      <c r="D1424">
        <v>13</v>
      </c>
      <c r="E1424" t="s">
        <v>4530</v>
      </c>
      <c r="F1424" t="s">
        <v>4868</v>
      </c>
      <c r="J1424" t="s">
        <v>9065</v>
      </c>
      <c r="L1424">
        <f t="shared" si="44"/>
        <v>1</v>
      </c>
      <c r="M1424" t="s">
        <v>4502</v>
      </c>
      <c r="N1424" t="s">
        <v>6456</v>
      </c>
      <c r="O1424" t="s">
        <v>104</v>
      </c>
      <c r="P1424">
        <v>23522</v>
      </c>
      <c r="Q1424">
        <v>488566</v>
      </c>
      <c r="R1424" s="16" t="s">
        <v>8364</v>
      </c>
      <c r="S1424" s="16" t="s">
        <v>8069</v>
      </c>
      <c r="T1424" t="s">
        <v>7425</v>
      </c>
      <c r="U1424">
        <v>1</v>
      </c>
      <c r="V1424" t="s">
        <v>8656</v>
      </c>
      <c r="W1424" t="s">
        <v>104</v>
      </c>
      <c r="X1424" t="s">
        <v>8660</v>
      </c>
      <c r="Y1424">
        <f t="shared" si="45"/>
        <v>1</v>
      </c>
    </row>
    <row r="1425" spans="1:25" hidden="1">
      <c r="A1425" t="s">
        <v>7443</v>
      </c>
      <c r="B1425" t="s">
        <v>4542</v>
      </c>
      <c r="C1425">
        <v>1240</v>
      </c>
      <c r="D1425">
        <v>13</v>
      </c>
      <c r="E1425" t="s">
        <v>1444</v>
      </c>
      <c r="F1425" t="s">
        <v>4868</v>
      </c>
      <c r="J1425" t="s">
        <v>8668</v>
      </c>
      <c r="L1425">
        <f t="shared" si="44"/>
        <v>0</v>
      </c>
      <c r="R1425" s="16" t="s">
        <v>8064</v>
      </c>
      <c r="S1425" s="16" t="s">
        <v>8064</v>
      </c>
      <c r="T1425" t="s">
        <v>7443</v>
      </c>
      <c r="U1425">
        <v>0</v>
      </c>
      <c r="V1425" t="s">
        <v>8655</v>
      </c>
      <c r="X1425" t="s">
        <v>8660</v>
      </c>
      <c r="Y1425">
        <f t="shared" si="45"/>
        <v>0</v>
      </c>
    </row>
    <row r="1426" spans="1:25" hidden="1">
      <c r="A1426" t="s">
        <v>7421</v>
      </c>
      <c r="B1426" t="s">
        <v>4974</v>
      </c>
      <c r="C1426">
        <v>1241</v>
      </c>
      <c r="D1426">
        <v>13</v>
      </c>
      <c r="E1426" t="s">
        <v>4359</v>
      </c>
      <c r="F1426" t="s">
        <v>4868</v>
      </c>
      <c r="J1426" t="s">
        <v>8668</v>
      </c>
      <c r="L1426">
        <f t="shared" si="44"/>
        <v>1</v>
      </c>
      <c r="M1426" t="s">
        <v>6758</v>
      </c>
      <c r="N1426" t="s">
        <v>6759</v>
      </c>
      <c r="O1426" t="s">
        <v>104</v>
      </c>
      <c r="P1426" t="s">
        <v>6760</v>
      </c>
      <c r="Q1426" t="s">
        <v>6761</v>
      </c>
      <c r="R1426" s="16" t="s">
        <v>8483</v>
      </c>
      <c r="S1426" s="16" t="s">
        <v>8188</v>
      </c>
      <c r="T1426" t="s">
        <v>7421</v>
      </c>
      <c r="U1426">
        <v>0</v>
      </c>
      <c r="V1426" t="s">
        <v>8654</v>
      </c>
      <c r="W1426" t="s">
        <v>104</v>
      </c>
      <c r="X1426" t="s">
        <v>8660</v>
      </c>
      <c r="Y1426">
        <f t="shared" si="45"/>
        <v>1</v>
      </c>
    </row>
    <row r="1427" spans="1:25" hidden="1">
      <c r="A1427" t="s">
        <v>7451</v>
      </c>
      <c r="B1427" t="s">
        <v>5025</v>
      </c>
      <c r="C1427">
        <v>1249</v>
      </c>
      <c r="D1427">
        <v>13</v>
      </c>
      <c r="E1427" t="s">
        <v>1444</v>
      </c>
      <c r="F1427" t="s">
        <v>4868</v>
      </c>
      <c r="J1427" t="s">
        <v>8836</v>
      </c>
      <c r="L1427">
        <f t="shared" si="44"/>
        <v>0</v>
      </c>
      <c r="R1427" s="16" t="s">
        <v>8064</v>
      </c>
      <c r="S1427" s="16" t="s">
        <v>8064</v>
      </c>
      <c r="T1427" t="s">
        <v>7451</v>
      </c>
      <c r="U1427">
        <v>1</v>
      </c>
      <c r="V1427" t="s">
        <v>8655</v>
      </c>
      <c r="X1427" t="s">
        <v>8660</v>
      </c>
      <c r="Y1427">
        <f t="shared" si="45"/>
        <v>0</v>
      </c>
    </row>
    <row r="1428" spans="1:25" hidden="1">
      <c r="A1428" t="s">
        <v>7422</v>
      </c>
      <c r="B1428" t="s">
        <v>5021</v>
      </c>
      <c r="C1428">
        <v>1253</v>
      </c>
      <c r="D1428">
        <v>13</v>
      </c>
      <c r="E1428" t="s">
        <v>4553</v>
      </c>
      <c r="F1428" t="s">
        <v>4868</v>
      </c>
      <c r="J1428" t="s">
        <v>8668</v>
      </c>
      <c r="L1428">
        <f t="shared" si="44"/>
        <v>1</v>
      </c>
      <c r="M1428" t="s">
        <v>4425</v>
      </c>
      <c r="N1428" t="s">
        <v>6315</v>
      </c>
      <c r="O1428" t="s">
        <v>104</v>
      </c>
      <c r="P1428">
        <v>10990</v>
      </c>
      <c r="Q1428">
        <v>494430</v>
      </c>
      <c r="R1428" s="16" t="s">
        <v>8453</v>
      </c>
      <c r="S1428" s="16" t="s">
        <v>8157</v>
      </c>
      <c r="T1428" t="s">
        <v>7422</v>
      </c>
      <c r="U1428">
        <v>0</v>
      </c>
      <c r="V1428" t="s">
        <v>8654</v>
      </c>
      <c r="W1428" t="s">
        <v>104</v>
      </c>
      <c r="X1428" t="s">
        <v>8660</v>
      </c>
      <c r="Y1428">
        <f t="shared" si="45"/>
        <v>1</v>
      </c>
    </row>
    <row r="1429" spans="1:25" hidden="1">
      <c r="A1429" t="s">
        <v>7444</v>
      </c>
      <c r="B1429" t="s">
        <v>4972</v>
      </c>
      <c r="C1429">
        <v>1263</v>
      </c>
      <c r="D1429">
        <v>13</v>
      </c>
      <c r="E1429" t="s">
        <v>1444</v>
      </c>
      <c r="F1429" t="s">
        <v>4868</v>
      </c>
      <c r="J1429" t="s">
        <v>8668</v>
      </c>
      <c r="L1429">
        <f t="shared" si="44"/>
        <v>0</v>
      </c>
      <c r="R1429" s="16" t="s">
        <v>8064</v>
      </c>
      <c r="S1429" s="16" t="s">
        <v>8064</v>
      </c>
      <c r="T1429" t="s">
        <v>7849</v>
      </c>
      <c r="U1429">
        <v>0</v>
      </c>
      <c r="V1429" t="s">
        <v>8655</v>
      </c>
      <c r="X1429" t="s">
        <v>8660</v>
      </c>
      <c r="Y1429">
        <f t="shared" si="45"/>
        <v>0</v>
      </c>
    </row>
    <row r="1430" spans="1:25" hidden="1">
      <c r="A1430" t="s">
        <v>1952</v>
      </c>
      <c r="B1430" t="s">
        <v>4953</v>
      </c>
      <c r="C1430">
        <v>1270</v>
      </c>
      <c r="D1430">
        <v>13</v>
      </c>
      <c r="E1430" t="s">
        <v>4580</v>
      </c>
      <c r="F1430" t="s">
        <v>4868</v>
      </c>
      <c r="J1430" t="s">
        <v>8668</v>
      </c>
      <c r="L1430">
        <f t="shared" si="44"/>
        <v>1</v>
      </c>
      <c r="M1430" t="s">
        <v>4580</v>
      </c>
      <c r="N1430" t="s">
        <v>6315</v>
      </c>
      <c r="O1430" t="s">
        <v>104</v>
      </c>
      <c r="P1430" t="s">
        <v>6316</v>
      </c>
      <c r="Q1430">
        <v>492770</v>
      </c>
      <c r="R1430" s="16" t="s">
        <v>8606</v>
      </c>
      <c r="S1430" s="16" t="s">
        <v>8312</v>
      </c>
      <c r="T1430" t="s">
        <v>1952</v>
      </c>
      <c r="U1430">
        <v>0</v>
      </c>
      <c r="V1430" t="s">
        <v>8654</v>
      </c>
      <c r="W1430" t="s">
        <v>104</v>
      </c>
      <c r="X1430" t="s">
        <v>8660</v>
      </c>
      <c r="Y1430">
        <f t="shared" si="45"/>
        <v>1</v>
      </c>
    </row>
    <row r="1431" spans="1:25" hidden="1">
      <c r="A1431" t="s">
        <v>7439</v>
      </c>
      <c r="B1431" t="s">
        <v>4568</v>
      </c>
      <c r="C1431">
        <v>1280</v>
      </c>
      <c r="D1431">
        <v>13</v>
      </c>
      <c r="E1431" t="s">
        <v>1444</v>
      </c>
      <c r="F1431" t="s">
        <v>4868</v>
      </c>
      <c r="J1431" t="s">
        <v>8668</v>
      </c>
      <c r="L1431">
        <f t="shared" si="44"/>
        <v>0</v>
      </c>
      <c r="R1431" s="16" t="s">
        <v>8064</v>
      </c>
      <c r="S1431" s="16" t="s">
        <v>8064</v>
      </c>
      <c r="T1431" t="s">
        <v>7439</v>
      </c>
      <c r="U1431">
        <v>0</v>
      </c>
      <c r="V1431" t="s">
        <v>8655</v>
      </c>
      <c r="X1431" t="s">
        <v>8660</v>
      </c>
      <c r="Y1431">
        <f t="shared" si="45"/>
        <v>0</v>
      </c>
    </row>
    <row r="1432" spans="1:25" hidden="1">
      <c r="A1432" t="s">
        <v>7626</v>
      </c>
      <c r="B1432" t="s">
        <v>4954</v>
      </c>
      <c r="C1432">
        <v>1144</v>
      </c>
      <c r="D1432">
        <v>12</v>
      </c>
      <c r="E1432" t="s">
        <v>1444</v>
      </c>
      <c r="F1432" t="s">
        <v>4827</v>
      </c>
      <c r="J1432" t="s">
        <v>8668</v>
      </c>
      <c r="L1432">
        <f t="shared" si="44"/>
        <v>0</v>
      </c>
      <c r="R1432" s="16" t="s">
        <v>8064</v>
      </c>
      <c r="S1432" s="16" t="s">
        <v>8064</v>
      </c>
      <c r="T1432" t="s">
        <v>7626</v>
      </c>
      <c r="U1432">
        <v>0</v>
      </c>
      <c r="V1432" t="s">
        <v>8655</v>
      </c>
      <c r="X1432" t="s">
        <v>8660</v>
      </c>
      <c r="Y1432">
        <f t="shared" si="45"/>
        <v>0</v>
      </c>
    </row>
    <row r="1433" spans="1:25" hidden="1">
      <c r="A1433" t="s">
        <v>7633</v>
      </c>
      <c r="B1433" t="s">
        <v>4519</v>
      </c>
      <c r="C1433">
        <v>1211</v>
      </c>
      <c r="D1433">
        <v>13</v>
      </c>
      <c r="E1433" t="s">
        <v>1444</v>
      </c>
      <c r="F1433" t="s">
        <v>4827</v>
      </c>
      <c r="J1433" t="s">
        <v>8668</v>
      </c>
      <c r="L1433">
        <f t="shared" si="44"/>
        <v>0</v>
      </c>
      <c r="R1433" s="16" t="s">
        <v>8064</v>
      </c>
      <c r="S1433" s="16" t="s">
        <v>8064</v>
      </c>
      <c r="T1433" t="s">
        <v>7633</v>
      </c>
      <c r="U1433">
        <v>0</v>
      </c>
      <c r="V1433" t="s">
        <v>8655</v>
      </c>
      <c r="X1433" t="s">
        <v>8660</v>
      </c>
      <c r="Y1433">
        <f t="shared" si="45"/>
        <v>0</v>
      </c>
    </row>
    <row r="1434" spans="1:25" hidden="1">
      <c r="A1434" t="s">
        <v>2109</v>
      </c>
      <c r="B1434" t="s">
        <v>5009</v>
      </c>
      <c r="C1434">
        <v>1151</v>
      </c>
      <c r="D1434">
        <v>12</v>
      </c>
      <c r="E1434" t="s">
        <v>4358</v>
      </c>
      <c r="F1434" t="s">
        <v>4870</v>
      </c>
      <c r="J1434" t="s">
        <v>8668</v>
      </c>
      <c r="L1434">
        <f t="shared" si="44"/>
        <v>1</v>
      </c>
      <c r="M1434" t="s">
        <v>4362</v>
      </c>
      <c r="N1434" t="s">
        <v>6373</v>
      </c>
      <c r="O1434" t="s">
        <v>104</v>
      </c>
      <c r="P1434">
        <v>46540</v>
      </c>
      <c r="Q1434">
        <v>464340</v>
      </c>
      <c r="R1434" s="16" t="s">
        <v>8392</v>
      </c>
      <c r="S1434" s="16" t="s">
        <v>8096</v>
      </c>
      <c r="T1434" t="s">
        <v>7993</v>
      </c>
      <c r="U1434">
        <v>0</v>
      </c>
      <c r="V1434" t="s">
        <v>8654</v>
      </c>
      <c r="W1434" t="s">
        <v>104</v>
      </c>
      <c r="X1434" t="s">
        <v>8660</v>
      </c>
      <c r="Y1434">
        <f t="shared" si="45"/>
        <v>1</v>
      </c>
    </row>
    <row r="1435" spans="1:25" hidden="1">
      <c r="A1435" t="s">
        <v>1749</v>
      </c>
      <c r="B1435" t="s">
        <v>4520</v>
      </c>
      <c r="C1435">
        <v>1215</v>
      </c>
      <c r="D1435">
        <v>13</v>
      </c>
      <c r="E1435" t="s">
        <v>4498</v>
      </c>
      <c r="F1435" t="s">
        <v>4870</v>
      </c>
      <c r="J1435" t="s">
        <v>8668</v>
      </c>
      <c r="L1435">
        <f t="shared" si="44"/>
        <v>1</v>
      </c>
      <c r="M1435" t="s">
        <v>4498</v>
      </c>
      <c r="N1435" t="s">
        <v>6395</v>
      </c>
      <c r="O1435" t="s">
        <v>104</v>
      </c>
      <c r="P1435">
        <v>11510</v>
      </c>
      <c r="Q1435">
        <v>490230</v>
      </c>
      <c r="R1435" s="16" t="s">
        <v>8487</v>
      </c>
      <c r="S1435" s="16" t="s">
        <v>8192</v>
      </c>
      <c r="T1435" t="s">
        <v>1749</v>
      </c>
      <c r="U1435">
        <v>0</v>
      </c>
      <c r="V1435" t="s">
        <v>8654</v>
      </c>
      <c r="W1435" t="s">
        <v>104</v>
      </c>
      <c r="X1435" t="s">
        <v>8660</v>
      </c>
      <c r="Y1435">
        <f t="shared" si="45"/>
        <v>1</v>
      </c>
    </row>
    <row r="1436" spans="1:25" hidden="1">
      <c r="A1436" t="s">
        <v>1751</v>
      </c>
      <c r="B1436" t="s">
        <v>4525</v>
      </c>
      <c r="C1436">
        <v>1228</v>
      </c>
      <c r="D1436">
        <v>13</v>
      </c>
      <c r="E1436" t="s">
        <v>4425</v>
      </c>
      <c r="F1436" t="s">
        <v>4870</v>
      </c>
      <c r="J1436" t="s">
        <v>8668</v>
      </c>
      <c r="L1436">
        <f t="shared" si="44"/>
        <v>1</v>
      </c>
      <c r="M1436" t="s">
        <v>4425</v>
      </c>
      <c r="N1436" t="s">
        <v>6315</v>
      </c>
      <c r="O1436" t="s">
        <v>104</v>
      </c>
      <c r="P1436">
        <v>10990</v>
      </c>
      <c r="Q1436">
        <v>494430</v>
      </c>
      <c r="R1436" s="16" t="s">
        <v>8453</v>
      </c>
      <c r="S1436" s="16" t="s">
        <v>8157</v>
      </c>
      <c r="T1436" t="s">
        <v>1751</v>
      </c>
      <c r="U1436">
        <v>0</v>
      </c>
      <c r="V1436" t="s">
        <v>8654</v>
      </c>
      <c r="W1436" t="s">
        <v>104</v>
      </c>
      <c r="X1436" t="s">
        <v>8660</v>
      </c>
      <c r="Y1436">
        <f t="shared" si="45"/>
        <v>1</v>
      </c>
    </row>
    <row r="1437" spans="1:25" hidden="1">
      <c r="A1437" t="s">
        <v>7226</v>
      </c>
      <c r="B1437" t="s">
        <v>1041</v>
      </c>
      <c r="C1437">
        <v>1297</v>
      </c>
      <c r="D1437">
        <v>13</v>
      </c>
      <c r="E1437" t="s">
        <v>112</v>
      </c>
      <c r="F1437" t="s">
        <v>1042</v>
      </c>
      <c r="H1437" t="s">
        <v>1043</v>
      </c>
      <c r="J1437" t="s">
        <v>8668</v>
      </c>
      <c r="L1437">
        <f t="shared" si="44"/>
        <v>1</v>
      </c>
      <c r="M1437" t="s">
        <v>6684</v>
      </c>
      <c r="N1437" t="s">
        <v>6346</v>
      </c>
      <c r="O1437" t="s">
        <v>12</v>
      </c>
      <c r="P1437" t="s">
        <v>6685</v>
      </c>
      <c r="Q1437" t="s">
        <v>6686</v>
      </c>
      <c r="R1437" s="16" t="s">
        <v>8420</v>
      </c>
      <c r="S1437" s="16" t="s">
        <v>8124</v>
      </c>
      <c r="T1437" t="s">
        <v>7226</v>
      </c>
      <c r="U1437">
        <v>0</v>
      </c>
      <c r="V1437" t="s">
        <v>8654</v>
      </c>
      <c r="W1437" t="s">
        <v>12</v>
      </c>
      <c r="X1437" t="s">
        <v>3012</v>
      </c>
      <c r="Y1437">
        <f t="shared" si="45"/>
        <v>1</v>
      </c>
    </row>
    <row r="1438" spans="1:25" hidden="1">
      <c r="A1438" t="s">
        <v>1770</v>
      </c>
      <c r="B1438" t="s">
        <v>4811</v>
      </c>
      <c r="C1438">
        <v>1297</v>
      </c>
      <c r="D1438">
        <v>13</v>
      </c>
      <c r="E1438" t="s">
        <v>1444</v>
      </c>
      <c r="F1438" t="s">
        <v>4870</v>
      </c>
      <c r="J1438" t="s">
        <v>8668</v>
      </c>
      <c r="L1438">
        <f t="shared" si="44"/>
        <v>0</v>
      </c>
      <c r="R1438" s="16" t="s">
        <v>8064</v>
      </c>
      <c r="S1438" s="16" t="s">
        <v>8064</v>
      </c>
      <c r="T1438" t="s">
        <v>1770</v>
      </c>
      <c r="U1438">
        <v>0</v>
      </c>
      <c r="V1438" t="s">
        <v>8655</v>
      </c>
      <c r="X1438" t="s">
        <v>8660</v>
      </c>
      <c r="Y1438">
        <f t="shared" si="45"/>
        <v>0</v>
      </c>
    </row>
    <row r="1439" spans="1:25" s="19" customFormat="1">
      <c r="A1439" s="19" t="s">
        <v>7662</v>
      </c>
      <c r="B1439" s="19" t="s">
        <v>1144</v>
      </c>
      <c r="C1439" s="19">
        <v>1087</v>
      </c>
      <c r="D1439" s="19">
        <v>11</v>
      </c>
      <c r="E1439" s="19" t="s">
        <v>12</v>
      </c>
      <c r="F1439" s="19" t="s">
        <v>1148</v>
      </c>
      <c r="G1439" s="19" t="e">
        <f>VLOOKUP(TRIM(F1439),[1]mss!$AA:$AA,1,0)</f>
        <v>#N/A</v>
      </c>
      <c r="J1439" s="19" t="s">
        <v>8668</v>
      </c>
      <c r="L1439" s="19">
        <f t="shared" si="44"/>
        <v>0</v>
      </c>
      <c r="R1439" s="21" t="s">
        <v>8064</v>
      </c>
      <c r="S1439" s="21" t="s">
        <v>8064</v>
      </c>
      <c r="T1439" s="19" t="s">
        <v>7662</v>
      </c>
      <c r="U1439" s="19">
        <v>0</v>
      </c>
      <c r="V1439" s="19" t="s">
        <v>8655</v>
      </c>
      <c r="X1439" s="19" t="s">
        <v>8661</v>
      </c>
      <c r="Y1439" s="19">
        <f t="shared" si="45"/>
        <v>0</v>
      </c>
    </row>
    <row r="1440" spans="1:25" hidden="1">
      <c r="A1440" t="s">
        <v>7210</v>
      </c>
      <c r="B1440" t="s">
        <v>1038</v>
      </c>
      <c r="C1440">
        <v>1298</v>
      </c>
      <c r="D1440">
        <v>13</v>
      </c>
      <c r="E1440" t="s">
        <v>4047</v>
      </c>
      <c r="F1440" t="s">
        <v>1039</v>
      </c>
      <c r="H1440" t="s">
        <v>1040</v>
      </c>
      <c r="I1440" t="s">
        <v>8928</v>
      </c>
      <c r="J1440" t="s">
        <v>8961</v>
      </c>
      <c r="L1440">
        <f t="shared" si="44"/>
        <v>1</v>
      </c>
      <c r="M1440" t="s">
        <v>6886</v>
      </c>
      <c r="N1440" t="s">
        <v>6346</v>
      </c>
      <c r="O1440" t="s">
        <v>12</v>
      </c>
      <c r="P1440" t="s">
        <v>6727</v>
      </c>
      <c r="Q1440" t="s">
        <v>6887</v>
      </c>
      <c r="R1440" s="16" t="s">
        <v>8402</v>
      </c>
      <c r="S1440" s="16" t="s">
        <v>8106</v>
      </c>
      <c r="T1440" t="s">
        <v>7210</v>
      </c>
      <c r="U1440">
        <v>1</v>
      </c>
      <c r="V1440" t="s">
        <v>8656</v>
      </c>
      <c r="W1440" t="s">
        <v>12</v>
      </c>
      <c r="X1440" t="s">
        <v>3012</v>
      </c>
      <c r="Y1440">
        <f t="shared" si="45"/>
        <v>1</v>
      </c>
    </row>
    <row r="1441" spans="1:25" hidden="1">
      <c r="A1441" t="s">
        <v>5589</v>
      </c>
      <c r="B1441" t="s">
        <v>5090</v>
      </c>
      <c r="C1441">
        <v>1072</v>
      </c>
      <c r="D1441">
        <v>11</v>
      </c>
      <c r="E1441" t="s">
        <v>5092</v>
      </c>
      <c r="F1441" t="s">
        <v>5128</v>
      </c>
      <c r="I1441" t="s">
        <v>8928</v>
      </c>
      <c r="J1441" s="5" t="s">
        <v>5043</v>
      </c>
      <c r="K1441" s="5" t="s">
        <v>2280</v>
      </c>
      <c r="L1441">
        <f t="shared" si="44"/>
        <v>1</v>
      </c>
      <c r="M1441" t="s">
        <v>6458</v>
      </c>
      <c r="N1441" t="s">
        <v>6295</v>
      </c>
      <c r="O1441" t="s">
        <v>11</v>
      </c>
      <c r="P1441">
        <v>138220</v>
      </c>
      <c r="Q1441">
        <v>414930</v>
      </c>
      <c r="R1441" s="16" t="s">
        <v>8370</v>
      </c>
      <c r="S1441" s="16" t="s">
        <v>8075</v>
      </c>
      <c r="T1441" t="s">
        <v>5589</v>
      </c>
      <c r="U1441">
        <v>1</v>
      </c>
      <c r="V1441" t="s">
        <v>8656</v>
      </c>
      <c r="W1441" t="s">
        <v>11</v>
      </c>
      <c r="X1441" t="s">
        <v>8665</v>
      </c>
      <c r="Y1441">
        <f t="shared" si="45"/>
        <v>1</v>
      </c>
    </row>
    <row r="1442" spans="1:25" hidden="1">
      <c r="A1442" t="s">
        <v>7094</v>
      </c>
      <c r="B1442" t="s">
        <v>414</v>
      </c>
      <c r="C1442">
        <v>1300</v>
      </c>
      <c r="D1442">
        <v>13</v>
      </c>
      <c r="E1442" t="s">
        <v>4088</v>
      </c>
      <c r="F1442" t="s">
        <v>799</v>
      </c>
      <c r="H1442" t="s">
        <v>800</v>
      </c>
      <c r="J1442" t="s">
        <v>8668</v>
      </c>
      <c r="L1442">
        <f t="shared" si="44"/>
        <v>1</v>
      </c>
      <c r="M1442" t="s">
        <v>6433</v>
      </c>
      <c r="N1442" t="s">
        <v>6434</v>
      </c>
      <c r="O1442" t="s">
        <v>12</v>
      </c>
      <c r="P1442">
        <v>-18260</v>
      </c>
      <c r="Q1442">
        <v>526830</v>
      </c>
      <c r="R1442" s="16" t="s">
        <v>8412</v>
      </c>
      <c r="S1442" s="16" t="s">
        <v>8115</v>
      </c>
      <c r="T1442" t="s">
        <v>7758</v>
      </c>
      <c r="U1442">
        <v>0</v>
      </c>
      <c r="V1442" t="s">
        <v>8654</v>
      </c>
      <c r="W1442" t="s">
        <v>12</v>
      </c>
      <c r="X1442" t="s">
        <v>8659</v>
      </c>
      <c r="Y1442">
        <f t="shared" si="45"/>
        <v>1</v>
      </c>
    </row>
    <row r="1443" spans="1:25" hidden="1">
      <c r="A1443" t="s">
        <v>7526</v>
      </c>
      <c r="B1443">
        <v>1290</v>
      </c>
      <c r="C1443">
        <v>1290</v>
      </c>
      <c r="D1443">
        <v>13</v>
      </c>
      <c r="E1443" t="s">
        <v>212</v>
      </c>
      <c r="F1443" t="s">
        <v>213</v>
      </c>
      <c r="J1443" t="s">
        <v>8668</v>
      </c>
      <c r="L1443">
        <f t="shared" si="44"/>
        <v>1</v>
      </c>
      <c r="M1443" t="s">
        <v>6492</v>
      </c>
      <c r="N1443" t="s">
        <v>6357</v>
      </c>
      <c r="O1443" t="s">
        <v>104</v>
      </c>
      <c r="P1443">
        <v>40830</v>
      </c>
      <c r="Q1443">
        <v>482970</v>
      </c>
      <c r="R1443" s="16" t="s">
        <v>8505</v>
      </c>
      <c r="S1443" s="16" t="s">
        <v>8211</v>
      </c>
      <c r="T1443" t="s">
        <v>7526</v>
      </c>
      <c r="U1443">
        <v>0</v>
      </c>
      <c r="V1443" t="s">
        <v>8654</v>
      </c>
      <c r="W1443" t="s">
        <v>104</v>
      </c>
      <c r="X1443" t="s">
        <v>8663</v>
      </c>
      <c r="Y1443">
        <f t="shared" si="45"/>
        <v>1</v>
      </c>
    </row>
    <row r="1444" spans="1:25" hidden="1">
      <c r="A1444" t="s">
        <v>7527</v>
      </c>
      <c r="B1444">
        <v>1290</v>
      </c>
      <c r="C1444">
        <v>1290</v>
      </c>
      <c r="D1444">
        <v>13</v>
      </c>
      <c r="E1444" t="s">
        <v>212</v>
      </c>
      <c r="F1444" t="s">
        <v>213</v>
      </c>
      <c r="J1444" t="s">
        <v>8668</v>
      </c>
      <c r="L1444">
        <f t="shared" si="44"/>
        <v>1</v>
      </c>
      <c r="M1444" t="s">
        <v>6492</v>
      </c>
      <c r="N1444" t="s">
        <v>6357</v>
      </c>
      <c r="O1444" t="s">
        <v>104</v>
      </c>
      <c r="P1444">
        <v>40830</v>
      </c>
      <c r="Q1444">
        <v>482970</v>
      </c>
      <c r="R1444" s="16" t="s">
        <v>8505</v>
      </c>
      <c r="S1444" s="16" t="s">
        <v>8211</v>
      </c>
      <c r="T1444" t="s">
        <v>7527</v>
      </c>
      <c r="U1444">
        <v>0</v>
      </c>
      <c r="V1444" t="s">
        <v>8654</v>
      </c>
      <c r="W1444" t="s">
        <v>104</v>
      </c>
      <c r="X1444" t="s">
        <v>8663</v>
      </c>
      <c r="Y1444">
        <f t="shared" si="45"/>
        <v>1</v>
      </c>
    </row>
    <row r="1445" spans="1:25" hidden="1">
      <c r="A1445" t="s">
        <v>7528</v>
      </c>
      <c r="B1445">
        <v>1290</v>
      </c>
      <c r="C1445">
        <v>1290</v>
      </c>
      <c r="D1445">
        <v>13</v>
      </c>
      <c r="E1445" t="s">
        <v>212</v>
      </c>
      <c r="F1445" t="s">
        <v>213</v>
      </c>
      <c r="J1445" t="s">
        <v>8668</v>
      </c>
      <c r="L1445">
        <f t="shared" si="44"/>
        <v>1</v>
      </c>
      <c r="M1445" t="s">
        <v>6492</v>
      </c>
      <c r="N1445" t="s">
        <v>6357</v>
      </c>
      <c r="O1445" t="s">
        <v>104</v>
      </c>
      <c r="P1445">
        <v>40830</v>
      </c>
      <c r="Q1445">
        <v>482970</v>
      </c>
      <c r="R1445" s="16" t="s">
        <v>8505</v>
      </c>
      <c r="S1445" s="16" t="s">
        <v>8211</v>
      </c>
      <c r="T1445" t="s">
        <v>7528</v>
      </c>
      <c r="U1445">
        <v>0</v>
      </c>
      <c r="V1445" t="s">
        <v>8654</v>
      </c>
      <c r="W1445" t="s">
        <v>104</v>
      </c>
      <c r="X1445" t="s">
        <v>8663</v>
      </c>
      <c r="Y1445">
        <f t="shared" si="45"/>
        <v>1</v>
      </c>
    </row>
    <row r="1446" spans="1:25" hidden="1">
      <c r="A1446" t="s">
        <v>2440</v>
      </c>
      <c r="B1446">
        <v>1249</v>
      </c>
      <c r="C1446">
        <v>1249</v>
      </c>
      <c r="D1446">
        <v>13</v>
      </c>
      <c r="E1446" t="s">
        <v>5770</v>
      </c>
      <c r="J1446" t="s">
        <v>8675</v>
      </c>
      <c r="K1446" s="5" t="s">
        <v>2441</v>
      </c>
      <c r="L1446">
        <f t="shared" si="44"/>
        <v>1</v>
      </c>
      <c r="M1446" t="s">
        <v>5770</v>
      </c>
      <c r="N1446" t="s">
        <v>6461</v>
      </c>
      <c r="O1446" t="s">
        <v>104</v>
      </c>
      <c r="P1446">
        <v>74360</v>
      </c>
      <c r="Q1446">
        <v>486360</v>
      </c>
      <c r="R1446" s="16" t="s">
        <v>8644</v>
      </c>
      <c r="S1446" s="16" t="s">
        <v>8189</v>
      </c>
      <c r="T1446" t="s">
        <v>2440</v>
      </c>
      <c r="U1446">
        <v>1</v>
      </c>
      <c r="V1446" t="s">
        <v>8654</v>
      </c>
      <c r="W1446" t="s">
        <v>104</v>
      </c>
      <c r="X1446" t="s">
        <v>8664</v>
      </c>
      <c r="Y1446">
        <f t="shared" si="45"/>
        <v>1</v>
      </c>
    </row>
    <row r="1447" spans="1:25" hidden="1">
      <c r="A1447" t="s">
        <v>2420</v>
      </c>
      <c r="B1447">
        <v>1260</v>
      </c>
      <c r="C1447">
        <v>1260</v>
      </c>
      <c r="D1447">
        <v>13</v>
      </c>
      <c r="E1447" t="s">
        <v>5777</v>
      </c>
      <c r="J1447" t="s">
        <v>8697</v>
      </c>
      <c r="K1447" s="5" t="s">
        <v>2421</v>
      </c>
      <c r="L1447">
        <f t="shared" si="44"/>
        <v>1</v>
      </c>
      <c r="M1447" t="s">
        <v>4549</v>
      </c>
      <c r="N1447" t="s">
        <v>6345</v>
      </c>
      <c r="O1447" t="s">
        <v>104</v>
      </c>
      <c r="P1447">
        <v>38770</v>
      </c>
      <c r="Q1447">
        <v>436110</v>
      </c>
      <c r="R1447" s="16" t="s">
        <v>8538</v>
      </c>
      <c r="S1447" s="16" t="s">
        <v>8243</v>
      </c>
      <c r="T1447" t="s">
        <v>2420</v>
      </c>
      <c r="U1447">
        <v>1</v>
      </c>
      <c r="V1447" t="s">
        <v>8654</v>
      </c>
      <c r="W1447" t="s">
        <v>104</v>
      </c>
      <c r="X1447" t="s">
        <v>8664</v>
      </c>
      <c r="Y1447">
        <f t="shared" si="45"/>
        <v>1</v>
      </c>
    </row>
    <row r="1448" spans="1:25" hidden="1">
      <c r="A1448" t="s">
        <v>2388</v>
      </c>
      <c r="B1448">
        <v>1282</v>
      </c>
      <c r="C1448">
        <v>1282</v>
      </c>
      <c r="D1448">
        <v>13</v>
      </c>
      <c r="E1448" t="s">
        <v>4502</v>
      </c>
      <c r="J1448" t="s">
        <v>8668</v>
      </c>
      <c r="K1448" s="5" t="s">
        <v>2389</v>
      </c>
      <c r="L1448">
        <f t="shared" si="44"/>
        <v>1</v>
      </c>
      <c r="M1448" t="s">
        <v>4502</v>
      </c>
      <c r="N1448" t="s">
        <v>6456</v>
      </c>
      <c r="O1448" t="s">
        <v>104</v>
      </c>
      <c r="P1448">
        <v>23522</v>
      </c>
      <c r="Q1448">
        <v>488566</v>
      </c>
      <c r="R1448" s="16" t="s">
        <v>8364</v>
      </c>
      <c r="S1448" s="16" t="s">
        <v>8069</v>
      </c>
      <c r="T1448" t="s">
        <v>2388</v>
      </c>
      <c r="U1448">
        <v>0</v>
      </c>
      <c r="V1448" t="s">
        <v>8654</v>
      </c>
      <c r="W1448" t="s">
        <v>104</v>
      </c>
      <c r="X1448" t="s">
        <v>8664</v>
      </c>
      <c r="Y1448">
        <f t="shared" si="45"/>
        <v>1</v>
      </c>
    </row>
    <row r="1449" spans="1:25" hidden="1">
      <c r="A1449" t="s">
        <v>2426</v>
      </c>
      <c r="B1449">
        <v>1288</v>
      </c>
      <c r="C1449">
        <v>1288</v>
      </c>
      <c r="D1449">
        <v>13</v>
      </c>
      <c r="E1449" t="s">
        <v>5777</v>
      </c>
      <c r="J1449" s="5" t="s">
        <v>8696</v>
      </c>
      <c r="K1449" s="5" t="s">
        <v>2427</v>
      </c>
      <c r="L1449">
        <f t="shared" si="44"/>
        <v>1</v>
      </c>
      <c r="M1449" t="s">
        <v>4549</v>
      </c>
      <c r="N1449" t="s">
        <v>6345</v>
      </c>
      <c r="O1449" t="s">
        <v>104</v>
      </c>
      <c r="P1449">
        <v>38770</v>
      </c>
      <c r="Q1449">
        <v>436110</v>
      </c>
      <c r="R1449" s="16" t="s">
        <v>8538</v>
      </c>
      <c r="S1449" s="16" t="s">
        <v>8243</v>
      </c>
      <c r="T1449" t="s">
        <v>2426</v>
      </c>
      <c r="U1449">
        <v>1</v>
      </c>
      <c r="V1449" t="s">
        <v>8654</v>
      </c>
      <c r="W1449" t="s">
        <v>104</v>
      </c>
      <c r="X1449" t="s">
        <v>8664</v>
      </c>
      <c r="Y1449">
        <f t="shared" si="45"/>
        <v>1</v>
      </c>
    </row>
    <row r="1450" spans="1:25" hidden="1">
      <c r="U1450">
        <f>SUM(U2:U1449)</f>
        <v>490</v>
      </c>
      <c r="Y1450">
        <f>SUM(Y2:Y1449)</f>
        <v>888</v>
      </c>
    </row>
  </sheetData>
  <autoFilter ref="D1:O1450" xr:uid="{9FE3D837-EECE-9540-AAC6-E0CCF068C8CF}">
    <filterColumn colId="1">
      <filters>
        <filter val="England"/>
        <filter val="England?"/>
        <filter val="England/Wales"/>
        <filter val="Llanbadarn Fawr, Wales"/>
      </filters>
    </filterColumn>
    <filterColumn colId="11">
      <filters blank="1">
        <filter val="Wales"/>
      </filters>
    </filterColumn>
  </autoFilter>
  <sortState xmlns:xlrd2="http://schemas.microsoft.com/office/spreadsheetml/2017/richdata2" ref="A100:Y1442">
    <sortCondition ref="C1:C1450"/>
  </sortState>
  <phoneticPr fontId="2" type="noConversion"/>
  <hyperlinks>
    <hyperlink ref="K988" r:id="rId1" xr:uid="{F2580975-1635-3C45-B366-95A8F6BB91DD}"/>
    <hyperlink ref="K992" r:id="rId2" xr:uid="{E70B098F-F02E-004F-B408-72CAF2F355FB}"/>
    <hyperlink ref="K1001" r:id="rId3" xr:uid="{FBD8EE81-4163-4549-A7DE-5EFA03735181}"/>
    <hyperlink ref="K984" r:id="rId4" xr:uid="{47DE7480-D78F-6A4D-A728-869020EE02BA}"/>
    <hyperlink ref="K986" r:id="rId5" xr:uid="{ECA1CCCC-D01B-9748-8100-8227B7104C4D}"/>
    <hyperlink ref="K978" r:id="rId6" xr:uid="{926EF128-B4A1-1842-8340-09287B7F9CC4}"/>
    <hyperlink ref="K999" r:id="rId7" xr:uid="{F324D260-2C03-8A4C-9381-E202770D890C}"/>
    <hyperlink ref="K991" r:id="rId8" xr:uid="{E680A300-6154-CA49-AB0D-0460D430D58C}"/>
    <hyperlink ref="K998" r:id="rId9" xr:uid="{F6171CF1-3C68-EE40-940C-3248ADEFD02A}"/>
    <hyperlink ref="K997" r:id="rId10" xr:uid="{3087E080-AE3E-904D-AD0A-EACCAD4AD099}"/>
    <hyperlink ref="K1441" r:id="rId11" xr:uid="{37A0BA71-C470-3842-B0AA-AF72DC0D9623}"/>
    <hyperlink ref="K200" r:id="rId12" xr:uid="{75DAA24E-4DA4-BB49-AF95-A0B57B04B991}"/>
    <hyperlink ref="J1001" r:id="rId13" xr:uid="{1DB9C5DC-F4AC-0741-93CC-C9A627DF756B}"/>
    <hyperlink ref="J984" r:id="rId14" xr:uid="{F6456049-D848-8845-BA30-9FD0CF46CA96}"/>
    <hyperlink ref="J1000" r:id="rId15" xr:uid="{9448A506-28A9-D346-8261-08E9E459F3DC}"/>
    <hyperlink ref="J986" r:id="rId16" xr:uid="{A3699578-059B-B54E-90A4-A6CD6FE4934F}"/>
    <hyperlink ref="J978" r:id="rId17" xr:uid="{3121AA29-5923-8743-82D1-F5E9509DABBF}"/>
    <hyperlink ref="J999" r:id="rId18" xr:uid="{9B3745CE-EE77-0842-B09B-D64E851F6617}"/>
    <hyperlink ref="J991" r:id="rId19" xr:uid="{F89F644F-C009-E54A-9714-F25F23BA79D7}"/>
    <hyperlink ref="J998" r:id="rId20" xr:uid="{FB3BBCAB-53E8-6942-9949-4BEA040A381B}"/>
    <hyperlink ref="J997" r:id="rId21" xr:uid="{A8B8FB79-FB4B-4C41-A48A-33994C9BA47C}"/>
    <hyperlink ref="J1002" r:id="rId22" xr:uid="{FB4800B6-D9EA-8E40-A0A6-C3B11AAC1BA0}"/>
    <hyperlink ref="J1441" r:id="rId23" xr:uid="{24D3A6BF-969B-564A-9D7E-D7D76058160A}"/>
    <hyperlink ref="J200" r:id="rId24" xr:uid="{F965FF2E-92E7-5E45-9415-6A4305E228F7}"/>
    <hyperlink ref="J987" r:id="rId25" display="https://www.mmdc.nl/static/site/search/?searchMode=advanced&amp;recordId=null&amp;selectedRecordId=null&amp;maximumRecords=15&amp;recordDisplayLevel=1&amp;startRecord=166&amp;showMap=1&amp;freetextsearch=CMD-NL+1&amp;shelfmark=Type+in+query...+%28autocompleted%29&amp;author=Type+in+query...+%28autocompleted%29&amp;title=Type+in+query...+%28autocompleted%29&amp;startyear=Type+in+query&amp;endyear=Type+in+query&amp;alt-title=Type+in+query...+%28autocompleted%29&amp;incipit=Type+in+query&amp;annotation_contents=Type+in+query&amp;contains=null&amp;language=null&amp;language_original=null&amp;translator=Type+in+query...+%28autocompleted%29&amp;type=null&amp;keyword=Type+in+query&amp;person=Type+in+query...+%28autocompleted%29&amp;medium=null&amp;script=Type+in+query&amp;scribe=Type+in+query...+%28autocompleted%29&amp;binding=null&amp;binder=Type+in+query...+%28autocompleted%29&amp;region=null&amp;place=Type+in+query&amp;patron=Type+in+query...+%28autocompleted%29&amp;collection=Type+in+query...+%28autocompleted%29" xr:uid="{7EE3BE86-C4B4-E546-9DDF-439C4B6A797B}"/>
    <hyperlink ref="J993" r:id="rId26" display="https://www.mmdc.nl/static/site/search/?searchMode=advanced&amp;recordId=null&amp;selectedRecordId=null&amp;maximumRecords=15&amp;recordDisplayLevel=1&amp;startRecord=241&amp;showMap=1&amp;freetextsearch=CMD-NL+1&amp;shelfmark=Type+in+query...+%28autocompleted%29&amp;author=Type+in+query...+%28autocompleted%29&amp;title=Type+in+query...+%28autocompleted%29&amp;startyear=Type+in+query&amp;endyear=Type+in+query&amp;alt-title=Type+in+query...+%28autocompleted%29&amp;incipit=Type+in+query&amp;annotation_contents=Type+in+query&amp;contains=null&amp;language=null&amp;language_original=null&amp;translator=Type+in+query...+%28autocompleted%29&amp;type=null&amp;keyword=Type+in+query&amp;person=Type+in+query...+%28autocompleted%29&amp;medium=null&amp;script=Type+in+query&amp;scribe=Type+in+query...+%28autocompleted%29&amp;binding=null&amp;binder=Type+in+query...+%28autocompleted%29&amp;region=null&amp;place=Type+in+query&amp;patron=Type+in+query...+%28autocompleted%29&amp;collection=Type+in+query...+%28autocompleted%29" xr:uid="{31B9B030-8DA3-0B45-A28D-EDADB21CC5C7}"/>
    <hyperlink ref="J1003" r:id="rId27" display="https://www.mmdc.nl/static/site/search/?searchMode=advanced&amp;recordId=null&amp;selectedRecordId=null&amp;maximumRecords=15&amp;recordDisplayLevel=1&amp;startRecord=241&amp;showMap=1&amp;freetextsearch=CMD-NL+1&amp;shelfmark=Type+in+query...+%28autocompleted%29&amp;author=Type+in+query...+%28autocompleted%29&amp;title=Type+in+query...+%28autocompleted%29&amp;startyear=Type+in+query&amp;endyear=Type+in+query&amp;alt-title=Type+in+query...+%28autocompleted%29&amp;incipit=Type+in+query&amp;annotation_contents=Type+in+query&amp;contains=null&amp;language=null&amp;language_original=null&amp;translator=Type+in+query...+%28autocompleted%29&amp;type=null&amp;keyword=Type+in+query&amp;person=Type+in+query...+%28autocompleted%29&amp;medium=null&amp;script=Type+in+query&amp;scribe=Type+in+query...+%28autocompleted%29&amp;binding=null&amp;binder=Type+in+query...+%28autocompleted%29&amp;region=null&amp;place=Type+in+query&amp;patron=Type+in+query...+%28autocompleted%29&amp;collection=Type+in+query...+%28autocompleted%29" xr:uid="{A026BE19-2036-DC47-B42C-233D4C0EDB95}"/>
    <hyperlink ref="J98" r:id="rId28" xr:uid="{7F3477A5-482E-CB49-B658-606E94DFDDD8}"/>
    <hyperlink ref="J52" r:id="rId29" xr:uid="{1AE0ECCD-CEEC-644A-853A-78E225F31A6E}"/>
    <hyperlink ref="J9" r:id="rId30" xr:uid="{EDC86A08-F40A-9540-AAA8-FE404B3DF5DD}"/>
    <hyperlink ref="J8" r:id="rId31" xr:uid="{C43AFB0D-6174-7C42-B1BF-89795D1FEF91}"/>
    <hyperlink ref="J32" r:id="rId32" xr:uid="{A830FBF0-3DDD-6B48-ADEB-5418836BDE22}"/>
    <hyperlink ref="K12" r:id="rId33" xr:uid="{BF796533-D7B9-764C-B265-D50869580814}"/>
    <hyperlink ref="J38" r:id="rId34" xr:uid="{781327E9-C6B7-E84A-8C4F-B3935DDEA99C}"/>
    <hyperlink ref="J34" r:id="rId35" xr:uid="{17047D9D-7BE5-D141-AD03-9570302417ED}"/>
    <hyperlink ref="J1168" r:id="rId36" xr:uid="{DDD374A1-172D-ED4E-9DD3-26AF31DCAE73}"/>
    <hyperlink ref="K1168" r:id="rId37" xr:uid="{C31E4843-E4D1-F54B-8FBC-F49E559AA79E}"/>
    <hyperlink ref="K1142" r:id="rId38" xr:uid="{1231B965-4B0E-3C45-B554-9E0B8915DE25}"/>
    <hyperlink ref="K1130" r:id="rId39" xr:uid="{D1047FF5-8306-5D4C-BC81-611523A03193}"/>
    <hyperlink ref="K1153" r:id="rId40" xr:uid="{EC24BDDA-6E8C-EC40-AE52-E536FC8CAE46}"/>
    <hyperlink ref="K1257" r:id="rId41" xr:uid="{AEF2925D-0BF6-754F-B848-5EEFBC48A113}"/>
    <hyperlink ref="K1248" r:id="rId42" xr:uid="{E0F1EBF7-FB5E-814D-A45A-8E648DEF6CE9}"/>
    <hyperlink ref="K1254" r:id="rId43" xr:uid="{B4083EEE-9695-C746-86FB-B526E780CB43}"/>
    <hyperlink ref="K1259" r:id="rId44" xr:uid="{9FAAECBF-D1FD-8046-91B8-DCB6B327C627}"/>
    <hyperlink ref="K1446" r:id="rId45" xr:uid="{5318000C-B261-5340-86F5-CC4A0BDCD871}"/>
    <hyperlink ref="K1250" r:id="rId46" xr:uid="{F649E3E6-0B7D-574B-BE80-5EB8D78EE110}"/>
    <hyperlink ref="K1249" r:id="rId47" xr:uid="{D86DB161-FD01-B340-A216-179AFD2BACEE}"/>
    <hyperlink ref="K1447" r:id="rId48" xr:uid="{95B1B0CD-D031-EB45-8024-9891D3FF007A}"/>
    <hyperlink ref="K1262" r:id="rId49" xr:uid="{B6E3E645-BDB2-1D44-A49A-D2B5FB10AF09}"/>
    <hyperlink ref="K1251" r:id="rId50" xr:uid="{D9029183-E3BD-0B49-A499-E8295F6D10B1}"/>
    <hyperlink ref="K1449" r:id="rId51" xr:uid="{1D01643D-560E-3149-A701-070A2C425669}"/>
    <hyperlink ref="J1256" r:id="rId52" xr:uid="{E64B87F4-61E1-E242-A2C4-811398A9BA22}"/>
    <hyperlink ref="K1252" r:id="rId53" xr:uid="{65C78E6B-280D-484F-9207-9A3B93454DFE}"/>
    <hyperlink ref="K1253" r:id="rId54" xr:uid="{D31419A8-88EF-EF43-B71D-36F78C8E35D4}"/>
    <hyperlink ref="K1265" r:id="rId55" xr:uid="{CFC8B8EA-64F6-7C4F-8E26-34A58A9BE4B7}"/>
    <hyperlink ref="K1266" r:id="rId56" xr:uid="{174181F5-3544-114F-AEB2-D8BF4A7ED018}"/>
    <hyperlink ref="K1263" r:id="rId57" xr:uid="{BF2897F3-3517-AD41-848B-0B16D485FBEB}"/>
    <hyperlink ref="K1258" r:id="rId58" xr:uid="{9AC59F54-C194-854E-9A62-7EB7108B257C}"/>
    <hyperlink ref="K1448" r:id="rId59" xr:uid="{D765538E-E083-FE44-87C9-AE50711A1C57}"/>
    <hyperlink ref="K1267" r:id="rId60" xr:uid="{61B95D0A-44CA-3B47-94B6-60B3C07525AC}"/>
    <hyperlink ref="K1268" r:id="rId61" xr:uid="{B9B8FB8E-9C9C-014E-8BFE-99609132D068}"/>
    <hyperlink ref="K1261" r:id="rId62" xr:uid="{78B604AA-CD3A-A24C-BEC0-A9296313EB20}"/>
    <hyperlink ref="K1264" r:id="rId63" xr:uid="{9C11DCF9-4F1D-374F-B531-F6F98168A57B}"/>
    <hyperlink ref="K1260" r:id="rId64" xr:uid="{71F2B4E1-8C51-E348-BE72-43216F4CFF6F}"/>
    <hyperlink ref="T57" r:id="rId65" display="https://manuscripta.at/?ID=26856" xr:uid="{F8BF5DD9-074B-A74D-8683-590730B33232}"/>
    <hyperlink ref="T8" r:id="rId66" display="https://manuscripta.at/?ID=26062" xr:uid="{CF43CBBF-4EE6-D34A-BD54-6B38F9420B4B}"/>
    <hyperlink ref="T71" r:id="rId67" display="https://manuscripta.at/?ID=26896" xr:uid="{2782C193-C132-9740-A2C8-634BDE83DFF5}"/>
    <hyperlink ref="T63" r:id="rId68" display="https://manuscripta.at/?ID=26937" xr:uid="{28EC04B9-B543-E943-BDC4-28024CAC897F}"/>
    <hyperlink ref="T64" r:id="rId69" display="https://manuscripta.at/?ID=26968" xr:uid="{3A8EA7DB-9EB6-3E49-B600-BBAC08AD01CB}"/>
    <hyperlink ref="T51" r:id="rId70" display="https://manuscripta.at/?ID=5978" xr:uid="{92A1D0E1-A98C-5548-9DBB-00357099A38C}"/>
    <hyperlink ref="T49" r:id="rId71" display="https://manuscripta.at/?ID=6039" xr:uid="{E8AD289B-7A9B-9C45-AC76-10BC3A6D2C13}"/>
    <hyperlink ref="T6" r:id="rId72" display="https://manuscripta.at/?ID=7768" xr:uid="{6BE8EEBA-053F-2640-AA1D-B850936958EB}"/>
    <hyperlink ref="T7" r:id="rId73" display="https://manuscripta.at/?ID=33981" xr:uid="{F4E7D4E2-A882-C341-AB6B-077BDE6699D1}"/>
    <hyperlink ref="T56" r:id="rId74" display="https://manuscripta.at/?ID=6165" xr:uid="{69C2F4F0-307B-0A43-8B9E-AB852B95B887}"/>
    <hyperlink ref="T50" r:id="rId75" display="https://manuscripta.at/?ID=5978" xr:uid="{45211176-C4A5-154A-A27F-C1819D8D5367}"/>
    <hyperlink ref="A50" r:id="rId76" display="https://manuscripta.at/?ID=5978" xr:uid="{6FE7E017-90FF-4C47-B626-1164AB9F88DE}"/>
    <hyperlink ref="A56" r:id="rId77" display="https://manuscripta.at/?ID=6165" xr:uid="{F92428A4-F04C-7D48-B2A2-91BFAA9A867F}"/>
    <hyperlink ref="A7" r:id="rId78" display="https://manuscripta.at/?ID=33981" xr:uid="{8F1DE40D-530F-814C-9615-4FD20FDC40F1}"/>
    <hyperlink ref="A6" r:id="rId79" display="https://manuscripta.at/?ID=7768" xr:uid="{4CEFBBF0-FC28-9B4D-A40C-B7F99CC035B7}"/>
    <hyperlink ref="A49" r:id="rId80" display="https://manuscripta.at/?ID=6039" xr:uid="{39C611BB-52E3-8F42-B07E-6EB0A30EAC88}"/>
    <hyperlink ref="A51" r:id="rId81" display="https://manuscripta.at/?ID=5978" xr:uid="{46F75AE7-9FEE-6D4C-9BBF-8A1256D5A3C6}"/>
    <hyperlink ref="A64" r:id="rId82" display="https://manuscripta.at/?ID=26968" xr:uid="{2E5EFC98-F7FD-D54F-9745-3E4750FACB0B}"/>
    <hyperlink ref="A63" r:id="rId83" display="https://manuscripta.at/?ID=26937" xr:uid="{E22709DC-4F43-A84F-A450-B5FE6A51C1B8}"/>
    <hyperlink ref="A71" r:id="rId84" display="https://manuscripta.at/?ID=26896" xr:uid="{0A0A92D0-5511-8848-9B92-9B6861DAE5ED}"/>
    <hyperlink ref="A8" r:id="rId85" display="https://manuscripta.at/?ID=26062" xr:uid="{95DD40AB-DC92-2944-8079-144A63175FDF}"/>
    <hyperlink ref="A57" r:id="rId86" display="https://manuscripta.at/?ID=26856" xr:uid="{2E786EF6-7BAA-0543-9F08-5ABC1ABABC00}"/>
    <hyperlink ref="J192" r:id="rId87" xr:uid="{70B7C803-F779-9644-B598-16A422371DD1}"/>
    <hyperlink ref="J328" r:id="rId88" xr:uid="{B7CA65AC-05FB-B648-AA39-988032D0392F}"/>
    <hyperlink ref="J323" r:id="rId89" xr:uid="{5E91A3C3-6238-CF46-8D7C-528D6EA38CE6}"/>
    <hyperlink ref="J329" r:id="rId90" xr:uid="{B3FAB9EA-9FDA-F549-A5E1-38B387511A2E}"/>
    <hyperlink ref="J1030" r:id="rId91" xr:uid="{6BC6D4D7-D534-C742-A6D4-D205E17F2085}"/>
    <hyperlink ref="J338" r:id="rId92" xr:uid="{64448D42-BA5C-7843-A3E1-65B32A952634}"/>
    <hyperlink ref="J324" r:id="rId93" xr:uid="{5B22DD18-C72D-2045-BD7E-D24F3AE5A5B2}"/>
    <hyperlink ref="J164:J165" r:id="rId94" display="https://mss-cat.trin.cam.ac.uk/Manuscript/B.5.5/manifest.json" xr:uid="{CC849EE5-981B-B845-96C8-A771A9D1C800}"/>
    <hyperlink ref="J336" r:id="rId95" xr:uid="{EBC38B0F-F874-2141-A894-F93B981D1BE8}"/>
    <hyperlink ref="J337" r:id="rId96" xr:uid="{F9F6BF55-B5A3-4A40-8C16-F8F31F29A29E}"/>
    <hyperlink ref="J139" r:id="rId97" xr:uid="{8721B4E1-3922-314C-A0D4-08E2E3B3AA90}"/>
    <hyperlink ref="J264" r:id="rId98" xr:uid="{7D621D86-2D01-3A44-837F-628A33DC02E2}"/>
    <hyperlink ref="J261" r:id="rId99" xr:uid="{7AB31F93-49EF-3748-939A-DB4BF0B42854}"/>
    <hyperlink ref="J219" r:id="rId100" xr:uid="{268D0046-5ECF-9B42-91FB-341EDCD92117}"/>
    <hyperlink ref="J1449" r:id="rId101" xr:uid="{FD5696DB-3C01-F64A-901A-FB4103250511}"/>
    <hyperlink ref="J1386" r:id="rId102" xr:uid="{C74717C3-830A-974D-BF79-34A1180DA747}"/>
    <hyperlink ref="J1385" r:id="rId103" xr:uid="{67FED73B-440E-1742-B869-78667FAF9D5B}"/>
    <hyperlink ref="J133" r:id="rId104" xr:uid="{A4BEAE6A-A31E-AF42-9F1D-C26428770EA1}"/>
    <hyperlink ref="J240" r:id="rId105" xr:uid="{F2D093C0-36D4-AE4B-A06D-CB15884CF81B}"/>
    <hyperlink ref="J226" r:id="rId106" xr:uid="{5DBF6718-F943-2747-AEB7-8C6E5551114A}"/>
    <hyperlink ref="J225" r:id="rId107" xr:uid="{37D680BA-BAEE-A34B-8C1F-D1EE774D52FF}"/>
    <hyperlink ref="J175" r:id="rId108" xr:uid="{953FEAA3-0ED9-CC4C-95CE-324CA445301B}"/>
    <hyperlink ref="K220" r:id="rId109" xr:uid="{453B0AFA-EC68-B344-96F3-5765D0C17878}"/>
    <hyperlink ref="J736" r:id="rId110" xr:uid="{87DE2AF6-4D46-C944-8CFA-AAEF89C1F2D8}"/>
    <hyperlink ref="K1126" r:id="rId111" location="alvin-record%3A473725" display="https://www.alvin-portal.org/alvin/view.jsf?aq=%5B%5B%7B%22A_FQ%22%3A%22Katalog+der+datierten+Handschriften%22%7D%5D%5D&amp;c=46&amp;aqe=%5B%5D&amp;af=%5B%5D&amp;searchType=TEXT&amp;query=Katalog+der+datierten+Handschriften&amp;pid=alvin-record%3A473725&amp;dswid=-4160#alvin-record%3A473725" xr:uid="{00E67968-0EA1-4C46-AF3A-AE355D6D846F}"/>
    <hyperlink ref="K84" r:id="rId112" xr:uid="{3C4A7B5E-1490-2C4F-B376-0FF7E38A6DFC}"/>
    <hyperlink ref="J84" r:id="rId113" xr:uid="{3FBC1070-52C2-4B43-91B0-3C2F3515812A}"/>
    <hyperlink ref="J23" r:id="rId114" xr:uid="{5AC19DBC-3988-FC4F-AB34-B20C6D5B9A2B}"/>
    <hyperlink ref="J25" r:id="rId115" xr:uid="{CA333D87-1113-4F49-8A8A-EF249CCF0A38}"/>
    <hyperlink ref="J29" r:id="rId116" xr:uid="{E223152E-A632-A94E-822C-3EB0CB085CED}"/>
    <hyperlink ref="J37" r:id="rId117" xr:uid="{FFC13230-4118-4E47-9243-AA2B29B3AB2E}"/>
    <hyperlink ref="J30" r:id="rId118" xr:uid="{B785F0BD-33E0-4942-BAC3-097D8DB47CAB}"/>
    <hyperlink ref="J31" r:id="rId119" xr:uid="{810FD4FA-4ABA-EB42-8673-F9E0C1B187BB}"/>
    <hyperlink ref="J51" r:id="rId120" xr:uid="{A86173BD-5DCF-EF4C-8966-B67FE01A80D9}"/>
    <hyperlink ref="J64" r:id="rId121" xr:uid="{DB6A7651-BBA3-FE42-A646-0E654CACBA0B}"/>
    <hyperlink ref="J71" r:id="rId122" xr:uid="{60447F32-EEBB-F641-9602-C1527AAE2057}"/>
    <hyperlink ref="J550" r:id="rId123" xr:uid="{2054F385-4822-B14C-9629-BCF8D760AB43}"/>
    <hyperlink ref="J1169" r:id="rId124" xr:uid="{4CB13FBA-2054-AD49-8889-08EB6A5C9A88}"/>
    <hyperlink ref="K1162" r:id="rId125" xr:uid="{676361D5-8731-E54A-ADFE-3284F2F2E1DA}"/>
    <hyperlink ref="J1162" r:id="rId126" xr:uid="{03C31E53-75BE-164C-B5B0-7B14DC3C8EF9}"/>
    <hyperlink ref="J1202" r:id="rId127" xr:uid="{2535ECD5-FB2D-5040-8389-EB2211EC553A}"/>
    <hyperlink ref="J1204" r:id="rId128" xr:uid="{543BC89D-B642-DD4A-BB68-C8B3FBB84D8C}"/>
    <hyperlink ref="J1203" r:id="rId129" xr:uid="{6A01B2C6-74ED-7E46-86F7-1D31176E27A3}"/>
    <hyperlink ref="J1164" r:id="rId130" xr:uid="{FCC795D6-CABB-0C45-9AA6-F9DB7D7F1BDF}"/>
    <hyperlink ref="J1173" r:id="rId131" xr:uid="{D35D78A7-93F4-B340-B4AF-67DD950BB6C5}"/>
    <hyperlink ref="J1172" r:id="rId132" xr:uid="{BD92983F-3215-1B48-A909-E6364C5BB641}"/>
    <hyperlink ref="J1174" r:id="rId133" xr:uid="{EFF0931A-22BD-F44F-96EA-08863484A6D0}"/>
    <hyperlink ref="J1175" r:id="rId134" xr:uid="{2B8038A2-1F21-1F46-A34D-0433F61FE274}"/>
    <hyperlink ref="J1176" r:id="rId135" xr:uid="{6F000607-DC7D-9E4D-BC6B-5C4416EA29FD}"/>
    <hyperlink ref="J1211" r:id="rId136" xr:uid="{BBA6D9FE-9FB2-F941-910A-D9293217D91A}"/>
    <hyperlink ref="J1177" r:id="rId137" xr:uid="{93D0F79B-BE18-5C47-8A37-569D431C7E5B}"/>
    <hyperlink ref="J1178" r:id="rId138" xr:uid="{55C1D609-2BD9-4548-AE68-0DBF182A8AD2}"/>
    <hyperlink ref="J1179" r:id="rId139" xr:uid="{C9D480BA-7C21-9846-834C-62A0BC7BE9BF}"/>
    <hyperlink ref="J1180" r:id="rId140" xr:uid="{9E939336-2A18-0143-98B0-947A77D8C141}"/>
    <hyperlink ref="J1181" r:id="rId141" xr:uid="{E97DD07D-3F9F-9B44-BACE-419C80C17947}"/>
    <hyperlink ref="J1182" r:id="rId142" xr:uid="{33CA934C-E6CE-4744-ACE1-315221F9C6E2}"/>
    <hyperlink ref="J1183" r:id="rId143" xr:uid="{AE083D7A-D6D2-B24B-B589-9C0284ED5DBC}"/>
    <hyperlink ref="J1184" r:id="rId144" xr:uid="{1EAD6691-5585-A843-8FAC-E1C5A0F32837}"/>
    <hyperlink ref="J1185" r:id="rId145" xr:uid="{22D8F0B2-652F-814B-A80D-D3ABA17FD769}"/>
    <hyperlink ref="J1207" r:id="rId146" xr:uid="{FF37B316-60F5-3743-8619-C3C19D0E6D2C}"/>
    <hyperlink ref="J1186" r:id="rId147" xr:uid="{692A770E-3BBE-3B41-A2D1-3EFE8DE463F9}"/>
    <hyperlink ref="J1187" r:id="rId148" xr:uid="{37E5CF7D-9F2E-304F-ABC1-612EFAF91C21}"/>
    <hyperlink ref="J1188" r:id="rId149" xr:uid="{3D2D6190-F637-534E-9BE3-3A387469DF1E}"/>
    <hyperlink ref="J1189" r:id="rId150" xr:uid="{FF9C67A7-F2C1-5F40-8EE9-7E9443144CAF}"/>
    <hyperlink ref="J1190" r:id="rId151" xr:uid="{96E7A1D5-40B0-B043-96D1-A0444AAC61A6}"/>
    <hyperlink ref="J1191" r:id="rId152" xr:uid="{1A7F8121-FF2F-A340-A222-F7D1EAFB950E}"/>
    <hyperlink ref="J1213" r:id="rId153" xr:uid="{6FCD2CC7-2895-3347-9613-17CE867A75E7}"/>
    <hyperlink ref="J1210" r:id="rId154" xr:uid="{C729D1D3-63C6-0349-B4EA-36819E2E2E0F}"/>
    <hyperlink ref="J1216" r:id="rId155" xr:uid="{848457B4-08BA-CC44-A9AE-0C74170EE8D2}"/>
    <hyperlink ref="J1194" r:id="rId156" xr:uid="{C925DC51-5F01-9D46-BB14-C2D0008BDE9C}"/>
    <hyperlink ref="J1192" r:id="rId157" xr:uid="{86FE45FC-6D2F-7740-B571-6BF212650B44}"/>
    <hyperlink ref="J1193" r:id="rId158" xr:uid="{E05DE142-518E-194B-97DE-7ABD23B2B8F8}"/>
    <hyperlink ref="J1195" r:id="rId159" xr:uid="{209E96EB-A317-ED43-A73B-83029825E6FE}"/>
    <hyperlink ref="J1214" r:id="rId160" xr:uid="{0A71774E-0F34-754F-B5AD-3AC2249B088F}"/>
    <hyperlink ref="J1196" r:id="rId161" xr:uid="{AE92C00F-DB0F-0541-8580-2A0649401CF0}"/>
    <hyperlink ref="J1198" r:id="rId162" xr:uid="{460FEB20-CC93-6E4A-9751-7D5D5641F1F2}"/>
    <hyperlink ref="J1199" r:id="rId163" xr:uid="{23D2F698-1E27-7F4D-BF11-8626CCF30EE0}"/>
    <hyperlink ref="J1200" r:id="rId164" xr:uid="{38B2AE13-8BDB-0D49-9201-F6A1BBFC03D9}"/>
    <hyperlink ref="J1201" r:id="rId165" xr:uid="{B1C60EDD-E5E5-EA4A-9981-10FD70BE65F1}"/>
    <hyperlink ref="J1212" r:id="rId166" xr:uid="{21F0AFC6-E8DD-4A49-B265-33EFADD97AA1}"/>
    <hyperlink ref="J1255" r:id="rId167" xr:uid="{F1561519-CA2B-B840-A9E8-0F7C6DF73893}"/>
    <hyperlink ref="J1248" r:id="rId168" xr:uid="{8ABD1B88-3F79-1740-86FE-7972A21A9CB5}"/>
    <hyperlink ref="J1260" r:id="rId169" xr:uid="{1420BF8D-5F77-6343-88F1-B34BA5B66518}"/>
    <hyperlink ref="J1249" r:id="rId170" xr:uid="{841D6729-8E8A-5A4B-A6E0-1CD92C06AAD9}"/>
    <hyperlink ref="J1266" r:id="rId171" xr:uid="{77AEEB8D-5D20-444D-819D-E120E92C93C0}"/>
    <hyperlink ref="J1253" r:id="rId172" xr:uid="{EFDE788B-8B0B-6F4B-844A-BAB47A35C2E7}"/>
    <hyperlink ref="J1265" r:id="rId173" xr:uid="{4D292F56-DB86-184C-905F-0A595A355D10}"/>
    <hyperlink ref="J1263" r:id="rId174" xr:uid="{C7B3F78B-BDEC-7844-87B7-668BDDFF063E}"/>
    <hyperlink ref="J1261" r:id="rId175" xr:uid="{E500C042-153D-0049-AA1A-F0BAA8C78241}"/>
    <hyperlink ref="J1250" r:id="rId176" xr:uid="{787D9628-24B1-F349-AA94-A03140718B44}"/>
    <hyperlink ref="J1264" r:id="rId177" xr:uid="{6B6B61A5-5B61-9841-81C2-428BD0DB04E2}"/>
    <hyperlink ref="K57" r:id="rId178" xr:uid="{89E992E2-B58E-8C4B-8A03-02D5C80D4BF3}"/>
    <hyperlink ref="J13" r:id="rId179" xr:uid="{C2FEAB43-D364-B84E-9289-664207755A23}"/>
    <hyperlink ref="J15" r:id="rId180" xr:uid="{C46604C9-8DDC-D84B-8F6E-614DC3B98AFC}"/>
    <hyperlink ref="J16" r:id="rId181" xr:uid="{4A469FAE-E24E-9E48-9EB5-7EE2A0293911}"/>
    <hyperlink ref="J19" r:id="rId182" xr:uid="{4BD93220-5C81-6B40-9D25-C9966431BE72}"/>
    <hyperlink ref="J21" r:id="rId183" xr:uid="{CE0EF540-AE66-F543-AA9B-27BBC761893E}"/>
    <hyperlink ref="J24" r:id="rId184" xr:uid="{23C8C17F-04A9-D441-86F4-B0A1B3A6F7C0}"/>
    <hyperlink ref="J27" r:id="rId185" xr:uid="{9C0C9D95-617C-5A41-93E1-B4793528FC8A}"/>
    <hyperlink ref="J40" r:id="rId186" xr:uid="{1B71D3A2-EA94-DC4C-806C-F43BDCB65235}"/>
    <hyperlink ref="J55" r:id="rId187" xr:uid="{77261240-72C7-9A40-851E-704E517438A9}"/>
    <hyperlink ref="J59" r:id="rId188" xr:uid="{477A5924-5015-474E-AC4C-4B3F163897BF}"/>
    <hyperlink ref="J62" r:id="rId189" xr:uid="{A092FE9A-17B2-D947-8397-E13DFB310CC4}"/>
    <hyperlink ref="J57" r:id="rId190" xr:uid="{F75D585A-B1F3-3444-B7F3-D1046D5975C4}"/>
    <hyperlink ref="J53" r:id="rId191" xr:uid="{61D6E672-FF83-2D46-A0C5-6FD23B47D570}"/>
    <hyperlink ref="J65" r:id="rId192" xr:uid="{92D13C0E-7359-FA46-853A-AC61045D826D}"/>
    <hyperlink ref="J66" r:id="rId193" xr:uid="{20E59D3C-9F1D-A049-89DA-241D9F38EEEB}"/>
    <hyperlink ref="J63" r:id="rId194" xr:uid="{9B8F2F8A-ABA4-9843-ABBE-4008476F1365}"/>
    <hyperlink ref="J54" r:id="rId195" xr:uid="{44CC039C-CD26-7A47-9972-BBC763335618}"/>
    <hyperlink ref="J408" r:id="rId196" xr:uid="{73D6D11B-92A1-0F4E-BD9E-A9269DD7E7DF}"/>
    <hyperlink ref="J400" r:id="rId197" xr:uid="{C81166E5-073C-6C42-91FB-818B973DE343}"/>
    <hyperlink ref="J401" r:id="rId198" xr:uid="{6FCC29CD-3DEC-074E-AEC4-9090C6F03305}"/>
    <hyperlink ref="J864" r:id="rId199" tooltip="View IIIF Manifest" xr:uid="{83727DDF-2834-F940-8197-FD2FAF7458E1}"/>
    <hyperlink ref="J982" r:id="rId200" xr:uid="{E75AD36B-5B4D-1E47-8D91-4B8B74FB4149}"/>
    <hyperlink ref="J1127" r:id="rId201" xr:uid="{6208A4F2-120A-9D43-B496-57C0E87599C9}"/>
    <hyperlink ref="J1315:J1336" r:id="rId202" display="https://www.e-codices.unifr.ch/metadata/iiif/sbs-min0020/manifest.json" xr:uid="{98318240-397A-A749-B190-3C749920E9A0}"/>
    <hyperlink ref="J1128" r:id="rId203" xr:uid="{1BD6F085-5E51-F749-BC0D-EA74F23894F8}"/>
    <hyperlink ref="J1129" r:id="rId204" xr:uid="{FFB2708D-F532-ED48-A9D1-5A0C685B6C34}"/>
    <hyperlink ref="J1130" r:id="rId205" xr:uid="{2929DD3E-2539-0C4B-8E39-191C679E5D51}"/>
    <hyperlink ref="J1131" r:id="rId206" xr:uid="{21199FA4-A9C1-6442-A330-D6E5E9632C89}"/>
    <hyperlink ref="J1132" r:id="rId207" xr:uid="{B85967A6-DF85-F24C-AF95-0E73D0FD2A0F}"/>
    <hyperlink ref="J1133" r:id="rId208" xr:uid="{FC4FAED8-028E-5F46-9FFF-74A0372464F7}"/>
    <hyperlink ref="J1134" r:id="rId209" xr:uid="{900B2733-DC76-B745-B15F-2FD5579DE940}"/>
    <hyperlink ref="J1135" r:id="rId210" xr:uid="{96E52468-89FC-CD46-8287-3E409A15C6D1}"/>
    <hyperlink ref="J1136" r:id="rId211" xr:uid="{790DE0B8-6C93-E445-A250-0EF89699FD7D}"/>
    <hyperlink ref="J1137" r:id="rId212" xr:uid="{9151BE85-490A-D24F-A9F7-F8D317C7FACD}"/>
    <hyperlink ref="J1138" r:id="rId213" xr:uid="{152D3807-C7E7-4943-87A7-56B09B3745D6}"/>
    <hyperlink ref="J1139" r:id="rId214" xr:uid="{94B5701F-473A-1C43-A962-E5C4491C0555}"/>
    <hyperlink ref="J1140" r:id="rId215" xr:uid="{E5B8AC43-F122-1042-AA0C-2F3B91585CC9}"/>
    <hyperlink ref="J1141" r:id="rId216" xr:uid="{F3D0BA2C-4946-ED40-8B89-360F71BD5F14}"/>
    <hyperlink ref="J1142" r:id="rId217" xr:uid="{CE86A745-8552-4448-9A06-C53C63C6B9DA}"/>
    <hyperlink ref="J1143" r:id="rId218" xr:uid="{96B90E11-BF9B-5247-856B-84E2A02ECAB7}"/>
    <hyperlink ref="J1144" r:id="rId219" xr:uid="{42DCEE2A-3D07-9441-BED6-643C22D4D28E}"/>
    <hyperlink ref="J1145" r:id="rId220" xr:uid="{BB6F50C9-B713-B249-8836-9EEF78F4E7BB}"/>
    <hyperlink ref="J1146" r:id="rId221" xr:uid="{629A69CE-62CE-D348-B4BF-9CE17AF41574}"/>
    <hyperlink ref="J1147" r:id="rId222" xr:uid="{0FDCE393-F837-A240-8428-40A437972D53}"/>
    <hyperlink ref="J1148" r:id="rId223" xr:uid="{4B2A8120-0F80-F84E-97FE-0B72DA08E43B}"/>
    <hyperlink ref="J1149" r:id="rId224" xr:uid="{04D49F79-869B-B642-9CF4-8C01500FE46F}"/>
    <hyperlink ref="J1150" r:id="rId225" xr:uid="{A4E33D28-F8AA-864D-968B-2B006A7F68B9}"/>
    <hyperlink ref="J1153" r:id="rId226" xr:uid="{035DA4F4-51A5-E64B-8D1A-6600107964D9}"/>
    <hyperlink ref="K1155" r:id="rId227" xr:uid="{D71193FF-EE5B-CA4A-9BF9-D722E8C4E342}"/>
    <hyperlink ref="J1155" r:id="rId228" xr:uid="{7A387015-A790-B54A-B785-AE29183376BF}"/>
    <hyperlink ref="J293" r:id="rId229" xr:uid="{CDCAE342-3B2E-BD47-968A-7E27254486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15</vt:i4>
      </vt:variant>
    </vt:vector>
  </HeadingPairs>
  <TitlesOfParts>
    <vt:vector size="15" baseType="lpstr">
      <vt:lpstr>CMD_tittse</vt:lpstr>
      <vt:lpstr>locs</vt:lpstr>
      <vt:lpstr>kwakkel_ds</vt:lpstr>
      <vt:lpstr>Sweden</vt:lpstr>
      <vt:lpstr>France</vt:lpstr>
      <vt:lpstr>Vatican</vt:lpstr>
      <vt:lpstr>England</vt:lpstr>
      <vt:lpstr>Netherlands</vt:lpstr>
      <vt:lpstr>Belgium</vt:lpstr>
      <vt:lpstr>Austria</vt:lpstr>
      <vt:lpstr>VS</vt:lpstr>
      <vt:lpstr>Switserland</vt:lpstr>
      <vt:lpstr>Italy</vt:lpstr>
      <vt:lpstr>Germany</vt:lpstr>
      <vt:lpstr>tittse_ds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Tittse, C.F. (Celis)</dc:creator>
  <cp:lastModifiedBy>Tittse, C.F. (Celis)</cp:lastModifiedBy>
  <dcterms:created xsi:type="dcterms:W3CDTF">2025-10-01T12:05:06Z</dcterms:created>
  <dcterms:modified xsi:type="dcterms:W3CDTF">2026-05-22T06:32:02Z</dcterms:modified>
</cp:coreProperties>
</file>