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elistittse/Documents/Scriptie_CMD/data/representative_data/result_data/"/>
    </mc:Choice>
  </mc:AlternateContent>
  <xr:revisionPtr revIDLastSave="0" documentId="13_ncr:1_{F65A5719-9F9A-454B-BCC4-D7FEEDB34C6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Sheet1!$V$1:$V$106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9" i="1" l="1"/>
</calcChain>
</file>

<file path=xl/sharedStrings.xml><?xml version="1.0" encoding="utf-8"?>
<sst xmlns="http://schemas.openxmlformats.org/spreadsheetml/2006/main" count="2683" uniqueCount="1336">
  <si>
    <t>index</t>
  </si>
  <si>
    <t>shelfmark_kw</t>
  </si>
  <si>
    <t>biting_b</t>
  </si>
  <si>
    <t>biting_d</t>
  </si>
  <si>
    <t>biting_o</t>
  </si>
  <si>
    <t>biting_p</t>
  </si>
  <si>
    <t>biting_bb_pp</t>
  </si>
  <si>
    <t>n_chrs</t>
  </si>
  <si>
    <t>n_abrv</t>
  </si>
  <si>
    <t>cmd_pl_kw</t>
  </si>
  <si>
    <t>pl_fol</t>
  </si>
  <si>
    <t>text_folio</t>
  </si>
  <si>
    <t>text_genre</t>
  </si>
  <si>
    <t>certain_gerne</t>
  </si>
  <si>
    <t>msID</t>
  </si>
  <si>
    <t>date_str</t>
  </si>
  <si>
    <t>loc</t>
  </si>
  <si>
    <t>cmd_text</t>
  </si>
  <si>
    <t>cmd_pl_ti</t>
  </si>
  <si>
    <t>spec_loc</t>
  </si>
  <si>
    <t>certain_loc</t>
  </si>
  <si>
    <t>city_ti</t>
  </si>
  <si>
    <t>order_involved</t>
  </si>
  <si>
    <t>shelfmark</t>
  </si>
  <si>
    <t>date_start</t>
  </si>
  <si>
    <t>date_end</t>
  </si>
  <si>
    <t>date_quarter</t>
  </si>
  <si>
    <t>date_half</t>
  </si>
  <si>
    <t>date_century</t>
  </si>
  <si>
    <t>n_folia</t>
  </si>
  <si>
    <t>n_lines</t>
  </si>
  <si>
    <t>n_columns</t>
  </si>
  <si>
    <t>folio_size_h</t>
  </si>
  <si>
    <t>folio_size_w</t>
  </si>
  <si>
    <t>writing_size_h</t>
  </si>
  <si>
    <t>writing_size_w</t>
  </si>
  <si>
    <t>col_size_w</t>
  </si>
  <si>
    <t>origin_region</t>
  </si>
  <si>
    <t>decoration</t>
  </si>
  <si>
    <t>border [coloured=1, illustrated=2]</t>
  </si>
  <si>
    <t>diagram [table/diagram=1]</t>
  </si>
  <si>
    <t>miniatures_drawings [coloured=1, illustrated=2]</t>
  </si>
  <si>
    <t>initial [coloured=1, illuminated/decorated=2, historiated=3]</t>
  </si>
  <si>
    <t>headers [neutral=1, rubrics=2]</t>
  </si>
  <si>
    <t>Library</t>
  </si>
  <si>
    <t>lat</t>
  </si>
  <si>
    <t>lon</t>
  </si>
  <si>
    <t>domesday_region</t>
  </si>
  <si>
    <t>material_uniform</t>
  </si>
  <si>
    <t>n_columns_cato</t>
  </si>
  <si>
    <t>n_lines_mean</t>
  </si>
  <si>
    <t>line_heigth_mean</t>
  </si>
  <si>
    <t>folio_area</t>
  </si>
  <si>
    <t>writing_area</t>
  </si>
  <si>
    <t>writing_ratio</t>
  </si>
  <si>
    <t>char_density_dm</t>
  </si>
  <si>
    <t>abbr_density_dm</t>
  </si>
  <si>
    <t>word_space_ratio</t>
  </si>
  <si>
    <t>inter_col_w</t>
  </si>
  <si>
    <t>line_h_avg</t>
  </si>
  <si>
    <t>inter_word_space</t>
  </si>
  <si>
    <t>BL Add. 14250</t>
  </si>
  <si>
    <t>s</t>
  </si>
  <si>
    <t>sk</t>
  </si>
  <si>
    <t>37, 42, 44 [1]</t>
  </si>
  <si>
    <t>5, 4, 4</t>
  </si>
  <si>
    <t>GB BL II 75</t>
  </si>
  <si>
    <t>31r</t>
  </si>
  <si>
    <t>Historia ecclesiastica. Beda</t>
  </si>
  <si>
    <t>Historiographie, prophéties, biographies non hagiographiques</t>
  </si>
  <si>
    <t>1140?</t>
  </si>
  <si>
    <t>Plympton, England</t>
  </si>
  <si>
    <t>BL I 103</t>
  </si>
  <si>
    <t>BL II 75</t>
  </si>
  <si>
    <t>Plympton</t>
  </si>
  <si>
    <t>Augustinian Canons and Canonesses</t>
  </si>
  <si>
    <t>London, British Library, Add. 14250</t>
  </si>
  <si>
    <t>(35, 35)</t>
  </si>
  <si>
    <t>Devon</t>
  </si>
  <si>
    <t>rubrics</t>
  </si>
  <si>
    <t>British Library (London)</t>
  </si>
  <si>
    <t>South West</t>
  </si>
  <si>
    <t>Parchment</t>
  </si>
  <si>
    <t>1 Col</t>
  </si>
  <si>
    <t>27*</t>
  </si>
  <si>
    <t>BL Add. 40000</t>
  </si>
  <si>
    <t>62, 64, 60 [5]</t>
  </si>
  <si>
    <t>5, 5, 4</t>
  </si>
  <si>
    <t>GB BL II 56</t>
  </si>
  <si>
    <t>10r</t>
  </si>
  <si>
    <t>Nomina monachorum, benefactorum etc. abbatiae de Thorney.</t>
  </si>
  <si>
    <t>Droit et textes juridiques</t>
  </si>
  <si>
    <t>c. 1100</t>
  </si>
  <si>
    <t>Thorney, England</t>
  </si>
  <si>
    <t>BL I 400</t>
  </si>
  <si>
    <t>BL II 56</t>
  </si>
  <si>
    <t>Thorney</t>
  </si>
  <si>
    <t>Benedictine Order</t>
  </si>
  <si>
    <t>London, British Library, Add. 40000 [ff. 10]</t>
  </si>
  <si>
    <t>(40, 41)</t>
  </si>
  <si>
    <t>Cambridgeshire</t>
  </si>
  <si>
    <t>Home Counties</t>
  </si>
  <si>
    <t>2+ Cols</t>
  </si>
  <si>
    <t>BL Add. 40007</t>
  </si>
  <si>
    <t>b</t>
  </si>
  <si>
    <t>m</t>
  </si>
  <si>
    <t>33, 30, 25 [1]</t>
  </si>
  <si>
    <t>1, 4, 1</t>
  </si>
  <si>
    <t>GB BL II 112</t>
  </si>
  <si>
    <t>12r</t>
  </si>
  <si>
    <t>Opera historica minora. Radulphus de Diceto</t>
  </si>
  <si>
    <t>c.1195</t>
  </si>
  <si>
    <t>London?, England</t>
  </si>
  <si>
    <t>BL I 401</t>
  </si>
  <si>
    <t>BL II 112</t>
  </si>
  <si>
    <t>London</t>
  </si>
  <si>
    <t>London, British Library, Add. 40007</t>
  </si>
  <si>
    <t>(40, 43)</t>
  </si>
  <si>
    <t>Greater London</t>
  </si>
  <si>
    <t>BL Add. 46203</t>
  </si>
  <si>
    <t>36, 32, 33 [1]</t>
  </si>
  <si>
    <t>2, 1, 1</t>
  </si>
  <si>
    <t>GB BL II 99</t>
  </si>
  <si>
    <t>41r</t>
  </si>
  <si>
    <t>Missale Cisterciense</t>
  </si>
  <si>
    <t>Liturgie</t>
  </si>
  <si>
    <t>betw. 1173 &amp; 1192</t>
  </si>
  <si>
    <t>Rievaulx?, England</t>
  </si>
  <si>
    <t>BL I 415</t>
  </si>
  <si>
    <t>BL II 99</t>
  </si>
  <si>
    <t>Rievaulx</t>
  </si>
  <si>
    <t>Cistercian Order</t>
  </si>
  <si>
    <t>London, British Library, Add. 46203</t>
  </si>
  <si>
    <t>(22, 22)</t>
  </si>
  <si>
    <t>North Yorkshire</t>
  </si>
  <si>
    <t>Column initials;rubrics present</t>
  </si>
  <si>
    <t>Northern Danelaw</t>
  </si>
  <si>
    <t>BL Add. 46487</t>
  </si>
  <si>
    <t>40, 45, 40 [1]</t>
  </si>
  <si>
    <t>1, 1, 3</t>
  </si>
  <si>
    <t>GB BL II 78</t>
  </si>
  <si>
    <t>28r</t>
  </si>
  <si>
    <t>The Sherborne Cartulary’ (a collection of charters and other documents in Latin and Anglo-Saxon, and liturgical matter in Latin)</t>
  </si>
  <si>
    <t>soon after 1146</t>
  </si>
  <si>
    <t>Sherborne, England</t>
  </si>
  <si>
    <t>BL I 417</t>
  </si>
  <si>
    <t>BL II 78</t>
  </si>
  <si>
    <t>Sherborne</t>
  </si>
  <si>
    <t>London, British Library, Add. 46487</t>
  </si>
  <si>
    <t>(28, 28)</t>
  </si>
  <si>
    <t>Dorset</t>
  </si>
  <si>
    <t>Illuminations, miniatures, initials, column initials, rubrics;rubrics;Illuminations, miniatures</t>
  </si>
  <si>
    <t>BL Arundel 60</t>
  </si>
  <si>
    <t>39, 38, 39 [1]</t>
  </si>
  <si>
    <t>8, 3, 3</t>
  </si>
  <si>
    <t>GB BL II 55</t>
  </si>
  <si>
    <t>149r</t>
  </si>
  <si>
    <t>The Six Ages of the World, in Latin and Anglo-Saxon</t>
  </si>
  <si>
    <t>Théologie</t>
  </si>
  <si>
    <t>1099</t>
  </si>
  <si>
    <t>Hyde Abbey, England</t>
  </si>
  <si>
    <t>BL I 436</t>
  </si>
  <si>
    <t>BL II 55</t>
  </si>
  <si>
    <t>Hyde Abbey (Winchester)</t>
  </si>
  <si>
    <t>London, British Library, Arundel 60 [ff. 149]</t>
  </si>
  <si>
    <t>Hampshire</t>
  </si>
  <si>
    <t>South East</t>
  </si>
  <si>
    <t>BL Cotton Claudius C.IX</t>
  </si>
  <si>
    <t>GB BL II 93</t>
  </si>
  <si>
    <t>4r-17r</t>
  </si>
  <si>
    <t>Annales ab initio mundi ad 1171</t>
  </si>
  <si>
    <t>1171</t>
  </si>
  <si>
    <t>England</t>
  </si>
  <si>
    <t>BL I 519</t>
  </si>
  <si>
    <t>BL II 93</t>
  </si>
  <si>
    <t>London, British Library, Cotton Claudius C.IX [ff. 4-17]</t>
  </si>
  <si>
    <t>(50, 50)</t>
  </si>
  <si>
    <t>Coloured initials; rubrics;rubrics</t>
  </si>
  <si>
    <t>BL Cotton Claudius E.III [f. 10r]</t>
  </si>
  <si>
    <t>kb</t>
  </si>
  <si>
    <t>34, 34, 29 [1]</t>
  </si>
  <si>
    <t>7, 4, 5</t>
  </si>
  <si>
    <t>GB BL II 113</t>
  </si>
  <si>
    <t>10r (11r)</t>
  </si>
  <si>
    <t>Abbreviatio chronicorum, Radulphus de Diceto</t>
  </si>
  <si>
    <t>1198?</t>
  </si>
  <si>
    <t>BL I 521</t>
  </si>
  <si>
    <t>BL II 113ab</t>
  </si>
  <si>
    <t>London, British Library, Cotton Claudius E.III [ff. 3-158]</t>
  </si>
  <si>
    <t>(40, 42)</t>
  </si>
  <si>
    <t>Gold and coloured initials; rubrics;rubrics;Gold and coloured initials</t>
  </si>
  <si>
    <t>2 Cols</t>
  </si>
  <si>
    <t>BL Cotton Faustina A.VIII</t>
  </si>
  <si>
    <t>52, 52, 52 [2]</t>
  </si>
  <si>
    <t>3, 2, 3</t>
  </si>
  <si>
    <t>GB BL II 116</t>
  </si>
  <si>
    <t>86r</t>
  </si>
  <si>
    <t>Kalendarium, Annales, Prophetia Merlini, etc.</t>
  </si>
  <si>
    <t>1205-1207?</t>
  </si>
  <si>
    <t>Southwark?, England</t>
  </si>
  <si>
    <t>BL I 528</t>
  </si>
  <si>
    <t>BL II 116</t>
  </si>
  <si>
    <t>Southwark</t>
  </si>
  <si>
    <t>London, British Library, Cotton Faustina A.VIII [ff. 40-146]</t>
  </si>
  <si>
    <t>(29, 29)</t>
  </si>
  <si>
    <t>Column initials; rubrics;rubrics</t>
  </si>
  <si>
    <t>BL Cotton Faustina b.VII</t>
  </si>
  <si>
    <t>72, 73, 67 [2]</t>
  </si>
  <si>
    <t>6, 6, 4</t>
  </si>
  <si>
    <t>GB BL II 124</t>
  </si>
  <si>
    <t>3v</t>
  </si>
  <si>
    <t>Nomina paparum, episcoporum etc.</t>
  </si>
  <si>
    <t>c. 1217</t>
  </si>
  <si>
    <t>BL I 529</t>
  </si>
  <si>
    <t>BL II 124</t>
  </si>
  <si>
    <t>London, British Library, Cotton Faustina B.VII [ff. 2-17]</t>
  </si>
  <si>
    <t>(38, 38)</t>
  </si>
  <si>
    <t>97, 95, 101 [2]</t>
  </si>
  <si>
    <t>9, 16, 15</t>
  </si>
  <si>
    <t>GB BL II 118</t>
  </si>
  <si>
    <t>62r</t>
  </si>
  <si>
    <t>tabulae genealogicae patrum veteris testamenti, imperatorum romanorum, pontificum, regum, etc.</t>
  </si>
  <si>
    <t>betw. 1208 &amp; 1215</t>
  </si>
  <si>
    <t>BL I 530</t>
  </si>
  <si>
    <t>BL II 118ab</t>
  </si>
  <si>
    <t>London, British Library, Cotton Faustina B.VII [ff. 41-71]</t>
  </si>
  <si>
    <t>(67, 67)</t>
  </si>
  <si>
    <t>Col. inits and diagrams; roundels containing coloured line drawings;Roundels containing coloured line drawings</t>
  </si>
  <si>
    <t>Variable</t>
  </si>
  <si>
    <t>BL Cotton Nero C.V [f. 76v]</t>
  </si>
  <si>
    <t>29, 32, 31 [1]</t>
  </si>
  <si>
    <t>3, 1, 3</t>
  </si>
  <si>
    <t>GB BL II 59</t>
  </si>
  <si>
    <t>76v</t>
  </si>
  <si>
    <t>Chronicon, Marianus Scotus</t>
  </si>
  <si>
    <t>c. 1105</t>
  </si>
  <si>
    <t>Worcester?, England</t>
  </si>
  <si>
    <t>BL I 540</t>
  </si>
  <si>
    <t>BL II 59ab</t>
  </si>
  <si>
    <t>Worcester</t>
  </si>
  <si>
    <t>London, British Library, Cotton Nero C.V [ff. 33-161]</t>
  </si>
  <si>
    <t>(40, 40)</t>
  </si>
  <si>
    <t>Worcestershire</t>
  </si>
  <si>
    <t>Column initials</t>
  </si>
  <si>
    <t>Western Midlands</t>
  </si>
  <si>
    <t>BL Cotton Nero C.VII</t>
  </si>
  <si>
    <t>34, 39, 38 [1]</t>
  </si>
  <si>
    <t>2, 5, 2</t>
  </si>
  <si>
    <t>GB BL II 76</t>
  </si>
  <si>
    <t>223r</t>
  </si>
  <si>
    <t>Annales a nativitate Johannis Baptistae ac 1140</t>
  </si>
  <si>
    <t>Canterbury?, England</t>
  </si>
  <si>
    <t>BL I 541</t>
  </si>
  <si>
    <t>BL II 76</t>
  </si>
  <si>
    <t>Canterbury</t>
  </si>
  <si>
    <t>London, British Library, Cotton Nero C.VII [ff. 216-223]</t>
  </si>
  <si>
    <t>Kent</t>
  </si>
  <si>
    <t>Red figures</t>
  </si>
  <si>
    <t>BL Cotton Nero D.II</t>
  </si>
  <si>
    <t>GB BL II 64</t>
  </si>
  <si>
    <t>240v</t>
  </si>
  <si>
    <t>Annals of the abbey of Battle to 1206</t>
  </si>
  <si>
    <t>c.1120</t>
  </si>
  <si>
    <t>Battle, England</t>
  </si>
  <si>
    <t>BL I 543</t>
  </si>
  <si>
    <t>BL II 64</t>
  </si>
  <si>
    <t>Battle</t>
  </si>
  <si>
    <t>London, British Library, Cotton Nero D.II [ff. 238-41]</t>
  </si>
  <si>
    <t>(42, 65)</t>
  </si>
  <si>
    <t>East Sussex</t>
  </si>
  <si>
    <t>Dates in red</t>
  </si>
  <si>
    <t>BL Cotton Tiberius A.XIII [f. 103r]</t>
  </si>
  <si>
    <t>37, 35, 37 [1]</t>
  </si>
  <si>
    <t>1, 5, 1</t>
  </si>
  <si>
    <t>GB BL II 53</t>
  </si>
  <si>
    <t>169r</t>
  </si>
  <si>
    <t>Cartularium prioratus Wigorniae</t>
  </si>
  <si>
    <t>c. 1096</t>
  </si>
  <si>
    <t>Worcester, England</t>
  </si>
  <si>
    <t>BL I 551</t>
  </si>
  <si>
    <t>BL II 53ab</t>
  </si>
  <si>
    <t>London, British Library, Cotton Tiberius A.XIII [ff. 119-200]</t>
  </si>
  <si>
    <t>(27, 28)</t>
  </si>
  <si>
    <t>Col. inits., rubrics</t>
  </si>
  <si>
    <t>BL Cotton Tiberius b.II</t>
  </si>
  <si>
    <t>37, 44, 40 [1]</t>
  </si>
  <si>
    <t>1, 2, 1</t>
  </si>
  <si>
    <t>GB BL II 128</t>
  </si>
  <si>
    <t>102v (-108v)</t>
  </si>
  <si>
    <t>Inquisitiones maneriorum episcopatus Elyensis</t>
  </si>
  <si>
    <t>1221-1222</t>
  </si>
  <si>
    <t>Ely, England</t>
  </si>
  <si>
    <t>BL I 554</t>
  </si>
  <si>
    <t>BL II 128</t>
  </si>
  <si>
    <t>Ely</t>
  </si>
  <si>
    <t>London, British Library, Cotton Tiberius B.II [ff. 86-233]</t>
  </si>
  <si>
    <t>BL Cotton Tiberius C.I &amp; Harley 3667</t>
  </si>
  <si>
    <t>64, 57, 57 [1]</t>
  </si>
  <si>
    <t>8, 11, 11</t>
  </si>
  <si>
    <t>GB BL II 67</t>
  </si>
  <si>
    <t>42r</t>
  </si>
  <si>
    <t>Astronomica</t>
  </si>
  <si>
    <t>Sciences</t>
  </si>
  <si>
    <t>betw. 1122 &amp; 1135?</t>
  </si>
  <si>
    <t>Peterborough, England</t>
  </si>
  <si>
    <t>BL I 559</t>
  </si>
  <si>
    <t>BL II 67</t>
  </si>
  <si>
    <t>Peterborough</t>
  </si>
  <si>
    <t>London, British Library, Cotton Tiberius C.I [ff. 2-42]</t>
  </si>
  <si>
    <t>(32, 43)</t>
  </si>
  <si>
    <t>Col. inits., diagrs., figs., rubrics.;rubrics</t>
  </si>
  <si>
    <t>BL Cotton Tiberius E.IV</t>
  </si>
  <si>
    <t>33, 39, 40 [1]</t>
  </si>
  <si>
    <t>2, 4, 3</t>
  </si>
  <si>
    <t>GB BL II 106</t>
  </si>
  <si>
    <t>27r (26v)</t>
  </si>
  <si>
    <t>Annales</t>
  </si>
  <si>
    <t>1181 or 1182</t>
  </si>
  <si>
    <t>Winchcomb, England</t>
  </si>
  <si>
    <t>BL I 560</t>
  </si>
  <si>
    <t>BL II 106</t>
  </si>
  <si>
    <t>Winchcombe</t>
  </si>
  <si>
    <t>London, British Library, Cotton Tiberius E.IV [ff. 26-27]</t>
  </si>
  <si>
    <t>(36, 38)</t>
  </si>
  <si>
    <t>Gloucestershire</t>
  </si>
  <si>
    <t>Red figures and initials</t>
  </si>
  <si>
    <t>BL Cotton Vespasian A.IX</t>
  </si>
  <si>
    <t>40, 38, 41 [1]</t>
  </si>
  <si>
    <t>6, 9, 9</t>
  </si>
  <si>
    <t>GB BL II 70</t>
  </si>
  <si>
    <t>20r</t>
  </si>
  <si>
    <t>Compotus, Helpericus</t>
  </si>
  <si>
    <t>Textes didactiques : livres de classe, dictionnaires, lexicographie</t>
  </si>
  <si>
    <t>1131?</t>
  </si>
  <si>
    <t>BL I 563</t>
  </si>
  <si>
    <t>BL II 70</t>
  </si>
  <si>
    <t>London, British Library, Cotton Vespasian A.IX [ff. 1-71]</t>
  </si>
  <si>
    <t>(30, 30)</t>
  </si>
  <si>
    <t>Col. inits., rubrics;rubrics</t>
  </si>
  <si>
    <t>BL Cotton Vitellius A.XVII</t>
  </si>
  <si>
    <t>59, 59, 64 [2]</t>
  </si>
  <si>
    <t>7, 15, 12</t>
  </si>
  <si>
    <t>GB BL II 83</t>
  </si>
  <si>
    <t>15v</t>
  </si>
  <si>
    <t>Annales ecclesiae Cicestrensis</t>
  </si>
  <si>
    <t>betw. 1150 &amp; 1153</t>
  </si>
  <si>
    <t>Chichester, England</t>
  </si>
  <si>
    <t>BL I 574</t>
  </si>
  <si>
    <t>BL II 83</t>
  </si>
  <si>
    <t>Chichester</t>
  </si>
  <si>
    <t>?</t>
  </si>
  <si>
    <t>London, British Library, Cotton Vitellius A.XVII [ff. 1-16]</t>
  </si>
  <si>
    <t>(34, 42)</t>
  </si>
  <si>
    <t>West Sussex</t>
  </si>
  <si>
    <t>BL Cotton Vitellius C.XII</t>
  </si>
  <si>
    <t>64, 63, 63 [1]</t>
  </si>
  <si>
    <t>6, 4, 3</t>
  </si>
  <si>
    <t>GB BL II 58</t>
  </si>
  <si>
    <t>120r</t>
  </si>
  <si>
    <t>Martyrologium ecclesie Christi Cantuariensis</t>
  </si>
  <si>
    <t>Hagiographie</t>
  </si>
  <si>
    <t>c. 1100-1110</t>
  </si>
  <si>
    <t>Canterbury, England</t>
  </si>
  <si>
    <t>BL I 577</t>
  </si>
  <si>
    <t>BL II 58</t>
  </si>
  <si>
    <t>London, British Library, Cotton Vitellius C.XII [ff. 114-156]</t>
  </si>
  <si>
    <t>(36, 36)</t>
  </si>
  <si>
    <t>historical column initials; column initials;rubrics</t>
  </si>
  <si>
    <t>BL Egerton 3031 [f. 13r, not in CMD]</t>
  </si>
  <si>
    <t>63, 62, 62 [1]</t>
  </si>
  <si>
    <t>8, 5, 9</t>
  </si>
  <si>
    <t>GB BL II 108</t>
  </si>
  <si>
    <t>16v</t>
  </si>
  <si>
    <t>Cartularium abbatiae Radingiae</t>
  </si>
  <si>
    <t>c. 1190-1195</t>
  </si>
  <si>
    <t>Reading, England</t>
  </si>
  <si>
    <t>BL I 620</t>
  </si>
  <si>
    <t>BL II 108</t>
  </si>
  <si>
    <t>Reading</t>
  </si>
  <si>
    <t>London, British Library, Egerton 3031</t>
  </si>
  <si>
    <t>Berkshire</t>
  </si>
  <si>
    <t>BL Egerton 3668</t>
  </si>
  <si>
    <t>40, 42, 43 [1]</t>
  </si>
  <si>
    <t>6, 4, 8</t>
  </si>
  <si>
    <t>GB BL II 92</t>
  </si>
  <si>
    <t>113r</t>
  </si>
  <si>
    <t>Chronicon, Henry of Huntingdon</t>
  </si>
  <si>
    <t>1169?</t>
  </si>
  <si>
    <t>BL I 626</t>
  </si>
  <si>
    <t>BL II 92</t>
  </si>
  <si>
    <t>Carmelite Order</t>
  </si>
  <si>
    <t>London, British Library, Egerton 3668</t>
  </si>
  <si>
    <t>(32, 32)</t>
  </si>
  <si>
    <t>BL Harley 447</t>
  </si>
  <si>
    <t>67, 73, 63 [1]</t>
  </si>
  <si>
    <t>15, 10, 12</t>
  </si>
  <si>
    <t>GB BL II 119</t>
  </si>
  <si>
    <t>133r</t>
  </si>
  <si>
    <t>Chronicon a nativitate Christi ad 1212.</t>
  </si>
  <si>
    <t>1212?</t>
  </si>
  <si>
    <t>Bury St. Edmunds, England</t>
  </si>
  <si>
    <t>BL I 634</t>
  </si>
  <si>
    <t>BL II 119</t>
  </si>
  <si>
    <t>Bury St. Edmunds</t>
  </si>
  <si>
    <t>London, British Library, Harley 447 [ff. 103-133]</t>
  </si>
  <si>
    <t>(33, 33)</t>
  </si>
  <si>
    <t>Suffolk</t>
  </si>
  <si>
    <t>Col. mils., rubrics.</t>
  </si>
  <si>
    <t>East Anglia</t>
  </si>
  <si>
    <t>BL Harley 1229</t>
  </si>
  <si>
    <t>35, 35, 41 [1]</t>
  </si>
  <si>
    <t>4, 2, 4</t>
  </si>
  <si>
    <t>GB BL II 111</t>
  </si>
  <si>
    <t>150r</t>
  </si>
  <si>
    <t>betw. 1192 &amp; 1202</t>
  </si>
  <si>
    <t>Waverley?, England</t>
  </si>
  <si>
    <t>BL I 641</t>
  </si>
  <si>
    <t>BL II 111</t>
  </si>
  <si>
    <t>Waverley (Waverley Abbey)</t>
  </si>
  <si>
    <t>London, British Library, Harley 1229</t>
  </si>
  <si>
    <t>(20, 20)</t>
  </si>
  <si>
    <t>Surrey</t>
  </si>
  <si>
    <t>Column initials; rubrics;Rubrics present</t>
  </si>
  <si>
    <t>BL Harley 3038</t>
  </si>
  <si>
    <t>41, 46, 47 [1]</t>
  </si>
  <si>
    <t>5, 5, 8</t>
  </si>
  <si>
    <t>GB BL II 104</t>
  </si>
  <si>
    <t>39r</t>
  </si>
  <si>
    <t>Leviticus glossatus</t>
  </si>
  <si>
    <t>Bible : commentaires, gloses, chaînes</t>
  </si>
  <si>
    <t>1176</t>
  </si>
  <si>
    <t>Buildwas, England</t>
  </si>
  <si>
    <t>BL I 723</t>
  </si>
  <si>
    <t>BL II 104</t>
  </si>
  <si>
    <t>Buildwas</t>
  </si>
  <si>
    <t>London, British Library, Harley 3038 [ff. 1-58]</t>
  </si>
  <si>
    <t>(19, 20)</t>
  </si>
  <si>
    <t>Shropshire</t>
  </si>
  <si>
    <t>Col. inits., rubrics.</t>
  </si>
  <si>
    <t>BL Royal 3 A.XII</t>
  </si>
  <si>
    <t>45, 43, 44 [2]</t>
  </si>
  <si>
    <t>4, 3, 2</t>
  </si>
  <si>
    <t>GB BL II 79</t>
  </si>
  <si>
    <t>4v</t>
  </si>
  <si>
    <t>In prophetam Ezram, Beda</t>
  </si>
  <si>
    <t>betw. 1147 &amp; 1176</t>
  </si>
  <si>
    <t>Cirencester, England</t>
  </si>
  <si>
    <t>BL I 864</t>
  </si>
  <si>
    <t>BL II 79</t>
  </si>
  <si>
    <t>Cirencester</t>
  </si>
  <si>
    <t>London, British Library, Royal 3 A.XII</t>
  </si>
  <si>
    <t>BL Royal 5 b.XII</t>
  </si>
  <si>
    <t>50, 46, 43 [2]</t>
  </si>
  <si>
    <t>10, 6, 7</t>
  </si>
  <si>
    <t>GB BL II 115</t>
  </si>
  <si>
    <t>2v</t>
  </si>
  <si>
    <t>Catalogus librorum prioratus Roffensis</t>
  </si>
  <si>
    <t>1202</t>
  </si>
  <si>
    <t>Rochester, England</t>
  </si>
  <si>
    <t>BL I 870</t>
  </si>
  <si>
    <t>BL II 115</t>
  </si>
  <si>
    <t>Rochester</t>
  </si>
  <si>
    <t>London, British Library, Royal 5 B.XII [ff. 2-3]</t>
  </si>
  <si>
    <t>(42, 42)</t>
  </si>
  <si>
    <t>Col. inits.</t>
  </si>
  <si>
    <t>BL Royal 5 D.II</t>
  </si>
  <si>
    <t>26, 26, 31 [1]</t>
  </si>
  <si>
    <t>3, 4, 3</t>
  </si>
  <si>
    <t>GB BL II 62</t>
  </si>
  <si>
    <t>227v</t>
  </si>
  <si>
    <t>Augustinus, In psalmos, pars 3</t>
  </si>
  <si>
    <t>betw. c.1115 &amp; 1124</t>
  </si>
  <si>
    <t>BL I 872</t>
  </si>
  <si>
    <t>BL II 62</t>
  </si>
  <si>
    <t>London, British Library, Royal 5 D.II</t>
  </si>
  <si>
    <t>(43, 43)</t>
  </si>
  <si>
    <t>Col. mils., rubrics.;rubrics</t>
  </si>
  <si>
    <t>BL Royal 6 C.VI</t>
  </si>
  <si>
    <t>33, 37, 36 [1]</t>
  </si>
  <si>
    <t>5, 4, 7</t>
  </si>
  <si>
    <t>GB BL II 61</t>
  </si>
  <si>
    <t>15r</t>
  </si>
  <si>
    <t>Moralia in Job, IV-VI, Gregorius Magnus</t>
  </si>
  <si>
    <t>betw. 1108 &amp; 1114</t>
  </si>
  <si>
    <t>BL I 875</t>
  </si>
  <si>
    <t>BL II 61</t>
  </si>
  <si>
    <t>London, British Library, Royal 6 C.VI</t>
  </si>
  <si>
    <t>(38, 42)</t>
  </si>
  <si>
    <t>Column initials (some historiated), column headings;rubrics</t>
  </si>
  <si>
    <t>BL Royal 7 F.III</t>
  </si>
  <si>
    <t>68, 67, 65 [2]</t>
  </si>
  <si>
    <t>7, 12, 11</t>
  </si>
  <si>
    <t>GB BL II 109</t>
  </si>
  <si>
    <t>118r</t>
  </si>
  <si>
    <t>expositiones de ueteri testamento et novo</t>
  </si>
  <si>
    <t>Bible : résumés et versifications</t>
  </si>
  <si>
    <t>1191 or 1192</t>
  </si>
  <si>
    <t>BL I 878</t>
  </si>
  <si>
    <t>BL II 109</t>
  </si>
  <si>
    <t>London, British Library, Royal 7 F.III</t>
  </si>
  <si>
    <t>(45, 45)</t>
  </si>
  <si>
    <t>Illum., init., col. inits., rubrics.;rubrics;Illum.</t>
  </si>
  <si>
    <t>BL Royal 7 F.VI</t>
  </si>
  <si>
    <t>56, 58, 54 [2]</t>
  </si>
  <si>
    <t>4, 5, 7</t>
  </si>
  <si>
    <t>GB BL II 80</t>
  </si>
  <si>
    <t>23v</t>
  </si>
  <si>
    <t>Liber testimoniorum veteris testamenti, Paterius</t>
  </si>
  <si>
    <t>BL I 879</t>
  </si>
  <si>
    <t>BL II 80</t>
  </si>
  <si>
    <t>London, British Library, Royal 7 F.VI</t>
  </si>
  <si>
    <t>Column initials, rubrics;rubrics</t>
  </si>
  <si>
    <t>BL Royal 13 D.IV [f. 7v]</t>
  </si>
  <si>
    <t>37, 33, 34 [1]</t>
  </si>
  <si>
    <t>4, 3, 4</t>
  </si>
  <si>
    <t>GB BL II 90</t>
  </si>
  <si>
    <t>7v</t>
  </si>
  <si>
    <t>Policraticus, John of Salisbury</t>
  </si>
  <si>
    <t>Philosophie, politique, idéologie</t>
  </si>
  <si>
    <t>betw. 1167 &amp; 1183</t>
  </si>
  <si>
    <t>St. Albans, England</t>
  </si>
  <si>
    <t>BL I 891</t>
  </si>
  <si>
    <t>BL II 90a-c</t>
  </si>
  <si>
    <t>St. Albans</t>
  </si>
  <si>
    <t>London, British Library, Royal 13 D.IV</t>
  </si>
  <si>
    <t>(46, 46)</t>
  </si>
  <si>
    <t>Illum., and col. inits., rubrics.;rubrics;Illum.</t>
  </si>
  <si>
    <t>Cambridge Corpus Christi 2</t>
  </si>
  <si>
    <t>29, 32, 29 [1]</t>
  </si>
  <si>
    <t>2, 0, 2</t>
  </si>
  <si>
    <t>GB Ca II 45-46</t>
  </si>
  <si>
    <t>33r</t>
  </si>
  <si>
    <t>Biblia, pars I, Genesis-Job</t>
  </si>
  <si>
    <t>betw. 1121 &amp; c.1138</t>
  </si>
  <si>
    <t>Ca I 119</t>
  </si>
  <si>
    <t>Ca II 45+46</t>
  </si>
  <si>
    <t>Cambridge, Corpus Christi College, 2</t>
  </si>
  <si>
    <t>Mins., hist., dec. and col. inits.; headings in red, blue, green and brown.;Headings in red, blue, green and brown.</t>
  </si>
  <si>
    <t>Cambridge Libraries</t>
  </si>
  <si>
    <t>Cambridge Corpus Christi 46 [f. 184r]</t>
  </si>
  <si>
    <t>56, 62, 56 [2]</t>
  </si>
  <si>
    <t>4, 1, 4</t>
  </si>
  <si>
    <t>GB Ca II 68</t>
  </si>
  <si>
    <t>184r</t>
  </si>
  <si>
    <t>Metalogicon, John of Salisbury</t>
  </si>
  <si>
    <t>betw. 1159 &amp; 1170</t>
  </si>
  <si>
    <t>Ca I 126</t>
  </si>
  <si>
    <t>Ca II 68</t>
  </si>
  <si>
    <t>Cambridge, Corpus Christi College, 46</t>
  </si>
  <si>
    <t>Cambridge Corpus Christi 139 [f. 85r]</t>
  </si>
  <si>
    <t>58, 59, 63 [2]</t>
  </si>
  <si>
    <t>3, 2, 4</t>
  </si>
  <si>
    <t>GB Ca II 74</t>
  </si>
  <si>
    <t>36r (85r)</t>
  </si>
  <si>
    <t>Historia omnimoda</t>
  </si>
  <si>
    <t>betw. 1164&amp; 1175</t>
  </si>
  <si>
    <t>Ca I 133</t>
  </si>
  <si>
    <t>Ca II 74ab</t>
  </si>
  <si>
    <t>Cambridge, Corpus Christi College, 139</t>
  </si>
  <si>
    <t>(35, 37)</t>
  </si>
  <si>
    <t>Cambridge Corpus Christi 270</t>
  </si>
  <si>
    <t>36, 34, 31 [1]</t>
  </si>
  <si>
    <t>3, 2, 2</t>
  </si>
  <si>
    <t>GB Ca II 34</t>
  </si>
  <si>
    <t>92v</t>
  </si>
  <si>
    <t>Missale</t>
  </si>
  <si>
    <t>betw. 1091 &amp; 1100</t>
  </si>
  <si>
    <t>Ca I 148</t>
  </si>
  <si>
    <t>Ca II 34</t>
  </si>
  <si>
    <t>Cambridge, Corpus Christi College 270 [ff. 2-162, 165-73]</t>
  </si>
  <si>
    <t>column initials; rubrics;rubrics</t>
  </si>
  <si>
    <t>Cambridge Corpus Christi 313</t>
  </si>
  <si>
    <t>67, 55, 63 [1]</t>
  </si>
  <si>
    <t>5, 5, 1</t>
  </si>
  <si>
    <t>GB Ca II 101</t>
  </si>
  <si>
    <t>17r</t>
  </si>
  <si>
    <t>Opuscula, Radulfus de Diceto</t>
  </si>
  <si>
    <t>betw. 1209 &amp; 1216</t>
  </si>
  <si>
    <t>Ca I 151</t>
  </si>
  <si>
    <t>Ca II 101</t>
  </si>
  <si>
    <t>Cambridge, Corpus Christi College, 313 vol. II [ff. 35-108v]</t>
  </si>
  <si>
    <t>Coloured inks; rubrics;rubrics</t>
  </si>
  <si>
    <t>Cambridge Corpus Christi 339</t>
  </si>
  <si>
    <t>53, 61, 55 [1]</t>
  </si>
  <si>
    <t>6, 6, 2</t>
  </si>
  <si>
    <t>GB Ca II 95</t>
  </si>
  <si>
    <t>31v</t>
  </si>
  <si>
    <t>Chronicon de Tempore Regis Ricardi Primi, Ricardus Divisiensis</t>
  </si>
  <si>
    <t>betw. 1192 &amp; 1198</t>
  </si>
  <si>
    <t>Winchester, England</t>
  </si>
  <si>
    <t>Ca I 153</t>
  </si>
  <si>
    <t>Ca II 95</t>
  </si>
  <si>
    <t>Winchester</t>
  </si>
  <si>
    <t>Cambridge, Corpus Christi College, 339 vol. I</t>
  </si>
  <si>
    <t>(27, 30)</t>
  </si>
  <si>
    <t>Coloured initials</t>
  </si>
  <si>
    <t>Cambridge Corpus Christi 371</t>
  </si>
  <si>
    <t xml:space="preserve">45, 50, 49 [1] </t>
  </si>
  <si>
    <t>4, 2, 6</t>
  </si>
  <si>
    <t>GB Ca II 40</t>
  </si>
  <si>
    <t>p. 23</t>
  </si>
  <si>
    <t>Vita Sancti Wilfridi Eboracensis, Eadmer</t>
  </si>
  <si>
    <t>betw. 1113? &amp; c.1130</t>
  </si>
  <si>
    <t>Ca I 154</t>
  </si>
  <si>
    <t>Ca II 40</t>
  </si>
  <si>
    <t>Cambridge, Corpus Christi College, 371</t>
  </si>
  <si>
    <t>Cambridge Corpus Christi 393</t>
  </si>
  <si>
    <t>38, 39, 37 [1]</t>
  </si>
  <si>
    <t>4, 3, 5</t>
  </si>
  <si>
    <t>GB Ca II 42</t>
  </si>
  <si>
    <t>3r</t>
  </si>
  <si>
    <t>Historia Eliensis</t>
  </si>
  <si>
    <t>betw. 1116 &amp; 1135?</t>
  </si>
  <si>
    <t>Ca I 158</t>
  </si>
  <si>
    <t>Ca II 42</t>
  </si>
  <si>
    <t>Cambridge, Corpus Christi College, 393</t>
  </si>
  <si>
    <t>(24, 24)</t>
  </si>
  <si>
    <t>decorated and coloured initials;rubrics</t>
  </si>
  <si>
    <t>Cambridge Corpus Christi 425 vol. I</t>
  </si>
  <si>
    <t>38, 39, 35 [2]</t>
  </si>
  <si>
    <t>2, 4, 1</t>
  </si>
  <si>
    <t>GB Ca II 102</t>
  </si>
  <si>
    <t>p. 97</t>
  </si>
  <si>
    <t>Vitae: Remigii et Hugonis, Giraldus Cambrensis</t>
  </si>
  <si>
    <t>betw. 1209 &amp; 1223</t>
  </si>
  <si>
    <t>Lincoln?, England</t>
  </si>
  <si>
    <t>Ca I 166</t>
  </si>
  <si>
    <t>Ca II 102</t>
  </si>
  <si>
    <t>Lincoln</t>
  </si>
  <si>
    <t>Cambridge, Corpus Christi College, 425 vol. I</t>
  </si>
  <si>
    <t>(25, 26)</t>
  </si>
  <si>
    <t>Lincolnshire</t>
  </si>
  <si>
    <t>Illum., inhab. inits., col. inits., rubrics.;Yes;Illuminations and inhabited initials</t>
  </si>
  <si>
    <t>Cambridge Corpus Christi 452</t>
  </si>
  <si>
    <t>33, 37, 35 [1]</t>
  </si>
  <si>
    <t>GB Ca II 47</t>
  </si>
  <si>
    <t>p. 1</t>
  </si>
  <si>
    <t>Historia Novorum in Anglia Libri VI, Eadmer</t>
  </si>
  <si>
    <t>betw. 1122 &amp; c.1130</t>
  </si>
  <si>
    <t>Ca I 167</t>
  </si>
  <si>
    <t>Ca II 47</t>
  </si>
  <si>
    <t>Cambridge, Corpus Christi College, 452</t>
  </si>
  <si>
    <t>(24, 27)</t>
  </si>
  <si>
    <t>Col. mils., rubrics.;Yes</t>
  </si>
  <si>
    <t>Cambridge Gonville &amp; Caius 427/427</t>
  </si>
  <si>
    <t>53, 66, 70 [1]</t>
  </si>
  <si>
    <t>6, 7, 8</t>
  </si>
  <si>
    <t>GB Ca II 96</t>
  </si>
  <si>
    <t>p. 196</t>
  </si>
  <si>
    <t>Treatise Contra Curiales et Officiales Clericos, Nigellius de Longchamp</t>
  </si>
  <si>
    <t>betw. 1193 &amp; 1194</t>
  </si>
  <si>
    <t>Ca I 248</t>
  </si>
  <si>
    <t>Ca II 96</t>
  </si>
  <si>
    <t>Cambridge, Gonville &amp; Caius College, 427/427 [pp. 197-230]</t>
  </si>
  <si>
    <t>(37, 51)</t>
  </si>
  <si>
    <t>rubrics, column initials, tables</t>
  </si>
  <si>
    <t>Cambridge St John’s A.22 (22)</t>
  </si>
  <si>
    <t>47, 48, 47 [1]</t>
  </si>
  <si>
    <t>GB Ca II 58</t>
  </si>
  <si>
    <t>De temporibus ratione, Beda</t>
  </si>
  <si>
    <t>c.1132</t>
  </si>
  <si>
    <t>Reading?, England</t>
  </si>
  <si>
    <t>Ca I 293</t>
  </si>
  <si>
    <t>Ca II 58</t>
  </si>
  <si>
    <t>Cambridge, St John's College, A. 22 (22)</t>
  </si>
  <si>
    <t>column drawings, decorated initials, column initials;rubrics, tables</t>
  </si>
  <si>
    <t>Cambridge St John’s b.20 (42)</t>
  </si>
  <si>
    <t>68, 61, 62 [2]</t>
  </si>
  <si>
    <t>7, 11, 8</t>
  </si>
  <si>
    <t>GB Ca II 61</t>
  </si>
  <si>
    <t>94r</t>
  </si>
  <si>
    <t>Homiliae, Isidorus</t>
  </si>
  <si>
    <t>Sermons, prédication</t>
  </si>
  <si>
    <t>c.1140</t>
  </si>
  <si>
    <t>Ca I 294</t>
  </si>
  <si>
    <t>Ca II 61</t>
  </si>
  <si>
    <t>Cambridge, St John's College, B. 20 (42)</t>
  </si>
  <si>
    <t>column drawings, decorated initial, column initials;rubrics, tables</t>
  </si>
  <si>
    <t>Cambridge St John’s C.18 (68)</t>
  </si>
  <si>
    <t>29, 28, 23 [1]</t>
  </si>
  <si>
    <t>0, 2, 0</t>
  </si>
  <si>
    <t>GB Ca II 65</t>
  </si>
  <si>
    <t>70v</t>
  </si>
  <si>
    <t>Psalterium</t>
  </si>
  <si>
    <t>betw. 1152 &amp; 1173</t>
  </si>
  <si>
    <t>Ca I 296</t>
  </si>
  <si>
    <t>Ca II 65</t>
  </si>
  <si>
    <t>Cambridge, St John's College, C. 18 (68)</t>
  </si>
  <si>
    <t>(19, 19)</t>
  </si>
  <si>
    <t>Hertfordshire</t>
  </si>
  <si>
    <t>Historiated, gold and coloured initials;rubrics</t>
  </si>
  <si>
    <t>Cambridge St John’s D. 19 (94)</t>
  </si>
  <si>
    <t>28, 32, 29 [1]</t>
  </si>
  <si>
    <t>0, 5, 3</t>
  </si>
  <si>
    <t>GB Ca II 39</t>
  </si>
  <si>
    <t>De sacramentis, Ivo Carnotensis</t>
  </si>
  <si>
    <t>betw. c.1112 &amp; 1126</t>
  </si>
  <si>
    <t>Ca I 298</t>
  </si>
  <si>
    <t>Ca II 39</t>
  </si>
  <si>
    <t>Cambridge, St John's College, D. 19 (94)</t>
  </si>
  <si>
    <t>(21, 21)</t>
  </si>
  <si>
    <t>coloured initials;rubrics</t>
  </si>
  <si>
    <t>Oxford St John’s G. 15 (183)</t>
  </si>
  <si>
    <t>53, 52, 52 [1]</t>
  </si>
  <si>
    <t>GB Ca II 80</t>
  </si>
  <si>
    <t>37r</t>
  </si>
  <si>
    <t>Novum Testamentum</t>
  </si>
  <si>
    <t>Ca I 306</t>
  </si>
  <si>
    <t>Ca II 80</t>
  </si>
  <si>
    <t>Cambridge, St John's College, G. 15 (183)</t>
  </si>
  <si>
    <t>illumination, historiated decoration, gold and coloured initials;canon tables noted</t>
  </si>
  <si>
    <t>Cambridge Trinity b. 15. 10 (346)</t>
  </si>
  <si>
    <t>63, 59, 58 [2]</t>
  </si>
  <si>
    <t>11, 8, 7</t>
  </si>
  <si>
    <t>GB Ca II 67</t>
  </si>
  <si>
    <t>4r</t>
  </si>
  <si>
    <t>De sacramentis, Hugo de Victore</t>
  </si>
  <si>
    <t>c.1155</t>
  </si>
  <si>
    <t>Ca I 336</t>
  </si>
  <si>
    <t>Ca II 67</t>
  </si>
  <si>
    <t>Cambridge, Trinity College, B. 15. 10 (346)</t>
  </si>
  <si>
    <t>Coloured inks; rubrics;Rubrics present</t>
  </si>
  <si>
    <t>Cambridge Trinity R. 7. 28 (770)</t>
  </si>
  <si>
    <t>39, 34, 37 [1]</t>
  </si>
  <si>
    <t>5, 6, 2</t>
  </si>
  <si>
    <t>GB Ca II 44</t>
  </si>
  <si>
    <t>p. 14</t>
  </si>
  <si>
    <t>Chronicon S. Neoti</t>
  </si>
  <si>
    <t>betw. c.1120 &amp; 1140?</t>
  </si>
  <si>
    <t>Ca I 351</t>
  </si>
  <si>
    <t>Ca II 44</t>
  </si>
  <si>
    <t>Cambridge, Trinity College, R. 7. 28 (770) [pp. 1-74]</t>
  </si>
  <si>
    <t>(34, 34)</t>
  </si>
  <si>
    <t>Cambridge Trinity R. 14. 9 (884)</t>
  </si>
  <si>
    <t>GB Ca II 93</t>
  </si>
  <si>
    <t>9v</t>
  </si>
  <si>
    <t>Chronicon Breve</t>
  </si>
  <si>
    <t>betw. 1188 &amp; 1191</t>
  </si>
  <si>
    <t>Ca I 354</t>
  </si>
  <si>
    <t>Ca II 93</t>
  </si>
  <si>
    <t>Cambridge, Trinity College R. 14. 9 (884), I</t>
  </si>
  <si>
    <t>(48, 48)</t>
  </si>
  <si>
    <t>Year numbers in red</t>
  </si>
  <si>
    <t>Cambridge Trinity R.17.1 (987)</t>
  </si>
  <si>
    <t>GB Ca II 63-64</t>
  </si>
  <si>
    <t>Psalterium tripartitum</t>
  </si>
  <si>
    <t>betw. 1145 &amp; 1170</t>
  </si>
  <si>
    <t>Ca I 358</t>
  </si>
  <si>
    <t>Ca II 63</t>
  </si>
  <si>
    <t>Cambridge, Trinity College, R. 17. 1 (987)</t>
  </si>
  <si>
    <t>(18, 36)</t>
  </si>
  <si>
    <t>Coloured drawings, illuminated and decorated initials, gold and silver, coloured initials;Rubrics present;Illuminations and coloured drawings present</t>
  </si>
  <si>
    <t>Cambridge Trinity O. 2. 1 (1105)</t>
  </si>
  <si>
    <t>GB Ca II 85</t>
  </si>
  <si>
    <t>k10v</t>
  </si>
  <si>
    <t>Kalendarium</t>
  </si>
  <si>
    <t>betw. 1173 &amp; 1189</t>
  </si>
  <si>
    <t>Ca I 362</t>
  </si>
  <si>
    <t>Ca II 85</t>
  </si>
  <si>
    <t>Cambridge, Trinity College, 0. 2. 1. (1105) [ff. K1-13]</t>
  </si>
  <si>
    <t>(23, 23)</t>
  </si>
  <si>
    <t>Cambridge Trinity O.5.20 (1301)</t>
  </si>
  <si>
    <t>71, 78, 71 [2]</t>
  </si>
  <si>
    <t>7, 8, 5</t>
  </si>
  <si>
    <t>GB Ca II 52</t>
  </si>
  <si>
    <t>p. 46</t>
  </si>
  <si>
    <t>Periphyseon, Johannes Scottus Eriugena</t>
  </si>
  <si>
    <t>betw. 1125 &amp; c.1143</t>
  </si>
  <si>
    <t>Malmesbury, England</t>
  </si>
  <si>
    <t>Ca I 379</t>
  </si>
  <si>
    <t>Ca II 52</t>
  </si>
  <si>
    <t>Malmesbury</t>
  </si>
  <si>
    <t>Cambridge, Trinity College, 0. 5. 20 (1301) [pp. 1-265]</t>
  </si>
  <si>
    <t>(54, 54)</t>
  </si>
  <si>
    <t>Wiltshire</t>
  </si>
  <si>
    <t>Column initials; rubrics;Rubrics</t>
  </si>
  <si>
    <t>Cambridge Trinity O.7.13 (1341)</t>
  </si>
  <si>
    <t>56, 57, 56 [1]</t>
  </si>
  <si>
    <t>2, 7, 3</t>
  </si>
  <si>
    <t>GB Ca II 82</t>
  </si>
  <si>
    <t>1r</t>
  </si>
  <si>
    <t>Epistolae, Cassiodorus</t>
  </si>
  <si>
    <t>betw. 1167 &amp; 1183?</t>
  </si>
  <si>
    <t>Ca I 380</t>
  </si>
  <si>
    <t>Ca II 82</t>
  </si>
  <si>
    <t>Cambridge, Trinity College, 0. 7. 13 (1341)</t>
  </si>
  <si>
    <t>Illuminated, historiated and decorated initials; column initials; rubrics.;Rubrics;Illuminated initials</t>
  </si>
  <si>
    <t>Cambridge Trinity Hall 2</t>
  </si>
  <si>
    <t>38, 34, 33 [1]</t>
  </si>
  <si>
    <t>0, 2, 1</t>
  </si>
  <si>
    <t>GB Ca II 81</t>
  </si>
  <si>
    <t>40r</t>
  </si>
  <si>
    <t>Super Leviticum, Radulphus Flaviacensis</t>
  </si>
  <si>
    <t>Ca I 391</t>
  </si>
  <si>
    <t>Ca II 81</t>
  </si>
  <si>
    <t>Cambridge, Trinity Hall, 2</t>
  </si>
  <si>
    <t>Illuminated, historiated and decorated initials; column initials; rubrics;Rubrics;Illuminated initials</t>
  </si>
  <si>
    <t>CUL Ii 3.33</t>
  </si>
  <si>
    <t>69, 72, 59 [1]</t>
  </si>
  <si>
    <t>7, 6, 4</t>
  </si>
  <si>
    <t>GB Ca II 32</t>
  </si>
  <si>
    <t>57r</t>
  </si>
  <si>
    <t>Registrum epistolarum, Gregorius Magnus</t>
  </si>
  <si>
    <t>betw. 1079 &amp; 1101</t>
  </si>
  <si>
    <t>Ca I 58</t>
  </si>
  <si>
    <t>Ca II 32</t>
  </si>
  <si>
    <t>Cambridge, UL, Ii. 3. 33 [ff. 1-194]</t>
  </si>
  <si>
    <t>(39, 41)</t>
  </si>
  <si>
    <t>inhabited and decorated initials, column initials;rubrics present</t>
  </si>
  <si>
    <t>CUL Kk. 4. 6</t>
  </si>
  <si>
    <t>46, 44, 44 [1]</t>
  </si>
  <si>
    <t>3, 1, 2</t>
  </si>
  <si>
    <t>GB Ca II 57</t>
  </si>
  <si>
    <t>Liber Pontificalis</t>
  </si>
  <si>
    <t>betw. c.1130 &amp; 1145</t>
  </si>
  <si>
    <t>Ca I 65</t>
  </si>
  <si>
    <t>Ca II 57</t>
  </si>
  <si>
    <t>Cambridge, UL, Kk. 4. 6</t>
  </si>
  <si>
    <t>(46, 54)</t>
  </si>
  <si>
    <t>decorated and column initials;rubrics present</t>
  </si>
  <si>
    <t>Rouen BM 32 (A. 21) [f. 1v]</t>
  </si>
  <si>
    <t>34, 30, 30 [1]</t>
  </si>
  <si>
    <t>5, 4, 1</t>
  </si>
  <si>
    <t>F 7 II XXIX</t>
  </si>
  <si>
    <t>1v</t>
  </si>
  <si>
    <t>Gospels</t>
  </si>
  <si>
    <t>1084-1097</t>
  </si>
  <si>
    <t>Abingdon, N.D.</t>
  </si>
  <si>
    <t>Fr 7 (2)</t>
  </si>
  <si>
    <t>Fr 7 II XXIX</t>
  </si>
  <si>
    <t>Abingdon</t>
  </si>
  <si>
    <t>Rouen, Bibl. mun., 32 (A. 21)</t>
  </si>
  <si>
    <t>Oxfordshire, England</t>
  </si>
  <si>
    <t>historiated and decorated initials</t>
  </si>
  <si>
    <t>Bibliothèque nationale de France (BnF)</t>
  </si>
  <si>
    <t>Central Midlands</t>
  </si>
  <si>
    <t>Évreux BM 17 L</t>
  </si>
  <si>
    <t>31, 30, 30 [1]</t>
  </si>
  <si>
    <t>1, 2, 3</t>
  </si>
  <si>
    <t>F 7 II XLVIII</t>
  </si>
  <si>
    <t>70r</t>
  </si>
  <si>
    <t>Martyrologium, Usuardus</t>
  </si>
  <si>
    <t>c. 1173</t>
  </si>
  <si>
    <t>Wareham, S.Ethelwold</t>
  </si>
  <si>
    <t>Fr 7 (1)</t>
  </si>
  <si>
    <t>Fr 7 II XLVIII</t>
  </si>
  <si>
    <t>Évreux, Bibl. mun., 17 L.</t>
  </si>
  <si>
    <t>red and green initials</t>
  </si>
  <si>
    <t>London Public Record Office E31/1 [f. 33r]</t>
  </si>
  <si>
    <t>41, 47, 43 [1]</t>
  </si>
  <si>
    <t>10, 11, 11</t>
  </si>
  <si>
    <t>GB Lond II 4-7</t>
  </si>
  <si>
    <t>Little Domesday</t>
  </si>
  <si>
    <t>betw. 1086 &amp; 1088?</t>
  </si>
  <si>
    <t>Lo I 126</t>
  </si>
  <si>
    <t>Lo II 6</t>
  </si>
  <si>
    <t>London, PRO, E 31/1</t>
  </si>
  <si>
    <t>(22, 28)</t>
  </si>
  <si>
    <t>initials, rubrics;rubrics present</t>
  </si>
  <si>
    <t>London Libraries (Other)</t>
  </si>
  <si>
    <t>London Soc. of Antiquaries 59</t>
  </si>
  <si>
    <t>28, 25, 28 [1]</t>
  </si>
  <si>
    <t>2, 0, 0</t>
  </si>
  <si>
    <t>GB Lond II 21</t>
  </si>
  <si>
    <t>40v</t>
  </si>
  <si>
    <t>betw. 1214 &amp; 1222</t>
  </si>
  <si>
    <t>Lo I 148</t>
  </si>
  <si>
    <t>Lo II 21</t>
  </si>
  <si>
    <t>London, Society of Antiquaries, 59 [ff. 25-236]</t>
  </si>
  <si>
    <t>3 full-page tinted drawings; 2 full-page miniatures (fols 33-38); ilium; decorated initials; coloured initials; rubrics; Kai. in red, blue and black.;rubrics</t>
  </si>
  <si>
    <t>London Soc. of Antiquaries 154</t>
  </si>
  <si>
    <t>33, 36, 34 [2]</t>
  </si>
  <si>
    <t>6, 3, 3</t>
  </si>
  <si>
    <t>GB Lond II 13</t>
  </si>
  <si>
    <t>16r</t>
  </si>
  <si>
    <t>Winton Domesday</t>
  </si>
  <si>
    <t>c.1148</t>
  </si>
  <si>
    <t>Lo I 152</t>
  </si>
  <si>
    <t>Lo II 13</t>
  </si>
  <si>
    <t>London, Society of Antiquaries, 154</t>
  </si>
  <si>
    <t>Coloured initials; rubrics.;rubrics</t>
  </si>
  <si>
    <t>London Victoria Albert 404-1916</t>
  </si>
  <si>
    <t>31, 32, 34 [1]</t>
  </si>
  <si>
    <t>1, 1,1</t>
  </si>
  <si>
    <t>GB Lond II 18</t>
  </si>
  <si>
    <t>48r</t>
  </si>
  <si>
    <t>Missale de Lesnes</t>
  </si>
  <si>
    <t>betw. c.1197? &amp; 1220</t>
  </si>
  <si>
    <t>Lesnes, England</t>
  </si>
  <si>
    <t>Lo I 192</t>
  </si>
  <si>
    <t>Lo II 18</t>
  </si>
  <si>
    <t>Lesnes</t>
  </si>
  <si>
    <t>London, V &amp; A, L. 404-1916</t>
  </si>
  <si>
    <t>(22, 38)</t>
  </si>
  <si>
    <t>London Borough of Bexley</t>
  </si>
  <si>
    <t>Miniatures; ilium; historiated and decorated initials; coloured initials; rubrics; Kai. in red, blue and black.;rubrics;Miniatures and illumination present.</t>
  </si>
  <si>
    <t>London Lambeth Palace 51</t>
  </si>
  <si>
    <t>72, 72, 70 [2]</t>
  </si>
  <si>
    <t>13, 6, 4</t>
  </si>
  <si>
    <t>GB Lond II 19</t>
  </si>
  <si>
    <t>175r</t>
  </si>
  <si>
    <t>Liber revelationum, Peter of Cornwall</t>
  </si>
  <si>
    <t>1200-1221</t>
  </si>
  <si>
    <t>London, England</t>
  </si>
  <si>
    <t>Lo I 47</t>
  </si>
  <si>
    <t>Lo II 19</t>
  </si>
  <si>
    <t>London, Lambeth Palace, 51</t>
  </si>
  <si>
    <t>(39, 39)</t>
  </si>
  <si>
    <t>Column initials; rubrics (some erased);rubrics (some erased)</t>
  </si>
  <si>
    <t>Lambeth Palace 109</t>
  </si>
  <si>
    <t>68, 63, 67 [2]</t>
  </si>
  <si>
    <t>3, 5, 5</t>
  </si>
  <si>
    <t>GB Lond II 14</t>
  </si>
  <si>
    <t>Moralia in Job, libri VI-XI, Gregorius</t>
  </si>
  <si>
    <t>c. 1155-1176</t>
  </si>
  <si>
    <t>Lo I 55</t>
  </si>
  <si>
    <t>Lo II 14</t>
  </si>
  <si>
    <t>London, Lambeth Palace, 109</t>
  </si>
  <si>
    <t>Column initial (fol. 12), rubrics;rubrics</t>
  </si>
  <si>
    <t>London Lambeth Palace 224</t>
  </si>
  <si>
    <t>70, 73, 71 [2]</t>
  </si>
  <si>
    <t>11, 13, 12</t>
  </si>
  <si>
    <t>GB Lond II 8</t>
  </si>
  <si>
    <t>125r</t>
  </si>
  <si>
    <t>Opera, Anselmus</t>
  </si>
  <si>
    <t>1120-c.1143</t>
  </si>
  <si>
    <t>Lo I 65</t>
  </si>
  <si>
    <t>Lo II 8</t>
  </si>
  <si>
    <t>London, Lambeth Palace 224 [ff. ii, 1-174]</t>
  </si>
  <si>
    <t>London Lambeth Palace 236</t>
  </si>
  <si>
    <t>23, 24, 30 [1]</t>
  </si>
  <si>
    <t>4, 1, 1</t>
  </si>
  <si>
    <t>GB Lond II 22</t>
  </si>
  <si>
    <t>160r</t>
  </si>
  <si>
    <t>Gemma ecclesiastica, Giraldus Cambrensis</t>
  </si>
  <si>
    <t>1215-1223</t>
  </si>
  <si>
    <t>Lo I 66</t>
  </si>
  <si>
    <t>Lo II 22</t>
  </si>
  <si>
    <t>London, Lambeth Palace, 236</t>
  </si>
  <si>
    <t>(33, 34)</t>
  </si>
  <si>
    <t>Column initials; headings in blue; rubrics;rubrics</t>
  </si>
  <si>
    <t>London Lambeth Palace 415</t>
  </si>
  <si>
    <t>63, 60, 65 [2]</t>
  </si>
  <si>
    <t>9, 5, 9</t>
  </si>
  <si>
    <t>GB Lond II 20</t>
  </si>
  <si>
    <t>66r</t>
  </si>
  <si>
    <t>Epistolae Cantuarienses</t>
  </si>
  <si>
    <t>1201-1205?</t>
  </si>
  <si>
    <t>Lo I 80</t>
  </si>
  <si>
    <t>Lo II 20</t>
  </si>
  <si>
    <t>London, Lambeth Palace, 415</t>
  </si>
  <si>
    <t>Leiden UB BPL 114 B</t>
  </si>
  <si>
    <t>59, 53, 55 [1]</t>
  </si>
  <si>
    <t>8, 4, 5</t>
  </si>
  <si>
    <t>NL 1 II 57</t>
  </si>
  <si>
    <t>77r</t>
  </si>
  <si>
    <t>Institutiones grammaticae, Priscianus</t>
  </si>
  <si>
    <t>Grammaire, stylistique</t>
  </si>
  <si>
    <t>c. 1118</t>
  </si>
  <si>
    <t>NL 1 I 173</t>
  </si>
  <si>
    <t>Leiden, UBU, BPL 114 B</t>
  </si>
  <si>
    <t>Initials by the hand of the “Alexis Master”</t>
  </si>
  <si>
    <t>Dutch Libraries</t>
  </si>
  <si>
    <t>Bodl. Bodley 672</t>
  </si>
  <si>
    <t>38, 38, 39 [1]</t>
  </si>
  <si>
    <t>2, 2, 2</t>
  </si>
  <si>
    <t>GB Ox II 90</t>
  </si>
  <si>
    <t>121r</t>
  </si>
  <si>
    <t>Lucianus de laude Cestrie</t>
  </si>
  <si>
    <t>1194?</t>
  </si>
  <si>
    <t>Chester, England</t>
  </si>
  <si>
    <t>Ox I 108</t>
  </si>
  <si>
    <t>Ox II 90</t>
  </si>
  <si>
    <t>Chester</t>
  </si>
  <si>
    <t>Oxford, Bodleian Library, Bodley 672</t>
  </si>
  <si>
    <t>(23, 28)</t>
  </si>
  <si>
    <t>Cheshire</t>
  </si>
  <si>
    <t>Coloured initials, rubrics;rubrics</t>
  </si>
  <si>
    <t>Oxford Libraries</t>
  </si>
  <si>
    <t>Bodl. Auct. D. 2. 4</t>
  </si>
  <si>
    <t>GB Ox II 70</t>
  </si>
  <si>
    <t>ix r</t>
  </si>
  <si>
    <t>1161-1173/1168?</t>
  </si>
  <si>
    <t>Hyde, England</t>
  </si>
  <si>
    <t>Ox I 41</t>
  </si>
  <si>
    <t>Ox II 70</t>
  </si>
  <si>
    <t>Oxford, Bodleian Library, Auct. D. 2. 4 [ff.iii-xii]</t>
  </si>
  <si>
    <t>(30, 35)</t>
  </si>
  <si>
    <t>Bodl. Digby 40</t>
  </si>
  <si>
    <t>50, 50, 46 [1]</t>
  </si>
  <si>
    <t>5, 14, 11</t>
  </si>
  <si>
    <t>GB Ox II 83</t>
  </si>
  <si>
    <t>50r</t>
  </si>
  <si>
    <t>De computo, Roger of Hereford</t>
  </si>
  <si>
    <t>1177-1182</t>
  </si>
  <si>
    <t>Ox I 417</t>
  </si>
  <si>
    <t>Ox II 83</t>
  </si>
  <si>
    <t>Oxford, Bodleian Library, Digby 40 [ff. 21-51]</t>
  </si>
  <si>
    <t>Bodl. Digby 56</t>
  </si>
  <si>
    <t>71, 64, 63 [1]</t>
  </si>
  <si>
    <t>13, 18, 16</t>
  </si>
  <si>
    <t>GB Ox II 73</t>
  </si>
  <si>
    <t>198r</t>
  </si>
  <si>
    <t>Kalendarium, tabula computistica</t>
  </si>
  <si>
    <t>c.1164-1168</t>
  </si>
  <si>
    <t>England/Wales</t>
  </si>
  <si>
    <t>Ox I 418</t>
  </si>
  <si>
    <t>Ox II 73</t>
  </si>
  <si>
    <t>Oxford, Bodleian Library, Digby 56 [ff. 156-219]</t>
  </si>
  <si>
    <t>(35, 36)</t>
  </si>
  <si>
    <t>Diagrams, coloured initials, rubrics; parts of text in red;Rubrics present;Coloured initials</t>
  </si>
  <si>
    <t>Bodl. Auct. D. 2. 6</t>
  </si>
  <si>
    <t>GB Ox II 53</t>
  </si>
  <si>
    <t>5r</t>
  </si>
  <si>
    <t>1139-1158</t>
  </si>
  <si>
    <t>Ox I 42</t>
  </si>
  <si>
    <t>Ox II 53</t>
  </si>
  <si>
    <t>Oxford, Bodleian Library, Auct. D. 2. 6 [ff. 2-8]</t>
  </si>
  <si>
    <t>Illuminations, miniatures; parts of text in colours;Miniatures, illuminated details</t>
  </si>
  <si>
    <t>Bodl. Auct. D. 4. 6</t>
  </si>
  <si>
    <t>36, 37, 36 [1]</t>
  </si>
  <si>
    <t>3, 1, 1</t>
  </si>
  <si>
    <t>GB Ox II 64</t>
  </si>
  <si>
    <t>47r</t>
  </si>
  <si>
    <t>Psalterium glossatum</t>
  </si>
  <si>
    <t>1158-1164</t>
  </si>
  <si>
    <t>Ox I 45</t>
  </si>
  <si>
    <t>Ox II 64</t>
  </si>
  <si>
    <t>Oxford, Bodleian Library, Auct. D. 4. 6</t>
  </si>
  <si>
    <t>(16, 16)</t>
  </si>
  <si>
    <t>Illuminations and coloured initials;Illuminated initial on fol. 91</t>
  </si>
  <si>
    <t>Bodl. Barlow 6</t>
  </si>
  <si>
    <t>55, 53, 59 [2]</t>
  </si>
  <si>
    <t>3, 3, 3</t>
  </si>
  <si>
    <t>GB Ox II 87</t>
  </si>
  <si>
    <t>119r</t>
  </si>
  <si>
    <t>1187-1205</t>
  </si>
  <si>
    <t>Ox I 65</t>
  </si>
  <si>
    <t>Ox II 87</t>
  </si>
  <si>
    <t>Oxford, Bodleian Library, Barlow 6</t>
  </si>
  <si>
    <t>(39, 40)</t>
  </si>
  <si>
    <t>Illuminated initials (some historiated), coloured initials, rubrics;rubrics;Illuminated initials (some historiated)</t>
  </si>
  <si>
    <t>Bodl. e Mus. 112</t>
  </si>
  <si>
    <t>39, 44, 48 [1]</t>
  </si>
  <si>
    <t>8, 2, 4</t>
  </si>
  <si>
    <t>GB Ox II 37</t>
  </si>
  <si>
    <t>p. 304</t>
  </si>
  <si>
    <t>In Matthaeum, Hieronymus; etc.?</t>
  </si>
  <si>
    <t>1108-1126</t>
  </si>
  <si>
    <t>Ox I 657</t>
  </si>
  <si>
    <t>Ox II 37</t>
  </si>
  <si>
    <t>Oxford, Bodleian Library, eMusaeo 112</t>
  </si>
  <si>
    <t>Bodl. e Mus. 185</t>
  </si>
  <si>
    <t>28, 29, 27 [1]</t>
  </si>
  <si>
    <t>GB Ox II 97</t>
  </si>
  <si>
    <t>68r</t>
  </si>
  <si>
    <t>1208?</t>
  </si>
  <si>
    <t>Ox I 658</t>
  </si>
  <si>
    <t>Ox II 97</t>
  </si>
  <si>
    <t>Oxford, Bodleian Library, eMusaeo 185</t>
  </si>
  <si>
    <t>Coloured initials;Rubrics</t>
  </si>
  <si>
    <t>Bodl. e Mus. 249 [f. 9v]</t>
  </si>
  <si>
    <t>27, 26, 25 [1]</t>
  </si>
  <si>
    <t>5, 4, 5</t>
  </si>
  <si>
    <t>GB Ox II 82</t>
  </si>
  <si>
    <t>Epistolae, Gilbert Foliot</t>
  </si>
  <si>
    <t>c. 1177</t>
  </si>
  <si>
    <t>Ox I 661</t>
  </si>
  <si>
    <t>Ox II 82</t>
  </si>
  <si>
    <t>Oxford, Bodleian Library, eMusaeo 249</t>
  </si>
  <si>
    <t>(34, 35)</t>
  </si>
  <si>
    <t>Bodl. Rawl. Q. f. 8</t>
  </si>
  <si>
    <t>38, 42, 44 [1]</t>
  </si>
  <si>
    <t>GB Ox II 77</t>
  </si>
  <si>
    <t>18r</t>
  </si>
  <si>
    <t>Letters to and from Thomas Becket and other documents relating to him.</t>
  </si>
  <si>
    <t>1171-1177?</t>
  </si>
  <si>
    <t>Ox I 691</t>
  </si>
  <si>
    <t>Ox II 77</t>
  </si>
  <si>
    <t>Oxford, Bodleian Library, Rawlinson Q. f. 8</t>
  </si>
  <si>
    <t>Bodl. Arch. Selden b. 16</t>
  </si>
  <si>
    <t>63, 60, 55 [2]</t>
  </si>
  <si>
    <t>3, 0, 2</t>
  </si>
  <si>
    <t>GB Ox II 48</t>
  </si>
  <si>
    <t>73r</t>
  </si>
  <si>
    <t>Triple history (Vox Wilhelmi, Eutropius de gentis Romanorum)</t>
  </si>
  <si>
    <t>Ox I 696</t>
  </si>
  <si>
    <t>Ox II 48</t>
  </si>
  <si>
    <t>Oxford, Bodleian Library, Archivum Seldenianum B. 16</t>
  </si>
  <si>
    <t>Illuminated initials; coloured initials;rubrics;Illuminated initials, coloured initials</t>
  </si>
  <si>
    <t>Bodl. Tanner 169*</t>
  </si>
  <si>
    <t>32, 30, 30 [1]</t>
  </si>
  <si>
    <t>6, 1, 4</t>
  </si>
  <si>
    <t>GB Ox II 89</t>
  </si>
  <si>
    <t>p. 91</t>
  </si>
  <si>
    <t>Psalter</t>
  </si>
  <si>
    <t>1192-1193?</t>
  </si>
  <si>
    <t>Ox I 705</t>
  </si>
  <si>
    <t>Ox II 89</t>
  </si>
  <si>
    <t>Oxford, Bodleian Library, Tanner 169*</t>
  </si>
  <si>
    <t>Bodl. 297 [f. 145r]</t>
  </si>
  <si>
    <t>33, 35, 33 [1]</t>
  </si>
  <si>
    <t>8, 1, 4</t>
  </si>
  <si>
    <t>GB Ox II 50</t>
  </si>
  <si>
    <t>p. 145</t>
  </si>
  <si>
    <t>Chronicon, Florence of Worcester</t>
  </si>
  <si>
    <t>1131-1134?</t>
  </si>
  <si>
    <t>Ox I 75</t>
  </si>
  <si>
    <t>Ox II 50</t>
  </si>
  <si>
    <t>Oxford, Bodleian Library, Bodley 297 [p. 145]</t>
  </si>
  <si>
    <t>Oxford Corpus Christi 157 [f. 1r]</t>
  </si>
  <si>
    <t>77, 71, 74 [1]</t>
  </si>
  <si>
    <t>4, 6, 4</t>
  </si>
  <si>
    <t>GB Ox II 52</t>
  </si>
  <si>
    <t>p. 388</t>
  </si>
  <si>
    <t>1135-1143</t>
  </si>
  <si>
    <t>Ox I 775</t>
  </si>
  <si>
    <t>Ox II 52</t>
  </si>
  <si>
    <t>Oxford, Bodleian Library, Corpus Christi College 157 [p. 388]</t>
  </si>
  <si>
    <t>Coloured drawings and initials;Rubrics present</t>
  </si>
  <si>
    <t>Oxford Jesus 26</t>
  </si>
  <si>
    <t>51, 47, 46 [1]</t>
  </si>
  <si>
    <t>6, 6, 5</t>
  </si>
  <si>
    <t>GB Ox II 38</t>
  </si>
  <si>
    <t>24r</t>
  </si>
  <si>
    <t>Panormia, Ivo Carnotensis</t>
  </si>
  <si>
    <t>1119-1124</t>
  </si>
  <si>
    <t>Cirencester?, England</t>
  </si>
  <si>
    <t>Ox I 797</t>
  </si>
  <si>
    <t>Ox II 38</t>
  </si>
  <si>
    <t>Oxford, Bodleian Library, Jesus College 26</t>
  </si>
  <si>
    <t>(21, 22)</t>
  </si>
  <si>
    <t>Coloured initials;Rubrics present</t>
  </si>
  <si>
    <t>Oxford Jesus 52</t>
  </si>
  <si>
    <t>46, 48, 45 [2]</t>
  </si>
  <si>
    <t>4, 5, 10</t>
  </si>
  <si>
    <t>GB Ox II 58</t>
  </si>
  <si>
    <t>79r</t>
  </si>
  <si>
    <t>On the temple, Bede</t>
  </si>
  <si>
    <t>1149-1176</t>
  </si>
  <si>
    <t>Ox I 798</t>
  </si>
  <si>
    <t>Ox II 58</t>
  </si>
  <si>
    <t>Oxford, Bodleian Library, Jesus College 52</t>
  </si>
  <si>
    <t>(31, 31)</t>
  </si>
  <si>
    <t>Column initials and headings;rubrics</t>
  </si>
  <si>
    <t>Oxford Jesus 53</t>
  </si>
  <si>
    <t>26, 24, 25 [1]</t>
  </si>
  <si>
    <t>1, 3, 1</t>
  </si>
  <si>
    <t>GB Ox II 56</t>
  </si>
  <si>
    <t>111v</t>
  </si>
  <si>
    <t>Thirty Questions on the Books of Kings, Bede</t>
  </si>
  <si>
    <t>1147/1168-1176</t>
  </si>
  <si>
    <t>Ox I 799</t>
  </si>
  <si>
    <t>Ox II 56</t>
  </si>
  <si>
    <t>Oxford, Bodleian Library, Jesus College 53</t>
  </si>
  <si>
    <t>Oxford Jesus 63</t>
  </si>
  <si>
    <t>23, 25, 22 [1]</t>
  </si>
  <si>
    <t>0, 3, 1</t>
  </si>
  <si>
    <t>GB Ox II 59</t>
  </si>
  <si>
    <t>71v</t>
  </si>
  <si>
    <t>De excidio Hierosolymitano, Hegesippus</t>
  </si>
  <si>
    <t>Ox I 800</t>
  </si>
  <si>
    <t>Ox II 59</t>
  </si>
  <si>
    <t>Oxford, Bodleian Library, Jesus College 63</t>
  </si>
  <si>
    <t>Column initials;rubrics</t>
  </si>
  <si>
    <t>Oxford Jesus 67</t>
  </si>
  <si>
    <t>23, 19, 22 [1]</t>
  </si>
  <si>
    <t>0, 1, 2</t>
  </si>
  <si>
    <t>GB Ox II 60</t>
  </si>
  <si>
    <t>30v</t>
  </si>
  <si>
    <t>Exposition on Mark, Beda</t>
  </si>
  <si>
    <t>Ox I 801</t>
  </si>
  <si>
    <t>Ox II 60</t>
  </si>
  <si>
    <t>Oxford, Bodleian Library, Jesus College 67</t>
  </si>
  <si>
    <t>Columnar initials; rubrics;rubrics</t>
  </si>
  <si>
    <t>Oxford Jesus 68</t>
  </si>
  <si>
    <t>23, 21, 22 [1]</t>
  </si>
  <si>
    <t>1, 5, 4</t>
  </si>
  <si>
    <t>GB Ox II 57</t>
  </si>
  <si>
    <t>69v</t>
  </si>
  <si>
    <t>On Revelation, Beda</t>
  </si>
  <si>
    <t>Ox I 802</t>
  </si>
  <si>
    <t>Ox II 57</t>
  </si>
  <si>
    <t>Oxford, Bodleian Library, Jesus College 68</t>
  </si>
  <si>
    <t>Oxford Lincoln Lat. 100</t>
  </si>
  <si>
    <t>27, 26, 26 [1]</t>
  </si>
  <si>
    <t>2, 3, 2</t>
  </si>
  <si>
    <t>GB Ox II 45</t>
  </si>
  <si>
    <t>25r</t>
  </si>
  <si>
    <t>De re militari, Vegetius</t>
  </si>
  <si>
    <t>Manuels techniques</t>
  </si>
  <si>
    <t>c. 1125?</t>
  </si>
  <si>
    <t>Ox I 818</t>
  </si>
  <si>
    <t>Ox II 45</t>
  </si>
  <si>
    <t>Oxford, Bodleian Library, Lincoln College Lat. 100</t>
  </si>
  <si>
    <t>(44, 44)</t>
  </si>
  <si>
    <t>Oxford St John 17</t>
  </si>
  <si>
    <t>90, 93, 89 [2]</t>
  </si>
  <si>
    <t>21, 16, 19</t>
  </si>
  <si>
    <t>GB Ox II 33</t>
  </si>
  <si>
    <t>51v</t>
  </si>
  <si>
    <t>Tractatus de abaco, Garland, the Computist</t>
  </si>
  <si>
    <t>1083/1086-1092</t>
  </si>
  <si>
    <t>Ramsey?, England</t>
  </si>
  <si>
    <t>Ox I 867</t>
  </si>
  <si>
    <t>Ox II 33</t>
  </si>
  <si>
    <t>Ramsey</t>
  </si>
  <si>
    <t>Oxford, Bodleian Library, St. John's College 17</t>
  </si>
  <si>
    <t>(35, 55)</t>
  </si>
  <si>
    <t>Cambridgeshire?</t>
  </si>
  <si>
    <t>Coloured initials, diagrams, rubrics.;rubrics present</t>
  </si>
  <si>
    <t>Bodl. 561</t>
  </si>
  <si>
    <t>33, 34, 33 [1]</t>
  </si>
  <si>
    <t>1, 2, 2</t>
  </si>
  <si>
    <t>GB Ox II 43</t>
  </si>
  <si>
    <t>87v</t>
  </si>
  <si>
    <t>Poem against priests</t>
  </si>
  <si>
    <t>Poésie lyrique</t>
  </si>
  <si>
    <t>c. 1124-1133</t>
  </si>
  <si>
    <t>Ox I 99</t>
  </si>
  <si>
    <t>Ox II 43</t>
  </si>
  <si>
    <t>Oxford, Bodleian Library, Bodley 561 [ff. 61-97]</t>
  </si>
  <si>
    <t>BL Cotton Vespasian A.XXII</t>
  </si>
  <si>
    <t>49, 56, 58 [1]</t>
  </si>
  <si>
    <t>8, 7, 10</t>
  </si>
  <si>
    <t>GB BL II 120</t>
  </si>
  <si>
    <t>Annales prioratus Roffensis ab incarnatione ad annum 1360</t>
  </si>
  <si>
    <t>1214/1215?</t>
  </si>
  <si>
    <t>BL I 565</t>
  </si>
  <si>
    <t>BL II 120</t>
  </si>
  <si>
    <t>London, British Library, Cotton Vespasian A.XXII [ff. 9-34]</t>
  </si>
  <si>
    <t>(31, 32)</t>
  </si>
  <si>
    <t>column initials;rubrics</t>
  </si>
  <si>
    <t>London Lambeth Palace 8</t>
  </si>
  <si>
    <t>36, 37, 37 [1]</t>
  </si>
  <si>
    <t>4, 3, 3</t>
  </si>
  <si>
    <t>GB Lond II 17</t>
  </si>
  <si>
    <t>Opera historica, Radulphus de Diceto</t>
  </si>
  <si>
    <t>1188-1201</t>
  </si>
  <si>
    <t>London, England (St Paul Catherdal)</t>
  </si>
  <si>
    <t>Lo I 42</t>
  </si>
  <si>
    <t>Lo II 17</t>
  </si>
  <si>
    <t>St Paul Bishopic</t>
  </si>
  <si>
    <t>London, Lambeth Palace, 8</t>
  </si>
  <si>
    <t>(43, 44)</t>
  </si>
  <si>
    <t>Oxford Magdalen Lat. 172</t>
  </si>
  <si>
    <t>66, 68, 68 [1]</t>
  </si>
  <si>
    <t>9, 10, 5</t>
  </si>
  <si>
    <t>GB Ox II 46</t>
  </si>
  <si>
    <t>99r</t>
  </si>
  <si>
    <t>Gesta pontificum, William of Malmesbury</t>
  </si>
  <si>
    <t>soon after 1125</t>
  </si>
  <si>
    <t>Ox I 832</t>
  </si>
  <si>
    <t>Ox II 46</t>
  </si>
  <si>
    <t>Oxford, Bodleian Library, Magdalen Lat. 172</t>
  </si>
  <si>
    <t>(29, 33)</t>
  </si>
  <si>
    <t>Oxford Christ Church lat. 88</t>
  </si>
  <si>
    <t>35, 32, 34 [1]</t>
  </si>
  <si>
    <t>5, 3, 5</t>
  </si>
  <si>
    <t>GB Ox II 75</t>
  </si>
  <si>
    <t>Homiliae in evangelium Johannis, Augustinus Hipponensis</t>
  </si>
  <si>
    <t>Ox I 760</t>
  </si>
  <si>
    <t>Ox II 75</t>
  </si>
  <si>
    <t>Oxford, Bodleian Library, Christ Church lat. 88</t>
  </si>
  <si>
    <t>(41, 41)</t>
  </si>
  <si>
    <t>Cambridge Corpus Christi 146 [pp. 1-60, 319-30]</t>
  </si>
  <si>
    <t>39, 41, 41 [1]</t>
  </si>
  <si>
    <t>4, 0, 2</t>
  </si>
  <si>
    <t>GB Ca II 37</t>
  </si>
  <si>
    <t>p. 13-17</t>
  </si>
  <si>
    <t>Supplementum ad pontificalem</t>
  </si>
  <si>
    <t>betw. 1096 &amp; 1112</t>
  </si>
  <si>
    <t>Ca I 134</t>
  </si>
  <si>
    <t>Ca II 37</t>
  </si>
  <si>
    <t>Cambridge, Corpus Christi College 146 [pp. 1-60, 319-30]</t>
  </si>
  <si>
    <t>(27, 27)</t>
  </si>
  <si>
    <t>Inghilterra Worcestershire Worcester St. Mary, cathedral priory OSB</t>
  </si>
  <si>
    <t>Col. Inits, rubrics</t>
  </si>
  <si>
    <t>CUL kk. 1.23</t>
  </si>
  <si>
    <t>55, 62, 57 [1]</t>
  </si>
  <si>
    <t>7, 5, 7</t>
  </si>
  <si>
    <t>GB Ca II 43</t>
  </si>
  <si>
    <t>Exameron. Ambrosius</t>
  </si>
  <si>
    <t>betw. 1120 &amp; c.1130?</t>
  </si>
  <si>
    <t>Ca I 63</t>
  </si>
  <si>
    <t>Ca II 43</t>
  </si>
  <si>
    <t>Cambridge, UL, Kk. 1. 23</t>
  </si>
  <si>
    <t>Col. Inits., headings in alternate linesof red and green</t>
  </si>
  <si>
    <t>BL Egerton 3721</t>
  </si>
  <si>
    <t>33, 33, 40 [1]</t>
  </si>
  <si>
    <t>GB BL II 63a-b</t>
  </si>
  <si>
    <t>10r-11r, 49r</t>
  </si>
  <si>
    <t>De trinitate. Augustine.</t>
  </si>
  <si>
    <t>betw. 1119 &amp; 1146</t>
  </si>
  <si>
    <t>BL I 627</t>
  </si>
  <si>
    <t>BL II 63a-b</t>
  </si>
  <si>
    <t>London, British Library, Egerton 3721</t>
  </si>
  <si>
    <t>(22, 23)</t>
  </si>
  <si>
    <t>St Albans, England</t>
  </si>
  <si>
    <t>BNF Lat. 15170 [ff. 126-162]</t>
  </si>
  <si>
    <t>71, 64, 69 [1]</t>
  </si>
  <si>
    <t>10, 17, 17</t>
  </si>
  <si>
    <t>F Fr 3</t>
  </si>
  <si>
    <t>142r</t>
  </si>
  <si>
    <t>Kalendarium, tabulae et tractatus computi</t>
  </si>
  <si>
    <t>c. 1136?</t>
  </si>
  <si>
    <t>Fr 3</t>
  </si>
  <si>
    <t>Paris, BnF, Lat. 15170 [ff. 126-162]</t>
  </si>
  <si>
    <t>Miniatures, Decorated initals, rubrics</t>
  </si>
  <si>
    <t>BL Add. 35110</t>
  </si>
  <si>
    <t>44, 44, 43 [2]</t>
  </si>
  <si>
    <t>GB BL II 85ab</t>
  </si>
  <si>
    <t>35v</t>
  </si>
  <si>
    <t>Vite sanctorum</t>
  </si>
  <si>
    <t>betw. 1153 &amp; 1195?</t>
  </si>
  <si>
    <t>Durham?, England</t>
  </si>
  <si>
    <t>BL I 370</t>
  </si>
  <si>
    <t>BL II 85ab</t>
  </si>
  <si>
    <t>Durham</t>
  </si>
  <si>
    <t>London, British Library, Add. 35110</t>
  </si>
  <si>
    <t>(31, 33)</t>
  </si>
  <si>
    <t>Durham, England</t>
  </si>
  <si>
    <t>Cambridge Corpus Christi 199</t>
  </si>
  <si>
    <t>59, 61, 61 [1]</t>
  </si>
  <si>
    <t>4, 8, 10</t>
  </si>
  <si>
    <t>GB Ca II 33</t>
  </si>
  <si>
    <t>75v</t>
  </si>
  <si>
    <t>De trinitate, Augustine</t>
  </si>
  <si>
    <t>betw. 1085 &amp; 1091</t>
  </si>
  <si>
    <t>Llanbadarn Fawr, Wales</t>
  </si>
  <si>
    <t>Ca I 142</t>
  </si>
  <si>
    <t>Ca II 33</t>
  </si>
  <si>
    <t>Llanbadarn Fawr</t>
  </si>
  <si>
    <t>Cambridge, Corpus Christi College, 199</t>
  </si>
  <si>
    <t>Wales</t>
  </si>
  <si>
    <t>Column initials,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</si>
</sst>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6"/>
  <sheetViews>
    <sheetView tabSelected="1" topLeftCell="Q58" workbookViewId="0">
      <selection activeCell="V66" sqref="V66"/>
    </sheetView>
  </sheetViews>
  <sheetFormatPr baseColWidth="10" defaultColWidth="8.83203125" defaultRowHeight="15" x14ac:dyDescent="0.2"/>
  <cols>
    <col min="22" max="22" width="21.83203125" bestFit="1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>
        <v>14</v>
      </c>
      <c r="B2" t="s">
        <v>797</v>
      </c>
      <c r="C2" t="s">
        <v>62</v>
      </c>
      <c r="D2" t="s">
        <v>62</v>
      </c>
      <c r="E2" t="s">
        <v>62</v>
      </c>
      <c r="F2" t="s">
        <v>62</v>
      </c>
      <c r="G2" t="s">
        <v>62</v>
      </c>
      <c r="H2" t="s">
        <v>798</v>
      </c>
      <c r="I2" t="s">
        <v>799</v>
      </c>
      <c r="J2" t="s">
        <v>800</v>
      </c>
      <c r="K2" t="s">
        <v>801</v>
      </c>
      <c r="L2" t="s">
        <v>802</v>
      </c>
      <c r="M2" t="s">
        <v>518</v>
      </c>
      <c r="N2">
        <v>1</v>
      </c>
      <c r="O2">
        <v>330</v>
      </c>
      <c r="P2" t="s">
        <v>803</v>
      </c>
      <c r="Q2" t="s">
        <v>362</v>
      </c>
      <c r="R2" t="s">
        <v>804</v>
      </c>
      <c r="S2" t="s">
        <v>805</v>
      </c>
      <c r="T2">
        <v>1</v>
      </c>
      <c r="U2">
        <v>1</v>
      </c>
      <c r="V2" t="s">
        <v>254</v>
      </c>
      <c r="W2" t="s">
        <v>97</v>
      </c>
      <c r="X2" t="s">
        <v>806</v>
      </c>
      <c r="Y2">
        <v>1079</v>
      </c>
      <c r="Z2">
        <v>1101</v>
      </c>
      <c r="AA2">
        <v>11.4</v>
      </c>
      <c r="AB2">
        <v>11.2</v>
      </c>
      <c r="AC2">
        <v>11</v>
      </c>
      <c r="AD2">
        <v>195</v>
      </c>
      <c r="AE2" t="s">
        <v>807</v>
      </c>
      <c r="AF2">
        <v>1</v>
      </c>
      <c r="AG2">
        <v>310</v>
      </c>
      <c r="AH2">
        <v>202</v>
      </c>
      <c r="AI2">
        <v>243</v>
      </c>
      <c r="AJ2">
        <v>145</v>
      </c>
      <c r="AK2">
        <v>145</v>
      </c>
      <c r="AL2" t="s">
        <v>256</v>
      </c>
      <c r="AM2" t="s">
        <v>808</v>
      </c>
      <c r="AN2">
        <v>0</v>
      </c>
      <c r="AO2">
        <v>0</v>
      </c>
      <c r="AP2">
        <v>0</v>
      </c>
      <c r="AQ2">
        <v>3</v>
      </c>
      <c r="AR2">
        <v>2</v>
      </c>
      <c r="AS2" t="s">
        <v>538</v>
      </c>
      <c r="AT2">
        <v>51.280999999999999</v>
      </c>
      <c r="AU2">
        <v>1.081</v>
      </c>
      <c r="AV2" t="s">
        <v>166</v>
      </c>
      <c r="AW2" t="s">
        <v>82</v>
      </c>
      <c r="AX2" t="s">
        <v>83</v>
      </c>
      <c r="AY2">
        <v>40</v>
      </c>
      <c r="AZ2">
        <v>6.0750000000000002</v>
      </c>
      <c r="BA2">
        <v>62620</v>
      </c>
      <c r="BB2">
        <v>35235</v>
      </c>
      <c r="BC2">
        <v>0.56267965506228046</v>
      </c>
      <c r="BD2">
        <v>45.977011494252878</v>
      </c>
      <c r="BE2">
        <v>3.9080459770114939</v>
      </c>
      <c r="BF2">
        <v>0.88061797752809001</v>
      </c>
      <c r="BG2">
        <v>0</v>
      </c>
      <c r="BH2">
        <v>6.0750000000000002</v>
      </c>
      <c r="BI2">
        <v>0.11938202247191</v>
      </c>
    </row>
    <row r="3" spans="1:61" s="2" customFormat="1" x14ac:dyDescent="0.2">
      <c r="A3" s="2">
        <v>40</v>
      </c>
      <c r="B3" s="2" t="s">
        <v>1196</v>
      </c>
      <c r="C3" s="2" t="s">
        <v>62</v>
      </c>
      <c r="D3" s="2" t="s">
        <v>62</v>
      </c>
      <c r="E3" s="2" t="s">
        <v>62</v>
      </c>
      <c r="F3" s="2" t="s">
        <v>63</v>
      </c>
      <c r="G3" s="2" t="s">
        <v>62</v>
      </c>
      <c r="H3" s="2" t="s">
        <v>1197</v>
      </c>
      <c r="I3" s="2" t="s">
        <v>1198</v>
      </c>
      <c r="J3" s="2" t="s">
        <v>1199</v>
      </c>
      <c r="K3" s="2" t="s">
        <v>1200</v>
      </c>
      <c r="L3" s="2" t="s">
        <v>1201</v>
      </c>
      <c r="M3" s="2" t="s">
        <v>302</v>
      </c>
      <c r="N3" s="2">
        <v>1</v>
      </c>
      <c r="O3" s="2">
        <v>1272</v>
      </c>
      <c r="P3" s="2" t="s">
        <v>1202</v>
      </c>
      <c r="Q3" s="2" t="s">
        <v>1203</v>
      </c>
      <c r="R3" s="2" t="s">
        <v>1204</v>
      </c>
      <c r="S3" s="2" t="s">
        <v>1205</v>
      </c>
      <c r="T3" s="2">
        <v>1</v>
      </c>
      <c r="U3" s="2">
        <v>0</v>
      </c>
      <c r="V3" s="2" t="s">
        <v>1206</v>
      </c>
      <c r="W3" s="2" t="s">
        <v>97</v>
      </c>
      <c r="X3" s="2" t="s">
        <v>1207</v>
      </c>
      <c r="Y3" s="2">
        <v>1083</v>
      </c>
      <c r="Z3" s="2">
        <v>1092</v>
      </c>
      <c r="AA3" s="2">
        <v>11.4</v>
      </c>
      <c r="AB3" s="2">
        <v>11.2</v>
      </c>
      <c r="AC3" s="2">
        <v>11</v>
      </c>
      <c r="AD3" s="2">
        <v>177</v>
      </c>
      <c r="AE3" s="2" t="s">
        <v>1208</v>
      </c>
      <c r="AF3" s="2">
        <v>2</v>
      </c>
      <c r="AG3" s="2">
        <v>343</v>
      </c>
      <c r="AH3" s="2">
        <v>245</v>
      </c>
      <c r="AI3" s="2">
        <v>275</v>
      </c>
      <c r="AK3" s="2">
        <v>90</v>
      </c>
      <c r="AL3" s="2" t="s">
        <v>1209</v>
      </c>
      <c r="AM3" s="2" t="s">
        <v>1210</v>
      </c>
      <c r="AN3" s="2">
        <v>0</v>
      </c>
      <c r="AO3" s="2">
        <v>1</v>
      </c>
      <c r="AP3" s="2">
        <v>0</v>
      </c>
      <c r="AQ3" s="2">
        <v>1</v>
      </c>
      <c r="AR3" s="2">
        <v>2</v>
      </c>
      <c r="AS3" s="2" t="s">
        <v>978</v>
      </c>
      <c r="AT3" s="2">
        <v>53.225000000000001</v>
      </c>
      <c r="AU3" s="2">
        <v>-0.15</v>
      </c>
      <c r="AW3" s="2" t="s">
        <v>82</v>
      </c>
      <c r="AX3" s="2" t="s">
        <v>191</v>
      </c>
      <c r="AY3" s="2">
        <v>45</v>
      </c>
      <c r="AZ3" s="2">
        <v>6.1111111111111107</v>
      </c>
      <c r="BA3" s="2">
        <v>84035</v>
      </c>
      <c r="BD3" s="2">
        <v>50.370370370370367</v>
      </c>
      <c r="BE3" s="2">
        <v>10.37037037037037</v>
      </c>
      <c r="BF3" s="2">
        <v>0.8542080848243867</v>
      </c>
      <c r="BH3" s="2">
        <v>6.1111111111111107</v>
      </c>
      <c r="BI3" s="2">
        <v>0.1457919151756133</v>
      </c>
    </row>
    <row r="4" spans="1:61" x14ac:dyDescent="0.2">
      <c r="A4">
        <v>16</v>
      </c>
      <c r="B4" t="s">
        <v>820</v>
      </c>
      <c r="C4" t="s">
        <v>62</v>
      </c>
      <c r="D4" t="s">
        <v>62</v>
      </c>
      <c r="E4" t="s">
        <v>62</v>
      </c>
      <c r="F4" t="s">
        <v>62</v>
      </c>
      <c r="G4" t="s">
        <v>62</v>
      </c>
      <c r="H4" t="s">
        <v>821</v>
      </c>
      <c r="I4" t="s">
        <v>822</v>
      </c>
      <c r="J4" t="s">
        <v>823</v>
      </c>
      <c r="K4" t="s">
        <v>824</v>
      </c>
      <c r="L4" t="s">
        <v>825</v>
      </c>
      <c r="M4" t="s">
        <v>495</v>
      </c>
      <c r="N4">
        <v>1</v>
      </c>
      <c r="O4">
        <v>953</v>
      </c>
      <c r="P4" t="s">
        <v>826</v>
      </c>
      <c r="Q4" t="s">
        <v>827</v>
      </c>
      <c r="R4" t="s">
        <v>828</v>
      </c>
      <c r="S4" t="s">
        <v>829</v>
      </c>
      <c r="T4">
        <v>1</v>
      </c>
      <c r="U4">
        <v>1</v>
      </c>
      <c r="V4" t="s">
        <v>830</v>
      </c>
      <c r="W4" t="s">
        <v>97</v>
      </c>
      <c r="X4" t="s">
        <v>831</v>
      </c>
      <c r="Y4">
        <v>1084</v>
      </c>
      <c r="Z4">
        <v>1097</v>
      </c>
      <c r="AA4">
        <v>11.4</v>
      </c>
      <c r="AB4">
        <v>11.2</v>
      </c>
      <c r="AC4">
        <v>11</v>
      </c>
      <c r="AD4">
        <v>192</v>
      </c>
      <c r="AE4" t="s">
        <v>616</v>
      </c>
      <c r="AF4">
        <v>1</v>
      </c>
      <c r="AG4">
        <v>330</v>
      </c>
      <c r="AH4">
        <v>250</v>
      </c>
      <c r="AI4">
        <v>215</v>
      </c>
      <c r="AJ4">
        <v>129</v>
      </c>
      <c r="AK4">
        <v>129</v>
      </c>
      <c r="AL4" t="s">
        <v>832</v>
      </c>
      <c r="AM4" t="s">
        <v>833</v>
      </c>
      <c r="AN4">
        <v>0</v>
      </c>
      <c r="AO4">
        <v>0</v>
      </c>
      <c r="AP4">
        <v>1</v>
      </c>
      <c r="AQ4">
        <v>3</v>
      </c>
      <c r="AR4">
        <v>0</v>
      </c>
      <c r="AS4" t="s">
        <v>834</v>
      </c>
      <c r="AT4">
        <v>51.67</v>
      </c>
      <c r="AU4">
        <v>-1.2833000000000001</v>
      </c>
      <c r="AV4" t="s">
        <v>835</v>
      </c>
      <c r="AW4" t="s">
        <v>82</v>
      </c>
      <c r="AX4" t="s">
        <v>83</v>
      </c>
      <c r="AY4">
        <v>24</v>
      </c>
      <c r="AZ4">
        <v>8.9583333333333339</v>
      </c>
      <c r="BA4">
        <v>82500</v>
      </c>
      <c r="BB4">
        <v>27735</v>
      </c>
      <c r="BC4">
        <v>0.33618181818181819</v>
      </c>
      <c r="BD4">
        <v>24.28940568475452</v>
      </c>
      <c r="BE4">
        <v>2.5839793281653751</v>
      </c>
      <c r="BF4">
        <v>0.89737171464330401</v>
      </c>
      <c r="BG4">
        <v>0</v>
      </c>
      <c r="BH4">
        <v>8.9583333333333339</v>
      </c>
      <c r="BI4">
        <v>0.10262828535669601</v>
      </c>
    </row>
    <row r="5" spans="1:61" x14ac:dyDescent="0.2">
      <c r="B5" t="s">
        <v>1322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1323</v>
      </c>
      <c r="I5" t="s">
        <v>1324</v>
      </c>
      <c r="J5" t="s">
        <v>1325</v>
      </c>
      <c r="K5" t="s">
        <v>1326</v>
      </c>
      <c r="L5" t="s">
        <v>1327</v>
      </c>
      <c r="M5" t="s">
        <v>158</v>
      </c>
      <c r="N5">
        <v>1</v>
      </c>
      <c r="O5">
        <v>5006</v>
      </c>
      <c r="P5" t="s">
        <v>1328</v>
      </c>
      <c r="Q5" t="s">
        <v>1329</v>
      </c>
      <c r="R5" t="s">
        <v>1330</v>
      </c>
      <c r="S5" t="s">
        <v>1331</v>
      </c>
      <c r="T5">
        <v>0</v>
      </c>
      <c r="U5">
        <v>0</v>
      </c>
      <c r="V5" t="s">
        <v>1332</v>
      </c>
      <c r="W5" t="s">
        <v>350</v>
      </c>
      <c r="X5" t="s">
        <v>1333</v>
      </c>
      <c r="Y5">
        <v>1085</v>
      </c>
      <c r="Z5">
        <v>1091</v>
      </c>
      <c r="AA5">
        <v>11.4</v>
      </c>
      <c r="AB5">
        <v>11.2</v>
      </c>
      <c r="AC5">
        <v>11</v>
      </c>
      <c r="AD5">
        <v>78</v>
      </c>
      <c r="AE5" t="s">
        <v>366</v>
      </c>
      <c r="AF5">
        <v>1</v>
      </c>
      <c r="AG5">
        <v>277</v>
      </c>
      <c r="AH5">
        <v>182</v>
      </c>
      <c r="AI5">
        <v>221</v>
      </c>
      <c r="AJ5">
        <v>130</v>
      </c>
      <c r="AK5">
        <v>130</v>
      </c>
      <c r="AL5" t="s">
        <v>1334</v>
      </c>
      <c r="AM5" t="s">
        <v>1335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538</v>
      </c>
      <c r="AT5">
        <v>52.408000000000001</v>
      </c>
      <c r="AU5">
        <v>-4.0609999999999999</v>
      </c>
      <c r="AV5" t="s">
        <v>1334</v>
      </c>
      <c r="AW5" t="s">
        <v>82</v>
      </c>
      <c r="AX5" t="s">
        <v>83</v>
      </c>
      <c r="AY5">
        <v>36</v>
      </c>
      <c r="AZ5">
        <v>6.1388888888888893</v>
      </c>
      <c r="BA5">
        <v>50414</v>
      </c>
      <c r="BB5">
        <v>28730</v>
      </c>
      <c r="BC5">
        <v>0.56988138215575035</v>
      </c>
      <c r="BD5">
        <v>46.410256410256409</v>
      </c>
      <c r="BE5">
        <v>5.6410256410256414</v>
      </c>
      <c r="BF5">
        <v>0.89694148936170237</v>
      </c>
      <c r="BG5">
        <v>0</v>
      </c>
      <c r="BH5">
        <v>6.1388888888888893</v>
      </c>
      <c r="BI5">
        <v>0.1030585106382976</v>
      </c>
    </row>
    <row r="6" spans="1:61" x14ac:dyDescent="0.2">
      <c r="A6">
        <v>11</v>
      </c>
      <c r="B6" t="s">
        <v>848</v>
      </c>
      <c r="C6" t="s">
        <v>62</v>
      </c>
      <c r="D6" t="s">
        <v>62</v>
      </c>
      <c r="E6" t="s">
        <v>62</v>
      </c>
      <c r="F6" t="s">
        <v>62</v>
      </c>
      <c r="H6" t="s">
        <v>849</v>
      </c>
      <c r="I6" t="s">
        <v>850</v>
      </c>
      <c r="J6" t="s">
        <v>851</v>
      </c>
      <c r="K6" t="s">
        <v>531</v>
      </c>
      <c r="L6" t="s">
        <v>852</v>
      </c>
      <c r="M6" t="s">
        <v>91</v>
      </c>
      <c r="N6">
        <v>1</v>
      </c>
      <c r="O6">
        <v>1069</v>
      </c>
      <c r="P6" t="s">
        <v>853</v>
      </c>
      <c r="Q6" t="s">
        <v>172</v>
      </c>
      <c r="R6" t="s">
        <v>854</v>
      </c>
      <c r="S6" t="s">
        <v>855</v>
      </c>
      <c r="T6">
        <v>0</v>
      </c>
      <c r="U6">
        <v>0</v>
      </c>
      <c r="X6" t="s">
        <v>856</v>
      </c>
      <c r="Y6">
        <v>1086</v>
      </c>
      <c r="Z6">
        <v>1088</v>
      </c>
      <c r="AA6">
        <v>11.4</v>
      </c>
      <c r="AB6">
        <v>11.2</v>
      </c>
      <c r="AC6">
        <v>11</v>
      </c>
      <c r="AD6">
        <v>451</v>
      </c>
      <c r="AE6" t="s">
        <v>857</v>
      </c>
      <c r="AF6">
        <v>1</v>
      </c>
      <c r="AG6">
        <v>270</v>
      </c>
      <c r="AH6">
        <v>170</v>
      </c>
      <c r="AI6">
        <v>205</v>
      </c>
      <c r="AJ6">
        <v>115</v>
      </c>
      <c r="AK6">
        <v>115</v>
      </c>
      <c r="AM6" t="s">
        <v>858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859</v>
      </c>
      <c r="AW6" t="s">
        <v>82</v>
      </c>
      <c r="AX6" t="s">
        <v>83</v>
      </c>
      <c r="AY6">
        <v>25</v>
      </c>
      <c r="AZ6">
        <v>8.1999999999999993</v>
      </c>
      <c r="BA6">
        <v>45900</v>
      </c>
      <c r="BB6">
        <v>23575</v>
      </c>
      <c r="BC6">
        <v>0.51361655773420478</v>
      </c>
      <c r="BD6">
        <v>37.971014492753618</v>
      </c>
      <c r="BE6">
        <v>9.27536231884058</v>
      </c>
      <c r="BG6">
        <v>0</v>
      </c>
      <c r="BH6">
        <v>8.1999999999999993</v>
      </c>
    </row>
    <row r="7" spans="1:61" x14ac:dyDescent="0.2">
      <c r="A7">
        <v>22</v>
      </c>
      <c r="B7" t="s">
        <v>560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561</v>
      </c>
      <c r="I7" t="s">
        <v>562</v>
      </c>
      <c r="J7" t="s">
        <v>563</v>
      </c>
      <c r="K7" t="s">
        <v>564</v>
      </c>
      <c r="L7" t="s">
        <v>565</v>
      </c>
      <c r="M7" t="s">
        <v>125</v>
      </c>
      <c r="N7">
        <v>1</v>
      </c>
      <c r="O7">
        <v>265</v>
      </c>
      <c r="P7" t="s">
        <v>566</v>
      </c>
      <c r="Q7" t="s">
        <v>362</v>
      </c>
      <c r="R7" t="s">
        <v>567</v>
      </c>
      <c r="S7" t="s">
        <v>568</v>
      </c>
      <c r="T7">
        <v>1</v>
      </c>
      <c r="U7">
        <v>1</v>
      </c>
      <c r="V7" t="s">
        <v>254</v>
      </c>
      <c r="W7" t="s">
        <v>97</v>
      </c>
      <c r="X7" t="s">
        <v>569</v>
      </c>
      <c r="Y7">
        <v>1091</v>
      </c>
      <c r="Z7">
        <v>1100</v>
      </c>
      <c r="AA7">
        <v>11.4</v>
      </c>
      <c r="AB7">
        <v>11.2</v>
      </c>
      <c r="AC7">
        <v>11</v>
      </c>
      <c r="AD7">
        <v>170</v>
      </c>
      <c r="AE7" t="s">
        <v>420</v>
      </c>
      <c r="AF7">
        <v>1</v>
      </c>
      <c r="AG7">
        <v>265</v>
      </c>
      <c r="AH7">
        <v>170</v>
      </c>
      <c r="AI7">
        <v>195</v>
      </c>
      <c r="AJ7">
        <v>104</v>
      </c>
      <c r="AK7">
        <v>104</v>
      </c>
      <c r="AL7" t="s">
        <v>256</v>
      </c>
      <c r="AM7" t="s">
        <v>570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538</v>
      </c>
      <c r="AT7">
        <v>51.280999999999999</v>
      </c>
      <c r="AU7">
        <v>1.081</v>
      </c>
      <c r="AV7" t="s">
        <v>166</v>
      </c>
      <c r="AW7" t="s">
        <v>82</v>
      </c>
      <c r="AX7" t="s">
        <v>83</v>
      </c>
      <c r="AY7">
        <v>20</v>
      </c>
      <c r="AZ7">
        <v>9.75</v>
      </c>
      <c r="BA7">
        <v>45050</v>
      </c>
      <c r="BB7">
        <v>20280</v>
      </c>
      <c r="BC7">
        <v>0.45016648168701451</v>
      </c>
      <c r="BD7">
        <v>32.371794871794869</v>
      </c>
      <c r="BE7">
        <v>2.2435897435897441</v>
      </c>
      <c r="BF7">
        <v>0.91217948717948738</v>
      </c>
      <c r="BG7">
        <v>0</v>
      </c>
      <c r="BH7">
        <v>9.75</v>
      </c>
      <c r="BI7">
        <v>8.782051282051262E-2</v>
      </c>
    </row>
    <row r="8" spans="1:61" x14ac:dyDescent="0.2">
      <c r="A8">
        <v>24</v>
      </c>
      <c r="B8" t="s">
        <v>271</v>
      </c>
      <c r="C8" t="s">
        <v>62</v>
      </c>
      <c r="D8" t="s">
        <v>62</v>
      </c>
      <c r="E8" t="s">
        <v>62</v>
      </c>
      <c r="F8" t="s">
        <v>62</v>
      </c>
      <c r="G8" t="s">
        <v>62</v>
      </c>
      <c r="H8" t="s">
        <v>272</v>
      </c>
      <c r="I8" t="s">
        <v>273</v>
      </c>
      <c r="J8" t="s">
        <v>274</v>
      </c>
      <c r="K8" t="s">
        <v>275</v>
      </c>
      <c r="L8" t="s">
        <v>276</v>
      </c>
      <c r="M8" t="s">
        <v>91</v>
      </c>
      <c r="N8">
        <v>1</v>
      </c>
      <c r="O8">
        <v>168</v>
      </c>
      <c r="P8" t="s">
        <v>277</v>
      </c>
      <c r="Q8" t="s">
        <v>278</v>
      </c>
      <c r="R8" t="s">
        <v>279</v>
      </c>
      <c r="S8" t="s">
        <v>280</v>
      </c>
      <c r="T8">
        <v>1</v>
      </c>
      <c r="U8">
        <v>1</v>
      </c>
      <c r="V8" t="s">
        <v>239</v>
      </c>
      <c r="W8" t="s">
        <v>97</v>
      </c>
      <c r="X8" t="s">
        <v>281</v>
      </c>
      <c r="Y8">
        <v>1096</v>
      </c>
      <c r="Z8">
        <v>1096</v>
      </c>
      <c r="AA8">
        <v>11.4</v>
      </c>
      <c r="AB8">
        <v>11.2</v>
      </c>
      <c r="AC8">
        <v>11</v>
      </c>
      <c r="AD8">
        <v>82</v>
      </c>
      <c r="AE8" t="s">
        <v>282</v>
      </c>
      <c r="AF8">
        <v>2</v>
      </c>
      <c r="AG8">
        <v>320</v>
      </c>
      <c r="AH8">
        <v>250</v>
      </c>
      <c r="AI8">
        <v>285</v>
      </c>
      <c r="AJ8">
        <v>255</v>
      </c>
      <c r="AK8">
        <v>105</v>
      </c>
      <c r="AL8" t="s">
        <v>242</v>
      </c>
      <c r="AM8" t="s">
        <v>283</v>
      </c>
      <c r="AN8">
        <v>0</v>
      </c>
      <c r="AO8">
        <v>0</v>
      </c>
      <c r="AP8">
        <v>0</v>
      </c>
      <c r="AQ8">
        <v>1</v>
      </c>
      <c r="AR8">
        <v>2</v>
      </c>
      <c r="AS8" t="s">
        <v>80</v>
      </c>
      <c r="AT8">
        <v>52.192</v>
      </c>
      <c r="AU8">
        <v>-2.2210000000000001</v>
      </c>
      <c r="AV8" t="s">
        <v>244</v>
      </c>
      <c r="AW8" t="s">
        <v>82</v>
      </c>
      <c r="AX8" t="s">
        <v>191</v>
      </c>
      <c r="AY8">
        <v>27.5</v>
      </c>
      <c r="AZ8">
        <v>10.36363636363636</v>
      </c>
      <c r="BA8">
        <v>80000</v>
      </c>
      <c r="BB8">
        <v>72675</v>
      </c>
      <c r="BC8">
        <v>0.90843750000000001</v>
      </c>
      <c r="BD8">
        <v>34.603174603174608</v>
      </c>
      <c r="BE8">
        <v>2.2222222222222219</v>
      </c>
      <c r="BF8">
        <v>0.89851702433333058</v>
      </c>
      <c r="BG8">
        <v>45</v>
      </c>
      <c r="BH8">
        <v>10.36363636363636</v>
      </c>
      <c r="BI8">
        <v>0.1014829756666694</v>
      </c>
    </row>
    <row r="9" spans="1:61" s="2" customFormat="1" x14ac:dyDescent="0.2">
      <c r="B9" s="2" t="s">
        <v>1265</v>
      </c>
      <c r="C9" s="2" t="s">
        <v>63</v>
      </c>
      <c r="D9" s="2" t="s">
        <v>63</v>
      </c>
      <c r="E9" s="2" t="s">
        <v>62</v>
      </c>
      <c r="F9" s="2" t="s">
        <v>63</v>
      </c>
      <c r="G9" s="2" t="s">
        <v>62</v>
      </c>
      <c r="H9" s="2" t="s">
        <v>1266</v>
      </c>
      <c r="I9" s="2" t="s">
        <v>1267</v>
      </c>
      <c r="J9" s="2" t="s">
        <v>1268</v>
      </c>
      <c r="K9" s="2" t="s">
        <v>1269</v>
      </c>
      <c r="L9" s="2" t="s">
        <v>1270</v>
      </c>
      <c r="M9" s="2" t="s">
        <v>125</v>
      </c>
      <c r="N9" s="2">
        <v>0</v>
      </c>
      <c r="O9" s="2">
        <v>5000</v>
      </c>
      <c r="P9" s="2" t="s">
        <v>1271</v>
      </c>
      <c r="Q9" s="2" t="s">
        <v>278</v>
      </c>
      <c r="R9" s="2" t="s">
        <v>1272</v>
      </c>
      <c r="S9" s="2" t="s">
        <v>1273</v>
      </c>
      <c r="T9" s="2">
        <v>1</v>
      </c>
      <c r="U9" s="2">
        <v>1</v>
      </c>
      <c r="V9" s="2" t="s">
        <v>239</v>
      </c>
      <c r="W9" s="2" t="s">
        <v>97</v>
      </c>
      <c r="X9" s="2" t="s">
        <v>1274</v>
      </c>
      <c r="Y9" s="2">
        <v>1096</v>
      </c>
      <c r="Z9" s="2">
        <v>1112</v>
      </c>
      <c r="AA9" s="2">
        <v>12.1</v>
      </c>
      <c r="AB9" s="2">
        <v>12.1</v>
      </c>
      <c r="AC9" s="2">
        <v>12</v>
      </c>
      <c r="AD9" s="2">
        <v>72</v>
      </c>
      <c r="AE9" s="2" t="s">
        <v>1275</v>
      </c>
      <c r="AF9" s="2">
        <v>1</v>
      </c>
      <c r="AG9" s="2">
        <v>315</v>
      </c>
      <c r="AH9" s="2">
        <v>187</v>
      </c>
      <c r="AI9" s="2">
        <v>244</v>
      </c>
      <c r="AJ9" s="2">
        <v>123</v>
      </c>
      <c r="AK9" s="2">
        <v>123</v>
      </c>
      <c r="AL9" s="2" t="s">
        <v>1276</v>
      </c>
      <c r="AM9" s="2" t="s">
        <v>1277</v>
      </c>
      <c r="AN9" s="2">
        <v>0</v>
      </c>
      <c r="AO9" s="2">
        <v>0</v>
      </c>
      <c r="AP9" s="2">
        <v>0</v>
      </c>
      <c r="AQ9" s="2">
        <v>1</v>
      </c>
      <c r="AR9" s="2">
        <v>2</v>
      </c>
      <c r="AS9" s="2" t="s">
        <v>538</v>
      </c>
      <c r="AT9" s="2">
        <v>52.192</v>
      </c>
      <c r="AU9" s="2">
        <v>-2.2210000000000001</v>
      </c>
      <c r="AV9" s="2" t="s">
        <v>244</v>
      </c>
      <c r="AW9" s="2" t="s">
        <v>82</v>
      </c>
      <c r="AX9" s="2" t="s">
        <v>83</v>
      </c>
      <c r="AY9" s="2">
        <v>27</v>
      </c>
      <c r="AZ9" s="2">
        <v>9.0370370370370363</v>
      </c>
      <c r="BA9" s="2">
        <v>58905</v>
      </c>
      <c r="BB9" s="2">
        <v>30012</v>
      </c>
      <c r="BC9" s="2">
        <v>0.50949834479246248</v>
      </c>
      <c r="BD9" s="2">
        <v>32.791327913279133</v>
      </c>
      <c r="BE9" s="2">
        <v>1.626016260162602</v>
      </c>
      <c r="BF9" s="2">
        <v>0.88732394366197176</v>
      </c>
      <c r="BG9" s="2">
        <v>0</v>
      </c>
      <c r="BH9" s="2">
        <v>9.0370370370370363</v>
      </c>
      <c r="BI9" s="2">
        <v>0.1126760563380282</v>
      </c>
    </row>
    <row r="10" spans="1:61" s="2" customFormat="1" x14ac:dyDescent="0.2">
      <c r="A10" s="2">
        <v>26</v>
      </c>
      <c r="B10" s="2" t="s">
        <v>152</v>
      </c>
      <c r="C10" s="2" t="s">
        <v>63</v>
      </c>
      <c r="D10" s="2" t="s">
        <v>62</v>
      </c>
      <c r="E10" s="2" t="s">
        <v>62</v>
      </c>
      <c r="F10" s="2" t="s">
        <v>62</v>
      </c>
      <c r="G10" s="2" t="s">
        <v>62</v>
      </c>
      <c r="H10" s="2" t="s">
        <v>153</v>
      </c>
      <c r="I10" s="2" t="s">
        <v>154</v>
      </c>
      <c r="J10" s="2" t="s">
        <v>155</v>
      </c>
      <c r="K10" s="2" t="s">
        <v>156</v>
      </c>
      <c r="L10" s="2" t="s">
        <v>157</v>
      </c>
      <c r="M10" s="2" t="s">
        <v>158</v>
      </c>
      <c r="N10" s="2">
        <v>1</v>
      </c>
      <c r="O10" s="2">
        <v>130</v>
      </c>
      <c r="P10" s="2" t="s">
        <v>159</v>
      </c>
      <c r="Q10" s="2" t="s">
        <v>160</v>
      </c>
      <c r="R10" s="2" t="s">
        <v>161</v>
      </c>
      <c r="S10" s="2" t="s">
        <v>162</v>
      </c>
      <c r="T10" s="2">
        <v>1</v>
      </c>
      <c r="U10" s="2">
        <v>1</v>
      </c>
      <c r="V10" s="2" t="s">
        <v>163</v>
      </c>
      <c r="W10" s="2" t="s">
        <v>97</v>
      </c>
      <c r="X10" s="2" t="s">
        <v>164</v>
      </c>
      <c r="Y10" s="2">
        <v>1099</v>
      </c>
      <c r="Z10" s="2">
        <v>1099</v>
      </c>
      <c r="AA10" s="2">
        <v>11.4</v>
      </c>
      <c r="AB10" s="2">
        <v>11.2</v>
      </c>
      <c r="AC10" s="2">
        <v>11</v>
      </c>
      <c r="AD10" s="2">
        <v>1</v>
      </c>
      <c r="AE10" s="2" t="s">
        <v>133</v>
      </c>
      <c r="AF10" s="2">
        <v>1</v>
      </c>
      <c r="AG10" s="2">
        <v>295</v>
      </c>
      <c r="AH10" s="2">
        <v>193</v>
      </c>
      <c r="AI10" s="2">
        <v>220</v>
      </c>
      <c r="AJ10" s="2">
        <v>130</v>
      </c>
      <c r="AK10" s="2">
        <v>130</v>
      </c>
      <c r="AL10" s="2" t="s">
        <v>165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 t="s">
        <v>80</v>
      </c>
      <c r="AT10" s="2">
        <v>51.06</v>
      </c>
      <c r="AU10" s="2">
        <v>-1.3160000000000001</v>
      </c>
      <c r="AV10" s="2" t="s">
        <v>166</v>
      </c>
      <c r="AW10" s="2" t="s">
        <v>82</v>
      </c>
      <c r="AX10" s="2" t="s">
        <v>83</v>
      </c>
      <c r="AY10" s="2">
        <v>22</v>
      </c>
      <c r="AZ10" s="2">
        <v>10</v>
      </c>
      <c r="BA10" s="2">
        <v>56935</v>
      </c>
      <c r="BB10" s="2">
        <v>28600</v>
      </c>
      <c r="BC10" s="2">
        <v>0.50232721524545532</v>
      </c>
      <c r="BD10" s="2">
        <v>29.743589743589741</v>
      </c>
      <c r="BE10" s="2">
        <v>3.5897435897435899</v>
      </c>
      <c r="BF10" s="2">
        <v>0.84479271991911065</v>
      </c>
      <c r="BG10" s="2">
        <v>0</v>
      </c>
      <c r="BH10" s="2">
        <v>10</v>
      </c>
      <c r="BI10" s="2">
        <v>0.15520728008088941</v>
      </c>
    </row>
    <row r="11" spans="1:61" x14ac:dyDescent="0.2">
      <c r="A11" t="s">
        <v>84</v>
      </c>
      <c r="B11" t="s">
        <v>85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>
        <v>1</v>
      </c>
      <c r="O11">
        <v>122</v>
      </c>
      <c r="P11" t="s">
        <v>92</v>
      </c>
      <c r="Q11" t="s">
        <v>93</v>
      </c>
      <c r="R11" t="s">
        <v>94</v>
      </c>
      <c r="S11" t="s">
        <v>95</v>
      </c>
      <c r="T11">
        <v>1</v>
      </c>
      <c r="U11">
        <v>1</v>
      </c>
      <c r="V11" t="s">
        <v>96</v>
      </c>
      <c r="W11" t="s">
        <v>97</v>
      </c>
      <c r="X11" t="s">
        <v>98</v>
      </c>
      <c r="Y11">
        <v>1100</v>
      </c>
      <c r="Z11">
        <v>1100</v>
      </c>
      <c r="AA11">
        <v>11.4</v>
      </c>
      <c r="AB11">
        <v>11.2</v>
      </c>
      <c r="AC11">
        <v>11</v>
      </c>
      <c r="AD11">
        <v>1</v>
      </c>
      <c r="AE11" t="s">
        <v>99</v>
      </c>
      <c r="AF11">
        <v>5</v>
      </c>
      <c r="AG11">
        <v>312</v>
      </c>
      <c r="AH11">
        <v>235</v>
      </c>
      <c r="AI11">
        <v>300</v>
      </c>
      <c r="AJ11">
        <v>175</v>
      </c>
      <c r="AK11">
        <v>33</v>
      </c>
      <c r="AL11" t="s">
        <v>100</v>
      </c>
      <c r="AN11">
        <v>0</v>
      </c>
      <c r="AO11">
        <v>0</v>
      </c>
      <c r="AP11">
        <v>0</v>
      </c>
      <c r="AQ11">
        <v>0</v>
      </c>
      <c r="AR11">
        <v>0</v>
      </c>
      <c r="AS11" t="s">
        <v>80</v>
      </c>
      <c r="AT11">
        <v>52.53</v>
      </c>
      <c r="AU11">
        <v>-0.15</v>
      </c>
      <c r="AV11" t="s">
        <v>101</v>
      </c>
      <c r="AW11" t="s">
        <v>82</v>
      </c>
      <c r="AX11" t="s">
        <v>102</v>
      </c>
      <c r="AY11">
        <v>40.5</v>
      </c>
      <c r="AZ11">
        <v>7.4074074074074074</v>
      </c>
      <c r="BA11">
        <v>73320</v>
      </c>
      <c r="BB11">
        <v>52500</v>
      </c>
      <c r="BC11">
        <v>0.71603927986906712</v>
      </c>
      <c r="BD11">
        <v>37.575757575757571</v>
      </c>
      <c r="BE11">
        <v>2.8282828282828278</v>
      </c>
      <c r="BF11">
        <v>0.794337396775462</v>
      </c>
      <c r="BG11">
        <v>10</v>
      </c>
      <c r="BH11">
        <v>7.4074074074074074</v>
      </c>
      <c r="BI11">
        <v>0.205662603224538</v>
      </c>
    </row>
    <row r="12" spans="1:61" x14ac:dyDescent="0.2">
      <c r="A12">
        <v>35</v>
      </c>
      <c r="B12" t="s">
        <v>354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355</v>
      </c>
      <c r="I12" t="s">
        <v>356</v>
      </c>
      <c r="J12" t="s">
        <v>357</v>
      </c>
      <c r="K12" t="s">
        <v>358</v>
      </c>
      <c r="L12" t="s">
        <v>359</v>
      </c>
      <c r="M12" t="s">
        <v>360</v>
      </c>
      <c r="N12">
        <v>1</v>
      </c>
      <c r="O12">
        <v>186</v>
      </c>
      <c r="P12" t="s">
        <v>361</v>
      </c>
      <c r="Q12" t="s">
        <v>362</v>
      </c>
      <c r="R12" t="s">
        <v>363</v>
      </c>
      <c r="S12" t="s">
        <v>364</v>
      </c>
      <c r="T12">
        <v>1</v>
      </c>
      <c r="U12">
        <v>1</v>
      </c>
      <c r="V12" t="s">
        <v>254</v>
      </c>
      <c r="W12" t="s">
        <v>97</v>
      </c>
      <c r="X12" t="s">
        <v>365</v>
      </c>
      <c r="Y12">
        <v>1100</v>
      </c>
      <c r="Z12">
        <v>1110</v>
      </c>
      <c r="AA12">
        <v>12.1</v>
      </c>
      <c r="AB12">
        <v>12.1</v>
      </c>
      <c r="AC12">
        <v>12</v>
      </c>
      <c r="AD12">
        <v>43</v>
      </c>
      <c r="AE12" t="s">
        <v>366</v>
      </c>
      <c r="AF12">
        <v>1</v>
      </c>
      <c r="AG12">
        <v>290</v>
      </c>
      <c r="AH12">
        <v>200</v>
      </c>
      <c r="AI12">
        <v>240</v>
      </c>
      <c r="AJ12">
        <v>145</v>
      </c>
      <c r="AK12">
        <v>145</v>
      </c>
      <c r="AL12" t="s">
        <v>256</v>
      </c>
      <c r="AM12" t="s">
        <v>367</v>
      </c>
      <c r="AN12">
        <v>0</v>
      </c>
      <c r="AO12">
        <v>0</v>
      </c>
      <c r="AP12">
        <v>0</v>
      </c>
      <c r="AQ12">
        <v>3</v>
      </c>
      <c r="AR12">
        <v>2</v>
      </c>
      <c r="AS12" t="s">
        <v>80</v>
      </c>
      <c r="AT12">
        <v>51.280999999999999</v>
      </c>
      <c r="AU12">
        <v>1.081</v>
      </c>
      <c r="AV12" t="s">
        <v>166</v>
      </c>
      <c r="AW12" t="s">
        <v>82</v>
      </c>
      <c r="AX12" t="s">
        <v>83</v>
      </c>
      <c r="AY12">
        <v>36</v>
      </c>
      <c r="AZ12">
        <v>6.666666666666667</v>
      </c>
      <c r="BA12">
        <v>58000</v>
      </c>
      <c r="BB12">
        <v>34800</v>
      </c>
      <c r="BC12">
        <v>0.6</v>
      </c>
      <c r="BD12">
        <v>43.678160919540232</v>
      </c>
      <c r="BE12">
        <v>2.9885057471264371</v>
      </c>
      <c r="BF12">
        <v>0.87368373123307808</v>
      </c>
      <c r="BG12">
        <v>0</v>
      </c>
      <c r="BH12">
        <v>6.666666666666667</v>
      </c>
      <c r="BI12">
        <v>0.1263162687669219</v>
      </c>
    </row>
    <row r="13" spans="1:61" x14ac:dyDescent="0.2">
      <c r="A13">
        <v>34</v>
      </c>
      <c r="B13" t="s">
        <v>229</v>
      </c>
      <c r="C13" t="s">
        <v>62</v>
      </c>
      <c r="D13" t="s">
        <v>62</v>
      </c>
      <c r="E13" t="s">
        <v>62</v>
      </c>
      <c r="F13" t="s">
        <v>62</v>
      </c>
      <c r="G13" t="s">
        <v>62</v>
      </c>
      <c r="H13" t="s">
        <v>230</v>
      </c>
      <c r="I13" t="s">
        <v>231</v>
      </c>
      <c r="J13" t="s">
        <v>232</v>
      </c>
      <c r="K13" t="s">
        <v>233</v>
      </c>
      <c r="L13" t="s">
        <v>234</v>
      </c>
      <c r="M13" t="s">
        <v>69</v>
      </c>
      <c r="N13">
        <v>1</v>
      </c>
      <c r="O13">
        <v>158</v>
      </c>
      <c r="P13" t="s">
        <v>235</v>
      </c>
      <c r="Q13" t="s">
        <v>236</v>
      </c>
      <c r="R13" t="s">
        <v>237</v>
      </c>
      <c r="S13" t="s">
        <v>238</v>
      </c>
      <c r="T13">
        <v>1</v>
      </c>
      <c r="U13">
        <v>0</v>
      </c>
      <c r="V13" t="s">
        <v>239</v>
      </c>
      <c r="W13" t="s">
        <v>97</v>
      </c>
      <c r="X13" t="s">
        <v>240</v>
      </c>
      <c r="Y13">
        <v>1105</v>
      </c>
      <c r="Z13">
        <v>1105</v>
      </c>
      <c r="AA13">
        <v>12.1</v>
      </c>
      <c r="AB13">
        <v>12.1</v>
      </c>
      <c r="AC13">
        <v>12</v>
      </c>
      <c r="AD13">
        <v>159</v>
      </c>
      <c r="AE13" t="s">
        <v>241</v>
      </c>
      <c r="AF13">
        <v>1</v>
      </c>
      <c r="AG13">
        <v>318</v>
      </c>
      <c r="AH13">
        <v>230</v>
      </c>
      <c r="AI13">
        <v>235</v>
      </c>
      <c r="AJ13">
        <v>165</v>
      </c>
      <c r="AK13">
        <v>165</v>
      </c>
      <c r="AL13" t="s">
        <v>242</v>
      </c>
      <c r="AM13" t="s">
        <v>243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80</v>
      </c>
      <c r="AT13">
        <v>52.192</v>
      </c>
      <c r="AU13">
        <v>-2.2210000000000001</v>
      </c>
      <c r="AV13" t="s">
        <v>244</v>
      </c>
      <c r="AW13" t="s">
        <v>82</v>
      </c>
      <c r="AX13" t="s">
        <v>83</v>
      </c>
      <c r="AY13">
        <v>40</v>
      </c>
      <c r="AZ13">
        <v>5.875</v>
      </c>
      <c r="BA13">
        <v>73140</v>
      </c>
      <c r="BB13">
        <v>38775</v>
      </c>
      <c r="BC13">
        <v>0.53014766201804753</v>
      </c>
      <c r="BD13">
        <v>18.585858585858581</v>
      </c>
      <c r="BE13">
        <v>1.4141414141414139</v>
      </c>
      <c r="BF13">
        <v>0.85304198800342779</v>
      </c>
      <c r="BG13">
        <v>0</v>
      </c>
      <c r="BH13">
        <v>5.875</v>
      </c>
      <c r="BI13">
        <v>0.14695801199657221</v>
      </c>
    </row>
    <row r="14" spans="1:61" x14ac:dyDescent="0.2">
      <c r="A14">
        <v>42</v>
      </c>
      <c r="B14" t="s">
        <v>477</v>
      </c>
      <c r="C14" t="s">
        <v>62</v>
      </c>
      <c r="D14" t="s">
        <v>62</v>
      </c>
      <c r="E14" t="s">
        <v>62</v>
      </c>
      <c r="F14" t="s">
        <v>62</v>
      </c>
      <c r="G14" t="s">
        <v>62</v>
      </c>
      <c r="H14" t="s">
        <v>478</v>
      </c>
      <c r="I14" t="s">
        <v>479</v>
      </c>
      <c r="J14" t="s">
        <v>480</v>
      </c>
      <c r="K14" t="s">
        <v>481</v>
      </c>
      <c r="L14" t="s">
        <v>482</v>
      </c>
      <c r="M14" t="s">
        <v>429</v>
      </c>
      <c r="N14">
        <v>1</v>
      </c>
      <c r="O14">
        <v>239</v>
      </c>
      <c r="P14" t="s">
        <v>483</v>
      </c>
      <c r="Q14" t="s">
        <v>458</v>
      </c>
      <c r="R14" t="s">
        <v>484</v>
      </c>
      <c r="S14" t="s">
        <v>485</v>
      </c>
      <c r="T14">
        <v>1</v>
      </c>
      <c r="U14">
        <v>1</v>
      </c>
      <c r="V14" t="s">
        <v>461</v>
      </c>
      <c r="W14" t="s">
        <v>97</v>
      </c>
      <c r="X14" t="s">
        <v>486</v>
      </c>
      <c r="Y14">
        <v>1108</v>
      </c>
      <c r="Z14">
        <v>1114</v>
      </c>
      <c r="AA14">
        <v>12.1</v>
      </c>
      <c r="AB14">
        <v>12.1</v>
      </c>
      <c r="AC14">
        <v>12</v>
      </c>
      <c r="AD14">
        <v>259</v>
      </c>
      <c r="AE14" t="s">
        <v>487</v>
      </c>
      <c r="AF14">
        <v>2</v>
      </c>
      <c r="AG14">
        <v>322</v>
      </c>
      <c r="AH14">
        <v>242</v>
      </c>
      <c r="AI14">
        <v>268</v>
      </c>
      <c r="AJ14">
        <v>163</v>
      </c>
      <c r="AK14">
        <v>73</v>
      </c>
      <c r="AL14" t="s">
        <v>256</v>
      </c>
      <c r="AM14" t="s">
        <v>488</v>
      </c>
      <c r="AN14">
        <v>0</v>
      </c>
      <c r="AO14">
        <v>0</v>
      </c>
      <c r="AP14">
        <v>0</v>
      </c>
      <c r="AQ14">
        <v>2</v>
      </c>
      <c r="AR14">
        <v>2</v>
      </c>
      <c r="AS14" t="s">
        <v>80</v>
      </c>
      <c r="AT14">
        <v>51.386000000000003</v>
      </c>
      <c r="AU14">
        <v>0.498</v>
      </c>
      <c r="AV14" t="s">
        <v>166</v>
      </c>
      <c r="AW14" t="s">
        <v>82</v>
      </c>
      <c r="AX14" t="s">
        <v>191</v>
      </c>
      <c r="AY14">
        <v>40</v>
      </c>
      <c r="AZ14">
        <v>6.7</v>
      </c>
      <c r="BA14">
        <v>77924</v>
      </c>
      <c r="BB14">
        <v>43684</v>
      </c>
      <c r="BC14">
        <v>0.56059750526153684</v>
      </c>
      <c r="BD14">
        <v>48.401826484018272</v>
      </c>
      <c r="BE14">
        <v>7.3059360730593603</v>
      </c>
      <c r="BF14">
        <v>0.89609432571849679</v>
      </c>
      <c r="BG14">
        <v>17</v>
      </c>
      <c r="BH14">
        <v>6.7</v>
      </c>
      <c r="BI14">
        <v>0.1039056742815032</v>
      </c>
    </row>
    <row r="15" spans="1:61" x14ac:dyDescent="0.2">
      <c r="A15">
        <v>50</v>
      </c>
      <c r="B15" t="s">
        <v>1042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1043</v>
      </c>
      <c r="I15" t="s">
        <v>1044</v>
      </c>
      <c r="J15" t="s">
        <v>1045</v>
      </c>
      <c r="K15" t="s">
        <v>1046</v>
      </c>
      <c r="L15" t="s">
        <v>1047</v>
      </c>
      <c r="M15" t="s">
        <v>429</v>
      </c>
      <c r="N15">
        <v>1</v>
      </c>
      <c r="O15">
        <v>1237</v>
      </c>
      <c r="P15" t="s">
        <v>1048</v>
      </c>
      <c r="Q15" t="s">
        <v>400</v>
      </c>
      <c r="R15" t="s">
        <v>1049</v>
      </c>
      <c r="S15" t="s">
        <v>1050</v>
      </c>
      <c r="T15">
        <v>1</v>
      </c>
      <c r="U15">
        <v>1</v>
      </c>
      <c r="V15" t="s">
        <v>403</v>
      </c>
      <c r="W15" t="s">
        <v>97</v>
      </c>
      <c r="X15" t="s">
        <v>1051</v>
      </c>
      <c r="Y15">
        <v>1108</v>
      </c>
      <c r="Z15">
        <v>1126</v>
      </c>
      <c r="AA15">
        <v>12.1</v>
      </c>
      <c r="AB15">
        <v>12.1</v>
      </c>
      <c r="AC15">
        <v>12</v>
      </c>
      <c r="AD15">
        <v>345</v>
      </c>
      <c r="AE15" t="s">
        <v>337</v>
      </c>
      <c r="AF15">
        <v>1</v>
      </c>
      <c r="AG15">
        <v>230</v>
      </c>
      <c r="AH15">
        <v>168</v>
      </c>
      <c r="AI15">
        <v>173</v>
      </c>
      <c r="AJ15">
        <v>100</v>
      </c>
      <c r="AK15">
        <v>100</v>
      </c>
      <c r="AL15" t="s">
        <v>406</v>
      </c>
      <c r="AM15" t="s">
        <v>79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978</v>
      </c>
      <c r="AT15">
        <v>52.247999999999998</v>
      </c>
      <c r="AU15">
        <v>0.71199999999999997</v>
      </c>
      <c r="AV15" t="s">
        <v>408</v>
      </c>
      <c r="AW15" t="s">
        <v>82</v>
      </c>
      <c r="AX15" t="s">
        <v>83</v>
      </c>
      <c r="AY15">
        <v>30</v>
      </c>
      <c r="AZ15">
        <v>5.7666666666666666</v>
      </c>
      <c r="BA15">
        <v>38640</v>
      </c>
      <c r="BB15">
        <v>17300</v>
      </c>
      <c r="BC15">
        <v>0.4477225672877847</v>
      </c>
      <c r="BD15">
        <v>43.666666666666657</v>
      </c>
      <c r="BE15">
        <v>4.666666666666667</v>
      </c>
      <c r="BF15">
        <v>0.90955800782390339</v>
      </c>
      <c r="BG15">
        <v>0</v>
      </c>
      <c r="BH15">
        <v>5.7666666666666666</v>
      </c>
      <c r="BI15">
        <v>9.0441992176096608E-2</v>
      </c>
    </row>
    <row r="16" spans="1:61" x14ac:dyDescent="0.2">
      <c r="A16">
        <v>55</v>
      </c>
      <c r="B16" t="s">
        <v>691</v>
      </c>
      <c r="C16" t="s">
        <v>62</v>
      </c>
      <c r="D16" t="s">
        <v>62</v>
      </c>
      <c r="E16" t="s">
        <v>62</v>
      </c>
      <c r="F16" t="s">
        <v>62</v>
      </c>
      <c r="H16" t="s">
        <v>692</v>
      </c>
      <c r="I16" t="s">
        <v>693</v>
      </c>
      <c r="J16" t="s">
        <v>694</v>
      </c>
      <c r="K16" t="s">
        <v>600</v>
      </c>
      <c r="L16" t="s">
        <v>695</v>
      </c>
      <c r="M16" t="s">
        <v>158</v>
      </c>
      <c r="N16">
        <v>1</v>
      </c>
      <c r="O16">
        <v>300</v>
      </c>
      <c r="P16" t="s">
        <v>696</v>
      </c>
      <c r="Q16" t="s">
        <v>172</v>
      </c>
      <c r="R16" t="s">
        <v>697</v>
      </c>
      <c r="S16" t="s">
        <v>698</v>
      </c>
      <c r="T16">
        <v>0</v>
      </c>
      <c r="U16">
        <v>0</v>
      </c>
      <c r="X16" t="s">
        <v>699</v>
      </c>
      <c r="Y16">
        <v>1112</v>
      </c>
      <c r="Z16">
        <v>1126</v>
      </c>
      <c r="AA16">
        <v>12.1</v>
      </c>
      <c r="AB16">
        <v>12.1</v>
      </c>
      <c r="AC16">
        <v>12</v>
      </c>
      <c r="AD16">
        <v>103</v>
      </c>
      <c r="AE16" t="s">
        <v>700</v>
      </c>
      <c r="AF16">
        <v>1</v>
      </c>
      <c r="AG16">
        <v>236</v>
      </c>
      <c r="AH16">
        <v>138</v>
      </c>
      <c r="AI16">
        <v>156</v>
      </c>
      <c r="AJ16">
        <v>80</v>
      </c>
      <c r="AK16">
        <v>80</v>
      </c>
      <c r="AM16" t="s">
        <v>701</v>
      </c>
      <c r="AN16">
        <v>0</v>
      </c>
      <c r="AO16">
        <v>0</v>
      </c>
      <c r="AP16">
        <v>0</v>
      </c>
      <c r="AQ16">
        <v>1</v>
      </c>
      <c r="AR16">
        <v>2</v>
      </c>
      <c r="AS16" t="s">
        <v>538</v>
      </c>
      <c r="AW16" t="s">
        <v>82</v>
      </c>
      <c r="AX16" t="s">
        <v>83</v>
      </c>
      <c r="AY16">
        <v>21</v>
      </c>
      <c r="AZ16">
        <v>7.4285714285714288</v>
      </c>
      <c r="BA16">
        <v>32568</v>
      </c>
      <c r="BB16">
        <v>12480</v>
      </c>
      <c r="BC16">
        <v>0.3831982313927782</v>
      </c>
      <c r="BD16">
        <v>37.083333333333343</v>
      </c>
      <c r="BE16">
        <v>3.333333333333333</v>
      </c>
      <c r="BF16">
        <v>0.90790842872008293</v>
      </c>
      <c r="BG16">
        <v>0</v>
      </c>
      <c r="BH16">
        <v>7.4285714285714288</v>
      </c>
      <c r="BI16">
        <v>9.2091571279917073E-2</v>
      </c>
    </row>
    <row r="17" spans="1:61" x14ac:dyDescent="0.2">
      <c r="A17">
        <v>63</v>
      </c>
      <c r="B17" t="s">
        <v>596</v>
      </c>
      <c r="C17" t="s">
        <v>62</v>
      </c>
      <c r="D17" t="s">
        <v>62</v>
      </c>
      <c r="E17" t="s">
        <v>62</v>
      </c>
      <c r="F17" t="s">
        <v>62</v>
      </c>
      <c r="G17" t="s">
        <v>62</v>
      </c>
      <c r="H17" t="s">
        <v>597</v>
      </c>
      <c r="I17" t="s">
        <v>598</v>
      </c>
      <c r="J17" t="s">
        <v>599</v>
      </c>
      <c r="K17" t="s">
        <v>600</v>
      </c>
      <c r="L17" t="s">
        <v>601</v>
      </c>
      <c r="M17" t="s">
        <v>360</v>
      </c>
      <c r="N17">
        <v>1</v>
      </c>
      <c r="O17">
        <v>269</v>
      </c>
      <c r="P17" t="s">
        <v>602</v>
      </c>
      <c r="Q17" t="s">
        <v>362</v>
      </c>
      <c r="R17" t="s">
        <v>603</v>
      </c>
      <c r="S17" t="s">
        <v>604</v>
      </c>
      <c r="T17">
        <v>1</v>
      </c>
      <c r="U17">
        <v>1</v>
      </c>
      <c r="V17" t="s">
        <v>254</v>
      </c>
      <c r="W17" t="s">
        <v>97</v>
      </c>
      <c r="X17" t="s">
        <v>605</v>
      </c>
      <c r="Y17">
        <v>1113</v>
      </c>
      <c r="Z17">
        <v>1130</v>
      </c>
      <c r="AA17">
        <v>12.1</v>
      </c>
      <c r="AB17">
        <v>12.1</v>
      </c>
      <c r="AC17">
        <v>12</v>
      </c>
      <c r="AD17">
        <v>231</v>
      </c>
      <c r="AE17" t="s">
        <v>405</v>
      </c>
      <c r="AF17">
        <v>1</v>
      </c>
      <c r="AG17">
        <v>227</v>
      </c>
      <c r="AH17">
        <v>153</v>
      </c>
      <c r="AI17">
        <v>163</v>
      </c>
      <c r="AJ17">
        <v>100</v>
      </c>
      <c r="AK17">
        <v>100</v>
      </c>
      <c r="AL17" t="s">
        <v>256</v>
      </c>
      <c r="AM17" t="s">
        <v>177</v>
      </c>
      <c r="AN17">
        <v>0</v>
      </c>
      <c r="AO17">
        <v>0</v>
      </c>
      <c r="AP17">
        <v>0</v>
      </c>
      <c r="AQ17">
        <v>1</v>
      </c>
      <c r="AR17">
        <v>2</v>
      </c>
      <c r="AS17" t="s">
        <v>538</v>
      </c>
      <c r="AT17">
        <v>51.280999999999999</v>
      </c>
      <c r="AU17">
        <v>1.081</v>
      </c>
      <c r="AV17" t="s">
        <v>166</v>
      </c>
      <c r="AW17" t="s">
        <v>82</v>
      </c>
      <c r="AX17" t="s">
        <v>83</v>
      </c>
      <c r="AY17">
        <v>33</v>
      </c>
      <c r="AZ17">
        <v>4.9393939393939386</v>
      </c>
      <c r="BA17">
        <v>34731</v>
      </c>
      <c r="BB17">
        <v>16300</v>
      </c>
      <c r="BC17">
        <v>0.4693213555613141</v>
      </c>
      <c r="BD17">
        <v>48</v>
      </c>
      <c r="BE17">
        <v>4</v>
      </c>
      <c r="BF17">
        <v>0.89665427509293694</v>
      </c>
      <c r="BG17">
        <v>0</v>
      </c>
      <c r="BH17">
        <v>4.9393939393939386</v>
      </c>
      <c r="BI17">
        <v>0.10334572490706311</v>
      </c>
    </row>
    <row r="18" spans="1:61" x14ac:dyDescent="0.2">
      <c r="A18">
        <v>61</v>
      </c>
      <c r="B18" t="s">
        <v>465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466</v>
      </c>
      <c r="I18" t="s">
        <v>467</v>
      </c>
      <c r="J18" t="s">
        <v>468</v>
      </c>
      <c r="K18" t="s">
        <v>469</v>
      </c>
      <c r="L18" t="s">
        <v>470</v>
      </c>
      <c r="M18" t="s">
        <v>429</v>
      </c>
      <c r="N18">
        <v>1</v>
      </c>
      <c r="O18">
        <v>237</v>
      </c>
      <c r="P18" t="s">
        <v>471</v>
      </c>
      <c r="Q18" t="s">
        <v>458</v>
      </c>
      <c r="R18" t="s">
        <v>472</v>
      </c>
      <c r="S18" t="s">
        <v>473</v>
      </c>
      <c r="T18">
        <v>1</v>
      </c>
      <c r="U18">
        <v>1</v>
      </c>
      <c r="V18" t="s">
        <v>461</v>
      </c>
      <c r="W18" t="s">
        <v>97</v>
      </c>
      <c r="X18" t="s">
        <v>474</v>
      </c>
      <c r="Y18">
        <v>1115</v>
      </c>
      <c r="Z18">
        <v>1124</v>
      </c>
      <c r="AA18">
        <v>12.1</v>
      </c>
      <c r="AB18">
        <v>12.1</v>
      </c>
      <c r="AC18">
        <v>12</v>
      </c>
      <c r="AD18">
        <v>237</v>
      </c>
      <c r="AE18" t="s">
        <v>475</v>
      </c>
      <c r="AF18">
        <v>2</v>
      </c>
      <c r="AG18">
        <v>262</v>
      </c>
      <c r="AH18">
        <v>80</v>
      </c>
      <c r="AI18">
        <v>250</v>
      </c>
      <c r="AK18">
        <v>37</v>
      </c>
      <c r="AL18" t="s">
        <v>256</v>
      </c>
      <c r="AM18" t="s">
        <v>476</v>
      </c>
      <c r="AN18">
        <v>0</v>
      </c>
      <c r="AO18">
        <v>0</v>
      </c>
      <c r="AP18">
        <v>0</v>
      </c>
      <c r="AQ18">
        <v>1</v>
      </c>
      <c r="AR18">
        <v>2</v>
      </c>
      <c r="AS18" t="s">
        <v>80</v>
      </c>
      <c r="AT18">
        <v>51.386000000000003</v>
      </c>
      <c r="AU18">
        <v>0.498</v>
      </c>
      <c r="AV18" t="s">
        <v>166</v>
      </c>
      <c r="AW18" t="s">
        <v>82</v>
      </c>
      <c r="AX18" t="s">
        <v>191</v>
      </c>
      <c r="AY18">
        <v>43</v>
      </c>
      <c r="AZ18">
        <v>5.8139534883720927</v>
      </c>
      <c r="BA18">
        <v>20960</v>
      </c>
      <c r="BD18">
        <v>74.774774774774784</v>
      </c>
      <c r="BE18">
        <v>9.0090090090090094</v>
      </c>
      <c r="BF18">
        <v>0.8664373165900171</v>
      </c>
      <c r="BH18">
        <v>5.8139534883720927</v>
      </c>
      <c r="BI18">
        <v>0.1335626834099829</v>
      </c>
    </row>
    <row r="19" spans="1:61" x14ac:dyDescent="0.2">
      <c r="A19">
        <v>75</v>
      </c>
      <c r="B19" t="s">
        <v>606</v>
      </c>
      <c r="C19" t="s">
        <v>62</v>
      </c>
      <c r="D19" t="s">
        <v>62</v>
      </c>
      <c r="E19" t="s">
        <v>62</v>
      </c>
      <c r="F19" t="s">
        <v>62</v>
      </c>
      <c r="G19" t="s">
        <v>62</v>
      </c>
      <c r="H19" t="s">
        <v>607</v>
      </c>
      <c r="I19" t="s">
        <v>608</v>
      </c>
      <c r="J19" t="s">
        <v>609</v>
      </c>
      <c r="K19" t="s">
        <v>610</v>
      </c>
      <c r="L19" t="s">
        <v>611</v>
      </c>
      <c r="M19" t="s">
        <v>69</v>
      </c>
      <c r="N19">
        <v>1</v>
      </c>
      <c r="O19">
        <v>272</v>
      </c>
      <c r="P19" t="s">
        <v>612</v>
      </c>
      <c r="Q19" t="s">
        <v>291</v>
      </c>
      <c r="R19" t="s">
        <v>613</v>
      </c>
      <c r="S19" t="s">
        <v>614</v>
      </c>
      <c r="T19">
        <v>1</v>
      </c>
      <c r="U19">
        <v>1</v>
      </c>
      <c r="V19" t="s">
        <v>294</v>
      </c>
      <c r="W19" t="s">
        <v>97</v>
      </c>
      <c r="X19" t="s">
        <v>615</v>
      </c>
      <c r="Y19">
        <v>1116</v>
      </c>
      <c r="Z19">
        <v>1135</v>
      </c>
      <c r="AA19">
        <v>12.1</v>
      </c>
      <c r="AB19">
        <v>12.1</v>
      </c>
      <c r="AC19">
        <v>12</v>
      </c>
      <c r="AD19">
        <v>84</v>
      </c>
      <c r="AE19" t="s">
        <v>616</v>
      </c>
      <c r="AF19">
        <v>1</v>
      </c>
      <c r="AG19">
        <v>221</v>
      </c>
      <c r="AH19">
        <v>146</v>
      </c>
      <c r="AI19">
        <v>153</v>
      </c>
      <c r="AJ19">
        <v>80</v>
      </c>
      <c r="AK19">
        <v>80</v>
      </c>
      <c r="AL19" t="s">
        <v>100</v>
      </c>
      <c r="AM19" t="s">
        <v>617</v>
      </c>
      <c r="AN19">
        <v>0</v>
      </c>
      <c r="AO19">
        <v>0</v>
      </c>
      <c r="AP19">
        <v>1</v>
      </c>
      <c r="AQ19">
        <v>2</v>
      </c>
      <c r="AR19">
        <v>2</v>
      </c>
      <c r="AS19" t="s">
        <v>538</v>
      </c>
      <c r="AT19">
        <v>52.396999999999998</v>
      </c>
      <c r="AU19">
        <v>0.26200000000000001</v>
      </c>
      <c r="AV19" t="s">
        <v>101</v>
      </c>
      <c r="AW19" t="s">
        <v>82</v>
      </c>
      <c r="AX19" t="s">
        <v>83</v>
      </c>
      <c r="AY19">
        <v>24</v>
      </c>
      <c r="AZ19">
        <v>6.375</v>
      </c>
      <c r="BA19">
        <v>32266</v>
      </c>
      <c r="BB19">
        <v>12240</v>
      </c>
      <c r="BC19">
        <v>0.3793466807165437</v>
      </c>
      <c r="BD19">
        <v>47.5</v>
      </c>
      <c r="BE19">
        <v>5</v>
      </c>
      <c r="BF19">
        <v>0.89057750759878385</v>
      </c>
      <c r="BG19">
        <v>0</v>
      </c>
      <c r="BH19">
        <v>6.375</v>
      </c>
      <c r="BI19">
        <v>0.1094224924012162</v>
      </c>
    </row>
    <row r="20" spans="1:61" x14ac:dyDescent="0.2">
      <c r="A20">
        <v>53</v>
      </c>
      <c r="B20" t="s">
        <v>951</v>
      </c>
      <c r="C20" t="s">
        <v>62</v>
      </c>
      <c r="D20" t="s">
        <v>62</v>
      </c>
      <c r="E20" t="s">
        <v>62</v>
      </c>
      <c r="F20" t="s">
        <v>62</v>
      </c>
      <c r="G20" t="s">
        <v>62</v>
      </c>
      <c r="H20" t="s">
        <v>952</v>
      </c>
      <c r="I20" t="s">
        <v>953</v>
      </c>
      <c r="J20" t="s">
        <v>954</v>
      </c>
      <c r="K20" t="s">
        <v>955</v>
      </c>
      <c r="L20" t="s">
        <v>956</v>
      </c>
      <c r="M20" t="s">
        <v>957</v>
      </c>
      <c r="N20">
        <v>1</v>
      </c>
      <c r="O20">
        <v>1146</v>
      </c>
      <c r="P20" t="s">
        <v>958</v>
      </c>
      <c r="Q20" t="s">
        <v>520</v>
      </c>
      <c r="R20" t="s">
        <v>959</v>
      </c>
      <c r="S20" t="s">
        <v>954</v>
      </c>
      <c r="T20">
        <v>1</v>
      </c>
      <c r="U20">
        <v>1</v>
      </c>
      <c r="V20" t="s">
        <v>523</v>
      </c>
      <c r="W20" t="s">
        <v>97</v>
      </c>
      <c r="X20" t="s">
        <v>960</v>
      </c>
      <c r="Y20">
        <v>1118</v>
      </c>
      <c r="Z20">
        <v>1118</v>
      </c>
      <c r="AA20">
        <v>12.1</v>
      </c>
      <c r="AB20">
        <v>12.1</v>
      </c>
      <c r="AC20">
        <v>12</v>
      </c>
      <c r="AD20">
        <v>150</v>
      </c>
      <c r="AE20" t="s">
        <v>216</v>
      </c>
      <c r="AF20">
        <v>1</v>
      </c>
      <c r="AG20">
        <v>231</v>
      </c>
      <c r="AH20">
        <v>169</v>
      </c>
      <c r="AI20">
        <v>170</v>
      </c>
      <c r="AJ20">
        <v>91</v>
      </c>
      <c r="AK20">
        <v>91</v>
      </c>
      <c r="AL20" t="s">
        <v>689</v>
      </c>
      <c r="AM20" t="s">
        <v>961</v>
      </c>
      <c r="AN20">
        <v>0</v>
      </c>
      <c r="AO20">
        <v>0</v>
      </c>
      <c r="AP20">
        <v>0</v>
      </c>
      <c r="AQ20">
        <v>1</v>
      </c>
      <c r="AR20">
        <v>0</v>
      </c>
      <c r="AS20" t="s">
        <v>962</v>
      </c>
      <c r="AT20">
        <v>51.752000000000002</v>
      </c>
      <c r="AU20">
        <v>-0.33500000000000002</v>
      </c>
      <c r="AV20" t="s">
        <v>101</v>
      </c>
      <c r="AW20" t="s">
        <v>82</v>
      </c>
      <c r="AX20" t="s">
        <v>83</v>
      </c>
      <c r="AY20">
        <v>38</v>
      </c>
      <c r="AZ20">
        <v>4.4736842105263159</v>
      </c>
      <c r="BA20">
        <v>39039</v>
      </c>
      <c r="BB20">
        <v>15470</v>
      </c>
      <c r="BC20">
        <v>0.39627039627039629</v>
      </c>
      <c r="BD20">
        <v>61.172161172161168</v>
      </c>
      <c r="BE20">
        <v>6.2271062271062272</v>
      </c>
      <c r="BF20">
        <v>0.85746352413019145</v>
      </c>
      <c r="BG20">
        <v>0</v>
      </c>
      <c r="BH20">
        <v>4.4736842105263159</v>
      </c>
      <c r="BI20">
        <v>0.14253647586980861</v>
      </c>
    </row>
    <row r="21" spans="1:61" x14ac:dyDescent="0.2">
      <c r="A21">
        <v>64</v>
      </c>
      <c r="B21" t="s">
        <v>1120</v>
      </c>
      <c r="C21" t="s">
        <v>62</v>
      </c>
      <c r="D21" t="s">
        <v>62</v>
      </c>
      <c r="E21" t="s">
        <v>62</v>
      </c>
      <c r="F21" t="s">
        <v>62</v>
      </c>
      <c r="G21" t="s">
        <v>104</v>
      </c>
      <c r="H21" t="s">
        <v>1121</v>
      </c>
      <c r="I21" t="s">
        <v>1122</v>
      </c>
      <c r="J21" t="s">
        <v>1123</v>
      </c>
      <c r="K21" t="s">
        <v>1124</v>
      </c>
      <c r="L21" t="s">
        <v>1125</v>
      </c>
      <c r="M21" t="s">
        <v>91</v>
      </c>
      <c r="N21">
        <v>1</v>
      </c>
      <c r="O21">
        <v>1259</v>
      </c>
      <c r="P21" t="s">
        <v>1126</v>
      </c>
      <c r="Q21" t="s">
        <v>1127</v>
      </c>
      <c r="R21" t="s">
        <v>1128</v>
      </c>
      <c r="S21" t="s">
        <v>1129</v>
      </c>
      <c r="T21">
        <v>1</v>
      </c>
      <c r="U21">
        <v>0</v>
      </c>
      <c r="V21" t="s">
        <v>449</v>
      </c>
      <c r="W21" t="s">
        <v>75</v>
      </c>
      <c r="X21" t="s">
        <v>1130</v>
      </c>
      <c r="Y21">
        <v>1119</v>
      </c>
      <c r="Z21">
        <v>1124</v>
      </c>
      <c r="AA21">
        <v>12.1</v>
      </c>
      <c r="AB21">
        <v>12.1</v>
      </c>
      <c r="AC21">
        <v>12</v>
      </c>
      <c r="AD21">
        <v>200</v>
      </c>
      <c r="AE21" t="s">
        <v>1131</v>
      </c>
      <c r="AF21">
        <v>1</v>
      </c>
      <c r="AG21">
        <v>167</v>
      </c>
      <c r="AH21">
        <v>130</v>
      </c>
      <c r="AI21">
        <v>126</v>
      </c>
      <c r="AJ21">
        <v>78</v>
      </c>
      <c r="AK21">
        <v>78</v>
      </c>
      <c r="AL21" t="s">
        <v>324</v>
      </c>
      <c r="AM21" t="s">
        <v>1132</v>
      </c>
      <c r="AN21">
        <v>0</v>
      </c>
      <c r="AO21">
        <v>0</v>
      </c>
      <c r="AP21">
        <v>0</v>
      </c>
      <c r="AQ21">
        <v>1</v>
      </c>
      <c r="AR21">
        <v>2</v>
      </c>
      <c r="AS21" t="s">
        <v>978</v>
      </c>
      <c r="AT21">
        <v>51.712000000000003</v>
      </c>
      <c r="AU21">
        <v>-1.968</v>
      </c>
      <c r="AV21" t="s">
        <v>244</v>
      </c>
      <c r="AW21" t="s">
        <v>82</v>
      </c>
      <c r="AX21" t="s">
        <v>83</v>
      </c>
      <c r="AY21">
        <v>21.5</v>
      </c>
      <c r="AZ21">
        <v>5.8604651162790704</v>
      </c>
      <c r="BA21">
        <v>21710</v>
      </c>
      <c r="BB21">
        <v>9828</v>
      </c>
      <c r="BC21">
        <v>0.45269461077844309</v>
      </c>
      <c r="BD21">
        <v>61.53846153846154</v>
      </c>
      <c r="BE21">
        <v>7.2649572649572658</v>
      </c>
      <c r="BF21">
        <v>0.90725064409274936</v>
      </c>
      <c r="BG21">
        <v>0</v>
      </c>
      <c r="BH21">
        <v>5.8604651162790704</v>
      </c>
      <c r="BI21">
        <v>9.2749355907250641E-2</v>
      </c>
    </row>
    <row r="22" spans="1:61" x14ac:dyDescent="0.2">
      <c r="B22" t="s">
        <v>1288</v>
      </c>
      <c r="C22" t="s">
        <v>62</v>
      </c>
      <c r="D22" t="s">
        <v>62</v>
      </c>
      <c r="E22" t="s">
        <v>62</v>
      </c>
      <c r="F22" t="s">
        <v>62</v>
      </c>
      <c r="G22" t="s">
        <v>62</v>
      </c>
      <c r="H22" t="s">
        <v>1289</v>
      </c>
      <c r="I22" t="s">
        <v>411</v>
      </c>
      <c r="J22" t="s">
        <v>1290</v>
      </c>
      <c r="K22" t="s">
        <v>1291</v>
      </c>
      <c r="L22" t="s">
        <v>1292</v>
      </c>
      <c r="M22" t="s">
        <v>158</v>
      </c>
      <c r="N22">
        <v>1</v>
      </c>
      <c r="O22">
        <v>5002</v>
      </c>
      <c r="P22" t="s">
        <v>1293</v>
      </c>
      <c r="Q22" t="s">
        <v>520</v>
      </c>
      <c r="R22" t="s">
        <v>1294</v>
      </c>
      <c r="S22" t="s">
        <v>1295</v>
      </c>
      <c r="T22">
        <v>1</v>
      </c>
      <c r="U22">
        <v>1</v>
      </c>
      <c r="V22" t="s">
        <v>523</v>
      </c>
      <c r="W22" t="s">
        <v>97</v>
      </c>
      <c r="X22" t="s">
        <v>1296</v>
      </c>
      <c r="Y22">
        <v>1119</v>
      </c>
      <c r="Z22">
        <v>1149</v>
      </c>
      <c r="AA22">
        <v>12.2</v>
      </c>
      <c r="AB22">
        <v>12.1</v>
      </c>
      <c r="AC22">
        <v>12</v>
      </c>
      <c r="AD22">
        <v>86</v>
      </c>
      <c r="AE22" t="s">
        <v>1297</v>
      </c>
      <c r="AF22">
        <v>1</v>
      </c>
      <c r="AG22">
        <v>163</v>
      </c>
      <c r="AH22">
        <v>113</v>
      </c>
      <c r="AI22">
        <v>132</v>
      </c>
      <c r="AJ22">
        <v>77</v>
      </c>
      <c r="AK22">
        <v>77</v>
      </c>
      <c r="AL22" t="s">
        <v>1298</v>
      </c>
      <c r="AM22" t="s">
        <v>283</v>
      </c>
      <c r="AN22">
        <v>0</v>
      </c>
      <c r="AO22">
        <v>0</v>
      </c>
      <c r="AP22">
        <v>0</v>
      </c>
      <c r="AQ22">
        <v>1</v>
      </c>
      <c r="AR22">
        <v>2</v>
      </c>
      <c r="AS22" t="s">
        <v>80</v>
      </c>
      <c r="AT22">
        <v>51.752000000000002</v>
      </c>
      <c r="AU22">
        <v>-0.33500000000000002</v>
      </c>
      <c r="AV22" t="s">
        <v>101</v>
      </c>
      <c r="AW22" t="s">
        <v>82</v>
      </c>
      <c r="AX22" t="s">
        <v>83</v>
      </c>
      <c r="AY22">
        <v>22.5</v>
      </c>
      <c r="AZ22">
        <v>5.8666666666666663</v>
      </c>
      <c r="BA22">
        <v>18419</v>
      </c>
      <c r="BB22">
        <v>10164</v>
      </c>
      <c r="BC22">
        <v>0.55182148868016723</v>
      </c>
      <c r="BD22">
        <v>45.887445887445892</v>
      </c>
      <c r="BE22">
        <v>4.3290043290043299</v>
      </c>
      <c r="BG22">
        <v>0</v>
      </c>
      <c r="BH22">
        <v>5.8666666666666663</v>
      </c>
    </row>
    <row r="23" spans="1:61" x14ac:dyDescent="0.2">
      <c r="A23">
        <v>57</v>
      </c>
      <c r="B23" t="s">
        <v>258</v>
      </c>
      <c r="C23" t="s">
        <v>62</v>
      </c>
      <c r="D23" t="s">
        <v>62</v>
      </c>
      <c r="E23" t="s">
        <v>62</v>
      </c>
      <c r="F23" t="s">
        <v>62</v>
      </c>
      <c r="G23" t="s">
        <v>62</v>
      </c>
      <c r="J23" t="s">
        <v>259</v>
      </c>
      <c r="K23" t="s">
        <v>260</v>
      </c>
      <c r="L23" t="s">
        <v>261</v>
      </c>
      <c r="M23" t="s">
        <v>69</v>
      </c>
      <c r="N23">
        <v>1</v>
      </c>
      <c r="O23">
        <v>162</v>
      </c>
      <c r="P23" t="s">
        <v>262</v>
      </c>
      <c r="Q23" t="s">
        <v>263</v>
      </c>
      <c r="R23" t="s">
        <v>264</v>
      </c>
      <c r="S23" t="s">
        <v>265</v>
      </c>
      <c r="T23">
        <v>1</v>
      </c>
      <c r="U23">
        <v>1</v>
      </c>
      <c r="V23" t="s">
        <v>266</v>
      </c>
      <c r="W23" t="s">
        <v>97</v>
      </c>
      <c r="X23" t="s">
        <v>267</v>
      </c>
      <c r="Y23">
        <v>1120</v>
      </c>
      <c r="Z23">
        <v>1120</v>
      </c>
      <c r="AA23">
        <v>12.1</v>
      </c>
      <c r="AB23">
        <v>12.1</v>
      </c>
      <c r="AC23">
        <v>12</v>
      </c>
      <c r="AD23">
        <v>4</v>
      </c>
      <c r="AE23" t="s">
        <v>268</v>
      </c>
      <c r="AF23">
        <v>5</v>
      </c>
      <c r="AG23">
        <v>290</v>
      </c>
      <c r="AH23">
        <v>260</v>
      </c>
      <c r="AI23">
        <v>255</v>
      </c>
      <c r="AJ23">
        <v>155</v>
      </c>
      <c r="AK23">
        <v>30</v>
      </c>
      <c r="AL23" t="s">
        <v>269</v>
      </c>
      <c r="AM23" t="s">
        <v>270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80</v>
      </c>
      <c r="AT23">
        <v>50.92</v>
      </c>
      <c r="AU23">
        <v>0.48499999999999999</v>
      </c>
      <c r="AV23" t="s">
        <v>166</v>
      </c>
      <c r="AW23" t="s">
        <v>82</v>
      </c>
      <c r="AX23" t="s">
        <v>102</v>
      </c>
      <c r="AY23">
        <v>53.5</v>
      </c>
      <c r="AZ23">
        <v>4.7663551401869162</v>
      </c>
      <c r="BA23">
        <v>75400</v>
      </c>
      <c r="BB23">
        <v>39525</v>
      </c>
      <c r="BC23">
        <v>0.52420424403183019</v>
      </c>
      <c r="BG23">
        <v>5</v>
      </c>
      <c r="BH23">
        <v>4.7663551401869162</v>
      </c>
    </row>
    <row r="24" spans="1:61" x14ac:dyDescent="0.2">
      <c r="A24">
        <v>87</v>
      </c>
      <c r="B24" t="s">
        <v>722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723</v>
      </c>
      <c r="I24" t="s">
        <v>724</v>
      </c>
      <c r="J24" t="s">
        <v>725</v>
      </c>
      <c r="K24" t="s">
        <v>726</v>
      </c>
      <c r="L24" t="s">
        <v>727</v>
      </c>
      <c r="M24" t="s">
        <v>69</v>
      </c>
      <c r="N24">
        <v>1</v>
      </c>
      <c r="O24">
        <v>318</v>
      </c>
      <c r="P24" t="s">
        <v>728</v>
      </c>
      <c r="Q24" t="s">
        <v>400</v>
      </c>
      <c r="R24" t="s">
        <v>729</v>
      </c>
      <c r="S24" t="s">
        <v>730</v>
      </c>
      <c r="T24">
        <v>1</v>
      </c>
      <c r="U24">
        <v>1</v>
      </c>
      <c r="V24" t="s">
        <v>403</v>
      </c>
      <c r="W24" t="s">
        <v>97</v>
      </c>
      <c r="X24" t="s">
        <v>731</v>
      </c>
      <c r="Y24">
        <v>1120</v>
      </c>
      <c r="Z24">
        <v>1140</v>
      </c>
      <c r="AA24">
        <v>12.2</v>
      </c>
      <c r="AB24">
        <v>12.1</v>
      </c>
      <c r="AC24">
        <v>12</v>
      </c>
      <c r="AD24">
        <v>37</v>
      </c>
      <c r="AE24" t="s">
        <v>732</v>
      </c>
      <c r="AF24">
        <v>1</v>
      </c>
      <c r="AG24">
        <v>165</v>
      </c>
      <c r="AH24">
        <v>112</v>
      </c>
      <c r="AI24">
        <v>158</v>
      </c>
      <c r="AJ24">
        <v>75</v>
      </c>
      <c r="AK24">
        <v>75</v>
      </c>
      <c r="AL24" t="s">
        <v>406</v>
      </c>
      <c r="AM24" t="s">
        <v>464</v>
      </c>
      <c r="AN24">
        <v>0</v>
      </c>
      <c r="AO24">
        <v>0</v>
      </c>
      <c r="AP24">
        <v>0</v>
      </c>
      <c r="AQ24">
        <v>1</v>
      </c>
      <c r="AR24">
        <v>0</v>
      </c>
      <c r="AS24" t="s">
        <v>538</v>
      </c>
      <c r="AT24">
        <v>52.247999999999998</v>
      </c>
      <c r="AU24">
        <v>0.71199999999999997</v>
      </c>
      <c r="AV24" t="s">
        <v>408</v>
      </c>
      <c r="AW24" t="s">
        <v>82</v>
      </c>
      <c r="AX24" t="s">
        <v>83</v>
      </c>
      <c r="AY24">
        <v>34</v>
      </c>
      <c r="AZ24">
        <v>4.6470588235294121</v>
      </c>
      <c r="BA24">
        <v>18480</v>
      </c>
      <c r="BB24">
        <v>11850</v>
      </c>
      <c r="BC24">
        <v>0.64123376623376627</v>
      </c>
      <c r="BD24">
        <v>48.888888888888893</v>
      </c>
      <c r="BE24">
        <v>5.7777777777777777</v>
      </c>
      <c r="BF24">
        <v>0.85760988013076633</v>
      </c>
      <c r="BG24">
        <v>0</v>
      </c>
      <c r="BH24">
        <v>4.6470588235294121</v>
      </c>
      <c r="BI24">
        <v>0.14239011986923369</v>
      </c>
    </row>
    <row r="25" spans="1:61" x14ac:dyDescent="0.2">
      <c r="A25">
        <v>89</v>
      </c>
      <c r="B25" t="s">
        <v>919</v>
      </c>
      <c r="C25" t="s">
        <v>62</v>
      </c>
      <c r="D25" t="s">
        <v>62</v>
      </c>
      <c r="E25" t="s">
        <v>62</v>
      </c>
      <c r="F25" t="s">
        <v>62</v>
      </c>
      <c r="G25" t="s">
        <v>62</v>
      </c>
      <c r="H25" t="s">
        <v>920</v>
      </c>
      <c r="I25" t="s">
        <v>921</v>
      </c>
      <c r="J25" t="s">
        <v>922</v>
      </c>
      <c r="K25" t="s">
        <v>923</v>
      </c>
      <c r="L25" t="s">
        <v>924</v>
      </c>
      <c r="M25" t="s">
        <v>158</v>
      </c>
      <c r="N25">
        <v>0</v>
      </c>
      <c r="O25">
        <v>1088</v>
      </c>
      <c r="P25" t="s">
        <v>925</v>
      </c>
      <c r="Q25" t="s">
        <v>768</v>
      </c>
      <c r="R25" t="s">
        <v>926</v>
      </c>
      <c r="S25" t="s">
        <v>927</v>
      </c>
      <c r="T25">
        <v>1</v>
      </c>
      <c r="U25">
        <v>1</v>
      </c>
      <c r="V25" t="s">
        <v>771</v>
      </c>
      <c r="W25" t="s">
        <v>97</v>
      </c>
      <c r="X25" t="s">
        <v>928</v>
      </c>
      <c r="Y25">
        <v>1120</v>
      </c>
      <c r="Z25">
        <v>1143</v>
      </c>
      <c r="AA25">
        <v>12.2</v>
      </c>
      <c r="AB25">
        <v>12.1</v>
      </c>
      <c r="AC25">
        <v>12</v>
      </c>
      <c r="AD25">
        <v>175</v>
      </c>
      <c r="AE25" t="s">
        <v>117</v>
      </c>
      <c r="AF25">
        <v>2</v>
      </c>
      <c r="AG25">
        <v>275</v>
      </c>
      <c r="AH25">
        <v>180</v>
      </c>
      <c r="AI25">
        <v>210</v>
      </c>
      <c r="AJ25">
        <v>135</v>
      </c>
      <c r="AK25">
        <v>63</v>
      </c>
      <c r="AL25" t="s">
        <v>774</v>
      </c>
      <c r="AM25" t="s">
        <v>205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859</v>
      </c>
      <c r="AT25">
        <v>51.587000000000003</v>
      </c>
      <c r="AU25">
        <v>-2.0390000000000001</v>
      </c>
      <c r="AV25" t="s">
        <v>81</v>
      </c>
      <c r="AW25" t="s">
        <v>82</v>
      </c>
      <c r="AX25" t="s">
        <v>191</v>
      </c>
      <c r="AY25">
        <v>41.5</v>
      </c>
      <c r="AZ25">
        <v>5.0602409638554224</v>
      </c>
      <c r="BA25">
        <v>49500</v>
      </c>
      <c r="BB25">
        <v>28350</v>
      </c>
      <c r="BC25">
        <v>0.57272727272727275</v>
      </c>
      <c r="BD25">
        <v>56.613756613756607</v>
      </c>
      <c r="BE25">
        <v>9.5238095238095237</v>
      </c>
      <c r="BF25">
        <v>0.87264705882352922</v>
      </c>
      <c r="BG25">
        <v>9</v>
      </c>
      <c r="BH25">
        <v>5.0602409638554224</v>
      </c>
      <c r="BI25">
        <v>0.12735294117647081</v>
      </c>
    </row>
    <row r="26" spans="1:61" x14ac:dyDescent="0.2">
      <c r="B26" t="s">
        <v>1278</v>
      </c>
      <c r="C26" t="s">
        <v>62</v>
      </c>
      <c r="D26" t="s">
        <v>62</v>
      </c>
      <c r="E26" t="s">
        <v>62</v>
      </c>
      <c r="F26" t="s">
        <v>62</v>
      </c>
      <c r="G26" t="s">
        <v>62</v>
      </c>
      <c r="H26" t="s">
        <v>1279</v>
      </c>
      <c r="I26" t="s">
        <v>1280</v>
      </c>
      <c r="J26" t="s">
        <v>1281</v>
      </c>
      <c r="K26" t="s">
        <v>610</v>
      </c>
      <c r="L26" t="s">
        <v>1282</v>
      </c>
      <c r="M26" t="s">
        <v>158</v>
      </c>
      <c r="N26">
        <v>0</v>
      </c>
      <c r="O26">
        <v>5001</v>
      </c>
      <c r="P26" t="s">
        <v>1283</v>
      </c>
      <c r="Q26" t="s">
        <v>254</v>
      </c>
      <c r="R26" t="s">
        <v>1284</v>
      </c>
      <c r="S26" t="s">
        <v>1285</v>
      </c>
      <c r="T26">
        <v>1</v>
      </c>
      <c r="U26">
        <v>1</v>
      </c>
      <c r="V26" t="s">
        <v>254</v>
      </c>
      <c r="W26" t="s">
        <v>97</v>
      </c>
      <c r="X26" t="s">
        <v>1286</v>
      </c>
      <c r="Y26">
        <v>1120</v>
      </c>
      <c r="Z26">
        <v>1130</v>
      </c>
      <c r="AA26">
        <v>12.1</v>
      </c>
      <c r="AB26">
        <v>12.1</v>
      </c>
      <c r="AC26">
        <v>12</v>
      </c>
      <c r="AD26">
        <v>135</v>
      </c>
      <c r="AE26" t="s">
        <v>732</v>
      </c>
      <c r="AF26">
        <v>1</v>
      </c>
      <c r="AG26">
        <v>295</v>
      </c>
      <c r="AH26">
        <v>205</v>
      </c>
      <c r="AI26">
        <v>216</v>
      </c>
      <c r="AJ26">
        <v>135</v>
      </c>
      <c r="AK26">
        <v>135</v>
      </c>
      <c r="AL26" t="s">
        <v>172</v>
      </c>
      <c r="AM26" t="s">
        <v>1287</v>
      </c>
      <c r="AN26">
        <v>0</v>
      </c>
      <c r="AO26">
        <v>0</v>
      </c>
      <c r="AP26">
        <v>0</v>
      </c>
      <c r="AQ26">
        <v>1</v>
      </c>
      <c r="AR26">
        <v>2</v>
      </c>
      <c r="AS26" t="s">
        <v>538</v>
      </c>
      <c r="AT26">
        <v>51.280999999999999</v>
      </c>
      <c r="AU26">
        <v>1.081</v>
      </c>
      <c r="AV26" t="s">
        <v>166</v>
      </c>
      <c r="AW26" t="s">
        <v>82</v>
      </c>
      <c r="AX26" t="s">
        <v>83</v>
      </c>
      <c r="AY26">
        <v>34</v>
      </c>
      <c r="AZ26">
        <v>6.3529411764705879</v>
      </c>
      <c r="BA26">
        <v>60475</v>
      </c>
      <c r="BB26">
        <v>29160</v>
      </c>
      <c r="BC26">
        <v>0.48218272013228608</v>
      </c>
      <c r="BD26">
        <v>42.962962962962962</v>
      </c>
      <c r="BE26">
        <v>4.6913580246913584</v>
      </c>
      <c r="BF26">
        <v>0.86812816188870112</v>
      </c>
      <c r="BG26">
        <v>0</v>
      </c>
      <c r="BH26">
        <v>6.3529411764705879</v>
      </c>
      <c r="BI26">
        <v>0.13187183811129891</v>
      </c>
    </row>
    <row r="27" spans="1:61" x14ac:dyDescent="0.2">
      <c r="A27">
        <v>84</v>
      </c>
      <c r="B27" t="s">
        <v>527</v>
      </c>
      <c r="C27" t="s">
        <v>62</v>
      </c>
      <c r="D27" t="s">
        <v>62</v>
      </c>
      <c r="E27" t="s">
        <v>62</v>
      </c>
      <c r="F27" t="s">
        <v>62</v>
      </c>
      <c r="G27" t="s">
        <v>62</v>
      </c>
      <c r="H27" t="s">
        <v>528</v>
      </c>
      <c r="I27" t="s">
        <v>529</v>
      </c>
      <c r="J27" t="s">
        <v>530</v>
      </c>
      <c r="K27" t="s">
        <v>531</v>
      </c>
      <c r="L27" t="s">
        <v>532</v>
      </c>
      <c r="M27" t="s">
        <v>495</v>
      </c>
      <c r="N27">
        <v>1</v>
      </c>
      <c r="O27">
        <v>249</v>
      </c>
      <c r="P27" t="s">
        <v>533</v>
      </c>
      <c r="Q27" t="s">
        <v>400</v>
      </c>
      <c r="R27" t="s">
        <v>534</v>
      </c>
      <c r="S27" t="s">
        <v>535</v>
      </c>
      <c r="T27">
        <v>1</v>
      </c>
      <c r="U27">
        <v>1</v>
      </c>
      <c r="V27" t="s">
        <v>403</v>
      </c>
      <c r="W27" t="s">
        <v>97</v>
      </c>
      <c r="X27" t="s">
        <v>536</v>
      </c>
      <c r="Y27">
        <v>1121</v>
      </c>
      <c r="Z27">
        <v>1138</v>
      </c>
      <c r="AA27">
        <v>12.2</v>
      </c>
      <c r="AB27">
        <v>12.1</v>
      </c>
      <c r="AC27">
        <v>12</v>
      </c>
      <c r="AD27">
        <v>357</v>
      </c>
      <c r="AE27" t="s">
        <v>463</v>
      </c>
      <c r="AF27">
        <v>2</v>
      </c>
      <c r="AG27">
        <v>520</v>
      </c>
      <c r="AH27">
        <v>350</v>
      </c>
      <c r="AI27">
        <v>384</v>
      </c>
      <c r="AJ27">
        <v>233</v>
      </c>
      <c r="AK27">
        <v>107</v>
      </c>
      <c r="AL27" t="s">
        <v>406</v>
      </c>
      <c r="AM27" t="s">
        <v>537</v>
      </c>
      <c r="AN27">
        <v>0</v>
      </c>
      <c r="AO27">
        <v>0</v>
      </c>
      <c r="AP27">
        <v>2</v>
      </c>
      <c r="AQ27">
        <v>3</v>
      </c>
      <c r="AR27">
        <v>2</v>
      </c>
      <c r="AS27" t="s">
        <v>538</v>
      </c>
      <c r="AT27">
        <v>52.247999999999998</v>
      </c>
      <c r="AU27">
        <v>0.71199999999999997</v>
      </c>
      <c r="AV27" t="s">
        <v>408</v>
      </c>
      <c r="AW27" t="s">
        <v>82</v>
      </c>
      <c r="AX27" t="s">
        <v>191</v>
      </c>
      <c r="AY27">
        <v>42</v>
      </c>
      <c r="AZ27">
        <v>9.1428571428571423</v>
      </c>
      <c r="BA27">
        <v>182000</v>
      </c>
      <c r="BB27">
        <v>89472</v>
      </c>
      <c r="BC27">
        <v>0.49160439560439562</v>
      </c>
      <c r="BD27">
        <v>28.037383177570089</v>
      </c>
      <c r="BE27">
        <v>1.246105919003115</v>
      </c>
      <c r="BG27">
        <v>19</v>
      </c>
      <c r="BH27">
        <v>9.1428571428571423</v>
      </c>
    </row>
    <row r="28" spans="1:61" x14ac:dyDescent="0.2">
      <c r="A28">
        <v>79</v>
      </c>
      <c r="B28" t="s">
        <v>296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297</v>
      </c>
      <c r="I28" t="s">
        <v>298</v>
      </c>
      <c r="J28" t="s">
        <v>299</v>
      </c>
      <c r="K28" t="s">
        <v>300</v>
      </c>
      <c r="L28" t="s">
        <v>301</v>
      </c>
      <c r="M28" t="s">
        <v>302</v>
      </c>
      <c r="N28">
        <v>1</v>
      </c>
      <c r="O28">
        <v>173</v>
      </c>
      <c r="P28" t="s">
        <v>303</v>
      </c>
      <c r="Q28" t="s">
        <v>304</v>
      </c>
      <c r="R28" t="s">
        <v>305</v>
      </c>
      <c r="S28" t="s">
        <v>306</v>
      </c>
      <c r="T28">
        <v>1</v>
      </c>
      <c r="U28">
        <v>1</v>
      </c>
      <c r="V28" t="s">
        <v>307</v>
      </c>
      <c r="W28" t="s">
        <v>97</v>
      </c>
      <c r="X28" t="s">
        <v>308</v>
      </c>
      <c r="Y28">
        <v>1122</v>
      </c>
      <c r="Z28">
        <v>1135</v>
      </c>
      <c r="AA28">
        <v>12.2</v>
      </c>
      <c r="AB28">
        <v>12.1</v>
      </c>
      <c r="AC28">
        <v>12</v>
      </c>
      <c r="AD28">
        <v>41</v>
      </c>
      <c r="AE28" t="s">
        <v>309</v>
      </c>
      <c r="AF28">
        <v>1</v>
      </c>
      <c r="AG28">
        <v>293</v>
      </c>
      <c r="AH28">
        <v>197</v>
      </c>
      <c r="AI28">
        <v>215</v>
      </c>
      <c r="AJ28">
        <v>135</v>
      </c>
      <c r="AK28">
        <v>135</v>
      </c>
      <c r="AL28" t="s">
        <v>100</v>
      </c>
      <c r="AM28" t="s">
        <v>310</v>
      </c>
      <c r="AN28">
        <v>0</v>
      </c>
      <c r="AO28">
        <v>1</v>
      </c>
      <c r="AP28">
        <v>0</v>
      </c>
      <c r="AQ28">
        <v>1</v>
      </c>
      <c r="AR28">
        <v>2</v>
      </c>
      <c r="AS28" t="s">
        <v>80</v>
      </c>
      <c r="AT28">
        <v>52.570999999999998</v>
      </c>
      <c r="AU28">
        <v>-0.24</v>
      </c>
      <c r="AV28" t="s">
        <v>101</v>
      </c>
      <c r="AW28" t="s">
        <v>82</v>
      </c>
      <c r="AX28" t="s">
        <v>83</v>
      </c>
      <c r="AY28">
        <v>37.5</v>
      </c>
      <c r="AZ28">
        <v>5.7333333333333334</v>
      </c>
      <c r="BA28">
        <v>57721</v>
      </c>
      <c r="BB28">
        <v>29025</v>
      </c>
      <c r="BC28">
        <v>0.50284991597512174</v>
      </c>
      <c r="BD28">
        <v>43.950617283950621</v>
      </c>
      <c r="BE28">
        <v>7.4074074074074074</v>
      </c>
      <c r="BF28">
        <v>0.84570475396163469</v>
      </c>
      <c r="BG28">
        <v>0</v>
      </c>
      <c r="BH28">
        <v>5.7333333333333334</v>
      </c>
      <c r="BI28">
        <v>0.15429524603836531</v>
      </c>
    </row>
    <row r="29" spans="1:61" x14ac:dyDescent="0.2">
      <c r="A29">
        <v>77</v>
      </c>
      <c r="B29" t="s">
        <v>633</v>
      </c>
      <c r="C29" t="s">
        <v>62</v>
      </c>
      <c r="D29" t="s">
        <v>62</v>
      </c>
      <c r="E29" t="s">
        <v>62</v>
      </c>
      <c r="F29" t="s">
        <v>62</v>
      </c>
      <c r="G29" t="s">
        <v>62</v>
      </c>
      <c r="H29" t="s">
        <v>634</v>
      </c>
      <c r="I29" t="s">
        <v>194</v>
      </c>
      <c r="J29" t="s">
        <v>635</v>
      </c>
      <c r="K29" t="s">
        <v>636</v>
      </c>
      <c r="L29" t="s">
        <v>637</v>
      </c>
      <c r="M29" t="s">
        <v>69</v>
      </c>
      <c r="N29">
        <v>1</v>
      </c>
      <c r="O29">
        <v>277</v>
      </c>
      <c r="P29" t="s">
        <v>638</v>
      </c>
      <c r="Q29" t="s">
        <v>362</v>
      </c>
      <c r="R29" t="s">
        <v>639</v>
      </c>
      <c r="S29" t="s">
        <v>640</v>
      </c>
      <c r="T29">
        <v>1</v>
      </c>
      <c r="U29">
        <v>1</v>
      </c>
      <c r="V29" t="s">
        <v>254</v>
      </c>
      <c r="W29" t="s">
        <v>97</v>
      </c>
      <c r="X29" t="s">
        <v>641</v>
      </c>
      <c r="Y29">
        <v>1122</v>
      </c>
      <c r="Z29">
        <v>1130</v>
      </c>
      <c r="AA29">
        <v>12.2</v>
      </c>
      <c r="AB29">
        <v>12.1</v>
      </c>
      <c r="AC29">
        <v>12</v>
      </c>
      <c r="AD29">
        <v>179</v>
      </c>
      <c r="AE29" t="s">
        <v>642</v>
      </c>
      <c r="AF29">
        <v>1</v>
      </c>
      <c r="AG29">
        <v>174</v>
      </c>
      <c r="AH29">
        <v>119</v>
      </c>
      <c r="AI29">
        <v>139</v>
      </c>
      <c r="AJ29">
        <v>82</v>
      </c>
      <c r="AK29">
        <v>82</v>
      </c>
      <c r="AL29" t="s">
        <v>256</v>
      </c>
      <c r="AM29" t="s">
        <v>643</v>
      </c>
      <c r="AN29">
        <v>0</v>
      </c>
      <c r="AO29">
        <v>0</v>
      </c>
      <c r="AP29">
        <v>0</v>
      </c>
      <c r="AQ29">
        <v>1</v>
      </c>
      <c r="AR29">
        <v>2</v>
      </c>
      <c r="AS29" t="s">
        <v>538</v>
      </c>
      <c r="AT29">
        <v>51.280999999999999</v>
      </c>
      <c r="AU29">
        <v>1.081</v>
      </c>
      <c r="AV29" t="s">
        <v>166</v>
      </c>
      <c r="AW29" t="s">
        <v>82</v>
      </c>
      <c r="AX29" t="s">
        <v>83</v>
      </c>
      <c r="AY29">
        <v>25.5</v>
      </c>
      <c r="AZ29">
        <v>5.4509803921568629</v>
      </c>
      <c r="BA29">
        <v>20706</v>
      </c>
      <c r="BB29">
        <v>11398</v>
      </c>
      <c r="BC29">
        <v>0.55046846324736787</v>
      </c>
      <c r="BD29">
        <v>42.68292682926829</v>
      </c>
      <c r="BE29">
        <v>3.2520325203252032</v>
      </c>
      <c r="BF29">
        <v>0.88149898717083053</v>
      </c>
      <c r="BG29">
        <v>0</v>
      </c>
      <c r="BH29">
        <v>5.4509803921568629</v>
      </c>
      <c r="BI29">
        <v>0.1185010128291695</v>
      </c>
    </row>
    <row r="30" spans="1:61" x14ac:dyDescent="0.2">
      <c r="B30" t="s">
        <v>1299</v>
      </c>
      <c r="C30" t="s">
        <v>62</v>
      </c>
      <c r="D30" t="s">
        <v>62</v>
      </c>
      <c r="E30" t="s">
        <v>62</v>
      </c>
      <c r="F30" t="s">
        <v>62</v>
      </c>
      <c r="G30" t="s">
        <v>104</v>
      </c>
      <c r="H30" t="s">
        <v>1300</v>
      </c>
      <c r="I30" t="s">
        <v>1301</v>
      </c>
      <c r="J30" t="s">
        <v>1302</v>
      </c>
      <c r="K30" t="s">
        <v>1303</v>
      </c>
      <c r="L30" t="s">
        <v>1304</v>
      </c>
      <c r="M30" t="s">
        <v>125</v>
      </c>
      <c r="N30">
        <v>1</v>
      </c>
      <c r="O30">
        <v>5003</v>
      </c>
      <c r="P30" t="s">
        <v>1305</v>
      </c>
      <c r="Q30" t="s">
        <v>349</v>
      </c>
      <c r="R30" t="s">
        <v>1306</v>
      </c>
      <c r="T30">
        <v>1</v>
      </c>
      <c r="U30">
        <v>1</v>
      </c>
      <c r="V30" t="s">
        <v>349</v>
      </c>
      <c r="W30" t="s">
        <v>350</v>
      </c>
      <c r="X30" t="s">
        <v>1307</v>
      </c>
      <c r="Y30">
        <v>1123</v>
      </c>
      <c r="Z30">
        <v>1149</v>
      </c>
      <c r="AA30">
        <v>12.2</v>
      </c>
      <c r="AB30">
        <v>12.1</v>
      </c>
      <c r="AC30">
        <v>12</v>
      </c>
      <c r="AD30">
        <v>44</v>
      </c>
      <c r="AE30" t="s">
        <v>1195</v>
      </c>
      <c r="AF30">
        <v>1</v>
      </c>
      <c r="AG30">
        <v>223</v>
      </c>
      <c r="AH30">
        <v>147</v>
      </c>
      <c r="AI30">
        <v>180</v>
      </c>
      <c r="AJ30">
        <v>119</v>
      </c>
      <c r="AK30">
        <v>119</v>
      </c>
      <c r="AL30" t="s">
        <v>172</v>
      </c>
      <c r="AM30" t="s">
        <v>1308</v>
      </c>
      <c r="AN30">
        <v>0</v>
      </c>
      <c r="AO30">
        <v>0</v>
      </c>
      <c r="AP30">
        <v>2</v>
      </c>
      <c r="AQ30">
        <v>2</v>
      </c>
      <c r="AR30">
        <v>2</v>
      </c>
      <c r="AS30" t="s">
        <v>834</v>
      </c>
      <c r="AT30">
        <v>50.835999999999999</v>
      </c>
      <c r="AU30">
        <v>-0.77900000000000003</v>
      </c>
      <c r="AV30" t="s">
        <v>166</v>
      </c>
      <c r="AW30" t="s">
        <v>82</v>
      </c>
      <c r="AX30" t="s">
        <v>83</v>
      </c>
      <c r="AY30">
        <v>44</v>
      </c>
      <c r="AZ30">
        <v>4.0909090909090908</v>
      </c>
      <c r="BA30">
        <v>32781</v>
      </c>
      <c r="BB30">
        <v>21420</v>
      </c>
      <c r="BC30">
        <v>0.65342729019859069</v>
      </c>
      <c r="BD30">
        <v>57.142857142857139</v>
      </c>
      <c r="BE30">
        <v>12.324929971988791</v>
      </c>
      <c r="BG30">
        <v>0</v>
      </c>
      <c r="BH30">
        <v>4.0909090909090908</v>
      </c>
    </row>
    <row r="31" spans="1:61" x14ac:dyDescent="0.2">
      <c r="A31">
        <v>80</v>
      </c>
      <c r="B31" t="s">
        <v>1211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1212</v>
      </c>
      <c r="I31" t="s">
        <v>1213</v>
      </c>
      <c r="J31" t="s">
        <v>1214</v>
      </c>
      <c r="K31" t="s">
        <v>1215</v>
      </c>
      <c r="L31" t="s">
        <v>1216</v>
      </c>
      <c r="M31" t="s">
        <v>1217</v>
      </c>
      <c r="N31">
        <v>1</v>
      </c>
      <c r="O31">
        <v>1275</v>
      </c>
      <c r="P31" t="s">
        <v>1218</v>
      </c>
      <c r="Q31" t="s">
        <v>172</v>
      </c>
      <c r="R31" t="s">
        <v>1219</v>
      </c>
      <c r="S31" t="s">
        <v>1220</v>
      </c>
      <c r="T31">
        <v>0</v>
      </c>
      <c r="U31">
        <v>0</v>
      </c>
      <c r="X31" t="s">
        <v>1221</v>
      </c>
      <c r="Y31">
        <v>1124</v>
      </c>
      <c r="Z31">
        <v>1133</v>
      </c>
      <c r="AA31">
        <v>12.2</v>
      </c>
      <c r="AB31">
        <v>12.1</v>
      </c>
      <c r="AC31">
        <v>12</v>
      </c>
      <c r="AD31">
        <v>37</v>
      </c>
      <c r="AE31" t="s">
        <v>366</v>
      </c>
      <c r="AF31">
        <v>1</v>
      </c>
      <c r="AG31">
        <v>225</v>
      </c>
      <c r="AH31">
        <v>152</v>
      </c>
      <c r="AI31">
        <v>190</v>
      </c>
      <c r="AJ31">
        <v>115</v>
      </c>
      <c r="AK31">
        <v>115</v>
      </c>
      <c r="AM31" t="s">
        <v>858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978</v>
      </c>
      <c r="AW31" t="s">
        <v>82</v>
      </c>
      <c r="AX31" t="s">
        <v>83</v>
      </c>
      <c r="AY31">
        <v>36</v>
      </c>
      <c r="AZ31">
        <v>5.2777777777777777</v>
      </c>
      <c r="BA31">
        <v>34200</v>
      </c>
      <c r="BB31">
        <v>21850</v>
      </c>
      <c r="BC31">
        <v>0.63888888888888884</v>
      </c>
      <c r="BD31">
        <v>28.985507246376809</v>
      </c>
      <c r="BE31">
        <v>1.449275362318841</v>
      </c>
      <c r="BF31">
        <v>0.80008616975441593</v>
      </c>
      <c r="BG31">
        <v>0</v>
      </c>
      <c r="BH31">
        <v>5.2777777777777777</v>
      </c>
      <c r="BI31">
        <v>0.1999138302455841</v>
      </c>
    </row>
    <row r="32" spans="1:61" x14ac:dyDescent="0.2">
      <c r="A32">
        <v>99</v>
      </c>
      <c r="B32" t="s">
        <v>761</v>
      </c>
      <c r="C32" t="s">
        <v>62</v>
      </c>
      <c r="D32" t="s">
        <v>62</v>
      </c>
      <c r="E32" t="s">
        <v>62</v>
      </c>
      <c r="F32" t="s">
        <v>62</v>
      </c>
      <c r="G32" t="s">
        <v>62</v>
      </c>
      <c r="H32" t="s">
        <v>762</v>
      </c>
      <c r="I32" t="s">
        <v>763</v>
      </c>
      <c r="J32" t="s">
        <v>764</v>
      </c>
      <c r="K32" t="s">
        <v>765</v>
      </c>
      <c r="L32" t="s">
        <v>766</v>
      </c>
      <c r="M32" t="s">
        <v>518</v>
      </c>
      <c r="N32">
        <v>1</v>
      </c>
      <c r="O32">
        <v>323</v>
      </c>
      <c r="P32" t="s">
        <v>767</v>
      </c>
      <c r="Q32" t="s">
        <v>768</v>
      </c>
      <c r="R32" t="s">
        <v>769</v>
      </c>
      <c r="S32" t="s">
        <v>770</v>
      </c>
      <c r="T32">
        <v>1</v>
      </c>
      <c r="U32">
        <v>1</v>
      </c>
      <c r="V32" t="s">
        <v>771</v>
      </c>
      <c r="W32" t="s">
        <v>97</v>
      </c>
      <c r="X32" t="s">
        <v>772</v>
      </c>
      <c r="Y32">
        <v>1125</v>
      </c>
      <c r="Z32">
        <v>1143</v>
      </c>
      <c r="AA32">
        <v>12.2</v>
      </c>
      <c r="AB32">
        <v>12.1</v>
      </c>
      <c r="AC32">
        <v>12</v>
      </c>
      <c r="AD32">
        <v>128</v>
      </c>
      <c r="AE32" t="s">
        <v>773</v>
      </c>
      <c r="AF32">
        <v>2</v>
      </c>
      <c r="AG32">
        <v>363</v>
      </c>
      <c r="AH32">
        <v>245</v>
      </c>
      <c r="AI32">
        <v>280</v>
      </c>
      <c r="AJ32">
        <v>193</v>
      </c>
      <c r="AK32">
        <v>93</v>
      </c>
      <c r="AL32" t="s">
        <v>774</v>
      </c>
      <c r="AM32" t="s">
        <v>775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538</v>
      </c>
      <c r="AT32">
        <v>51.587000000000003</v>
      </c>
      <c r="AU32">
        <v>-2.0390000000000001</v>
      </c>
      <c r="AV32" t="s">
        <v>81</v>
      </c>
      <c r="AW32" t="s">
        <v>82</v>
      </c>
      <c r="AX32" t="s">
        <v>191</v>
      </c>
      <c r="AY32">
        <v>54</v>
      </c>
      <c r="AZ32">
        <v>5.1851851851851851</v>
      </c>
      <c r="BA32">
        <v>88935</v>
      </c>
      <c r="BB32">
        <v>54040</v>
      </c>
      <c r="BC32">
        <v>0.60763478945297122</v>
      </c>
      <c r="BD32">
        <v>39.426523297491038</v>
      </c>
      <c r="BE32">
        <v>3.5842293906810032</v>
      </c>
      <c r="BF32">
        <v>0.85168869309838469</v>
      </c>
      <c r="BG32">
        <v>7</v>
      </c>
      <c r="BH32">
        <v>5.1851851851851851</v>
      </c>
      <c r="BI32">
        <v>0.14831130690161529</v>
      </c>
    </row>
    <row r="33" spans="1:61" x14ac:dyDescent="0.2">
      <c r="A33">
        <v>68</v>
      </c>
      <c r="B33" t="s">
        <v>1184</v>
      </c>
      <c r="C33" t="s">
        <v>62</v>
      </c>
      <c r="D33" t="s">
        <v>62</v>
      </c>
      <c r="E33" t="s">
        <v>62</v>
      </c>
      <c r="F33" t="s">
        <v>62</v>
      </c>
      <c r="G33" t="s">
        <v>62</v>
      </c>
      <c r="H33" t="s">
        <v>1185</v>
      </c>
      <c r="I33" t="s">
        <v>1186</v>
      </c>
      <c r="J33" t="s">
        <v>1187</v>
      </c>
      <c r="K33" t="s">
        <v>1188</v>
      </c>
      <c r="L33" t="s">
        <v>1189</v>
      </c>
      <c r="M33" t="s">
        <v>1190</v>
      </c>
      <c r="N33">
        <v>1</v>
      </c>
      <c r="O33">
        <v>1266</v>
      </c>
      <c r="P33" t="s">
        <v>1191</v>
      </c>
      <c r="Q33" t="s">
        <v>768</v>
      </c>
      <c r="R33" t="s">
        <v>1192</v>
      </c>
      <c r="S33" t="s">
        <v>1193</v>
      </c>
      <c r="T33">
        <v>1</v>
      </c>
      <c r="U33">
        <v>1</v>
      </c>
      <c r="V33" t="s">
        <v>771</v>
      </c>
      <c r="W33" t="s">
        <v>97</v>
      </c>
      <c r="X33" t="s">
        <v>1194</v>
      </c>
      <c r="Y33">
        <v>1125</v>
      </c>
      <c r="Z33">
        <v>1125</v>
      </c>
      <c r="AA33">
        <v>12.1</v>
      </c>
      <c r="AB33">
        <v>12.1</v>
      </c>
      <c r="AC33">
        <v>12</v>
      </c>
      <c r="AD33">
        <v>95</v>
      </c>
      <c r="AE33" t="s">
        <v>1195</v>
      </c>
      <c r="AF33">
        <v>2</v>
      </c>
      <c r="AG33">
        <v>228</v>
      </c>
      <c r="AH33">
        <v>150</v>
      </c>
      <c r="AI33">
        <v>189</v>
      </c>
      <c r="AK33">
        <v>48</v>
      </c>
      <c r="AL33" t="s">
        <v>774</v>
      </c>
      <c r="AM33" t="s">
        <v>1174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978</v>
      </c>
      <c r="AT33">
        <v>51.587000000000003</v>
      </c>
      <c r="AU33">
        <v>-2.0390000000000001</v>
      </c>
      <c r="AV33" t="s">
        <v>81</v>
      </c>
      <c r="AW33" t="s">
        <v>82</v>
      </c>
      <c r="AX33" t="s">
        <v>191</v>
      </c>
      <c r="AY33">
        <v>44</v>
      </c>
      <c r="AZ33">
        <v>4.2954545454545459</v>
      </c>
      <c r="BA33">
        <v>34200</v>
      </c>
      <c r="BD33">
        <v>54.861111111111107</v>
      </c>
      <c r="BE33">
        <v>4.8611111111111116</v>
      </c>
      <c r="BF33">
        <v>0.89476646032639284</v>
      </c>
      <c r="BH33">
        <v>4.2954545454545459</v>
      </c>
      <c r="BI33">
        <v>0.1052335396736072</v>
      </c>
    </row>
    <row r="34" spans="1:61" x14ac:dyDescent="0.2">
      <c r="A34">
        <v>72</v>
      </c>
      <c r="B34" t="s">
        <v>1245</v>
      </c>
      <c r="C34" t="s">
        <v>62</v>
      </c>
      <c r="D34" t="s">
        <v>62</v>
      </c>
      <c r="E34" t="s">
        <v>62</v>
      </c>
      <c r="F34" t="s">
        <v>62</v>
      </c>
      <c r="G34" t="s">
        <v>62</v>
      </c>
      <c r="H34" t="s">
        <v>1246</v>
      </c>
      <c r="I34" t="s">
        <v>1247</v>
      </c>
      <c r="J34" t="s">
        <v>1248</v>
      </c>
      <c r="K34" t="s">
        <v>1249</v>
      </c>
      <c r="L34" t="s">
        <v>1250</v>
      </c>
      <c r="M34" t="s">
        <v>69</v>
      </c>
      <c r="N34">
        <v>1</v>
      </c>
      <c r="O34">
        <v>4003</v>
      </c>
      <c r="P34" t="s">
        <v>1251</v>
      </c>
      <c r="Q34" t="s">
        <v>768</v>
      </c>
      <c r="R34" t="s">
        <v>1252</v>
      </c>
      <c r="S34" t="s">
        <v>1253</v>
      </c>
      <c r="T34">
        <v>1</v>
      </c>
      <c r="U34">
        <v>1</v>
      </c>
      <c r="V34" t="s">
        <v>771</v>
      </c>
      <c r="W34" t="s">
        <v>97</v>
      </c>
      <c r="X34" t="s">
        <v>1254</v>
      </c>
      <c r="Y34">
        <v>1125</v>
      </c>
      <c r="Z34">
        <v>1125</v>
      </c>
      <c r="AA34">
        <v>12.1</v>
      </c>
      <c r="AB34">
        <v>12.1</v>
      </c>
      <c r="AC34">
        <v>12</v>
      </c>
      <c r="AD34">
        <v>106</v>
      </c>
      <c r="AE34" t="s">
        <v>1255</v>
      </c>
      <c r="AF34">
        <v>1</v>
      </c>
      <c r="AG34">
        <v>178</v>
      </c>
      <c r="AH34">
        <v>125</v>
      </c>
      <c r="AI34">
        <v>145</v>
      </c>
      <c r="AJ34">
        <v>85</v>
      </c>
      <c r="AK34">
        <v>85</v>
      </c>
      <c r="AL34" t="s">
        <v>774</v>
      </c>
      <c r="AM34" t="s">
        <v>595</v>
      </c>
      <c r="AN34">
        <v>0</v>
      </c>
      <c r="AO34">
        <v>0</v>
      </c>
      <c r="AP34">
        <v>0</v>
      </c>
      <c r="AQ34">
        <v>1</v>
      </c>
      <c r="AR34">
        <v>0</v>
      </c>
      <c r="AS34" t="s">
        <v>978</v>
      </c>
      <c r="AT34">
        <v>51.587000000000003</v>
      </c>
      <c r="AU34">
        <v>-2.0390000000000001</v>
      </c>
      <c r="AV34" t="s">
        <v>81</v>
      </c>
      <c r="AW34" t="s">
        <v>82</v>
      </c>
      <c r="AX34" t="s">
        <v>83</v>
      </c>
      <c r="AY34">
        <v>31</v>
      </c>
      <c r="AZ34">
        <v>4.67741935483871</v>
      </c>
      <c r="BA34">
        <v>22250</v>
      </c>
      <c r="BB34">
        <v>12325</v>
      </c>
      <c r="BC34">
        <v>0.55393258426966296</v>
      </c>
      <c r="BD34">
        <v>79.215686274509807</v>
      </c>
      <c r="BE34">
        <v>9.4117647058823533</v>
      </c>
      <c r="BF34">
        <v>0.88447533929162481</v>
      </c>
      <c r="BG34">
        <v>0</v>
      </c>
      <c r="BH34">
        <v>4.67741935483871</v>
      </c>
      <c r="BI34">
        <v>0.11552466070837519</v>
      </c>
    </row>
    <row r="35" spans="1:61" x14ac:dyDescent="0.2">
      <c r="A35">
        <v>82</v>
      </c>
      <c r="B35" t="s">
        <v>1080</v>
      </c>
      <c r="C35" t="s">
        <v>62</v>
      </c>
      <c r="D35" t="s">
        <v>62</v>
      </c>
      <c r="E35" t="s">
        <v>62</v>
      </c>
      <c r="F35" t="s">
        <v>62</v>
      </c>
      <c r="G35" t="s">
        <v>62</v>
      </c>
      <c r="H35" t="s">
        <v>1081</v>
      </c>
      <c r="I35" t="s">
        <v>1082</v>
      </c>
      <c r="J35" t="s">
        <v>1083</v>
      </c>
      <c r="K35" t="s">
        <v>1084</v>
      </c>
      <c r="L35" t="s">
        <v>1085</v>
      </c>
      <c r="M35" t="s">
        <v>69</v>
      </c>
      <c r="N35">
        <v>1</v>
      </c>
      <c r="O35">
        <v>1247</v>
      </c>
      <c r="P35">
        <v>1129</v>
      </c>
      <c r="Q35" t="s">
        <v>768</v>
      </c>
      <c r="R35" t="s">
        <v>1086</v>
      </c>
      <c r="S35" t="s">
        <v>1087</v>
      </c>
      <c r="T35">
        <v>1</v>
      </c>
      <c r="U35">
        <v>1</v>
      </c>
      <c r="V35" t="s">
        <v>771</v>
      </c>
      <c r="W35" t="s">
        <v>97</v>
      </c>
      <c r="X35" t="s">
        <v>1088</v>
      </c>
      <c r="Y35">
        <v>1129</v>
      </c>
      <c r="Z35">
        <v>1129</v>
      </c>
      <c r="AA35">
        <v>12.2</v>
      </c>
      <c r="AB35">
        <v>12.1</v>
      </c>
      <c r="AC35">
        <v>12</v>
      </c>
      <c r="AD35">
        <v>222</v>
      </c>
      <c r="AE35" t="s">
        <v>741</v>
      </c>
      <c r="AF35">
        <v>2</v>
      </c>
      <c r="AG35">
        <v>314</v>
      </c>
      <c r="AH35">
        <v>195</v>
      </c>
      <c r="AI35">
        <v>235</v>
      </c>
      <c r="AJ35">
        <v>123</v>
      </c>
      <c r="AK35">
        <v>55</v>
      </c>
      <c r="AL35" t="s">
        <v>774</v>
      </c>
      <c r="AM35" t="s">
        <v>1089</v>
      </c>
      <c r="AN35">
        <v>0</v>
      </c>
      <c r="AO35">
        <v>0</v>
      </c>
      <c r="AP35">
        <v>0</v>
      </c>
      <c r="AQ35">
        <v>2</v>
      </c>
      <c r="AR35">
        <v>2</v>
      </c>
      <c r="AS35" t="s">
        <v>978</v>
      </c>
      <c r="AT35">
        <v>51.587000000000003</v>
      </c>
      <c r="AU35">
        <v>-2.0390000000000001</v>
      </c>
      <c r="AV35" t="s">
        <v>81</v>
      </c>
      <c r="AW35" t="s">
        <v>82</v>
      </c>
      <c r="AX35" t="s">
        <v>191</v>
      </c>
      <c r="AY35">
        <v>48</v>
      </c>
      <c r="AZ35">
        <v>4.895833333333333</v>
      </c>
      <c r="BA35">
        <v>61230</v>
      </c>
      <c r="BB35">
        <v>28905</v>
      </c>
      <c r="BC35">
        <v>0.47207251347378743</v>
      </c>
      <c r="BD35">
        <v>53.939393939393938</v>
      </c>
      <c r="BE35">
        <v>1.5151515151515149</v>
      </c>
      <c r="BF35">
        <v>0.91716417910447756</v>
      </c>
      <c r="BG35">
        <v>13</v>
      </c>
      <c r="BH35">
        <v>4.895833333333333</v>
      </c>
      <c r="BI35">
        <v>8.2835820895522438E-2</v>
      </c>
    </row>
    <row r="36" spans="1:61" x14ac:dyDescent="0.2">
      <c r="A36">
        <v>101</v>
      </c>
      <c r="B36" t="s">
        <v>809</v>
      </c>
      <c r="C36" t="s">
        <v>62</v>
      </c>
      <c r="D36" t="s">
        <v>62</v>
      </c>
      <c r="E36" t="s">
        <v>62</v>
      </c>
      <c r="F36" t="s">
        <v>63</v>
      </c>
      <c r="G36" t="s">
        <v>62</v>
      </c>
      <c r="H36" t="s">
        <v>810</v>
      </c>
      <c r="I36" t="s">
        <v>811</v>
      </c>
      <c r="J36" t="s">
        <v>812</v>
      </c>
      <c r="K36" t="s">
        <v>196</v>
      </c>
      <c r="L36" t="s">
        <v>813</v>
      </c>
      <c r="M36" t="s">
        <v>69</v>
      </c>
      <c r="N36">
        <v>1</v>
      </c>
      <c r="O36">
        <v>332</v>
      </c>
      <c r="P36" t="s">
        <v>814</v>
      </c>
      <c r="Q36" t="s">
        <v>278</v>
      </c>
      <c r="R36" t="s">
        <v>815</v>
      </c>
      <c r="S36" t="s">
        <v>816</v>
      </c>
      <c r="T36">
        <v>1</v>
      </c>
      <c r="U36">
        <v>1</v>
      </c>
      <c r="V36" t="s">
        <v>239</v>
      </c>
      <c r="W36" t="s">
        <v>97</v>
      </c>
      <c r="X36" t="s">
        <v>817</v>
      </c>
      <c r="Y36">
        <v>1130</v>
      </c>
      <c r="Z36">
        <v>1145</v>
      </c>
      <c r="AA36">
        <v>12.2</v>
      </c>
      <c r="AB36">
        <v>12.1</v>
      </c>
      <c r="AC36">
        <v>12</v>
      </c>
      <c r="AD36">
        <v>286</v>
      </c>
      <c r="AE36" t="s">
        <v>818</v>
      </c>
      <c r="AF36">
        <v>2</v>
      </c>
      <c r="AG36">
        <v>339</v>
      </c>
      <c r="AH36">
        <v>265</v>
      </c>
      <c r="AI36">
        <v>270</v>
      </c>
      <c r="AJ36">
        <v>180</v>
      </c>
      <c r="AK36">
        <v>80</v>
      </c>
      <c r="AL36" t="s">
        <v>242</v>
      </c>
      <c r="AM36" t="s">
        <v>819</v>
      </c>
      <c r="AN36">
        <v>0</v>
      </c>
      <c r="AO36">
        <v>0</v>
      </c>
      <c r="AP36">
        <v>1</v>
      </c>
      <c r="AQ36">
        <v>2</v>
      </c>
      <c r="AR36">
        <v>2</v>
      </c>
      <c r="AS36" t="s">
        <v>538</v>
      </c>
      <c r="AT36">
        <v>52.192</v>
      </c>
      <c r="AU36">
        <v>-2.2210000000000001</v>
      </c>
      <c r="AV36" t="s">
        <v>244</v>
      </c>
      <c r="AW36" t="s">
        <v>82</v>
      </c>
      <c r="AX36" t="s">
        <v>228</v>
      </c>
      <c r="AY36">
        <v>50</v>
      </c>
      <c r="AZ36">
        <v>5.4</v>
      </c>
      <c r="BA36">
        <v>89835</v>
      </c>
      <c r="BB36">
        <v>48600</v>
      </c>
      <c r="BC36">
        <v>0.54099181833361165</v>
      </c>
      <c r="BD36">
        <v>55.833333333333343</v>
      </c>
      <c r="BE36">
        <v>2.5</v>
      </c>
      <c r="BF36">
        <v>0.87323358270989215</v>
      </c>
      <c r="BG36">
        <v>20</v>
      </c>
      <c r="BH36">
        <v>5.4</v>
      </c>
      <c r="BI36">
        <v>0.12676641729010779</v>
      </c>
    </row>
    <row r="37" spans="1:61" x14ac:dyDescent="0.2">
      <c r="A37">
        <v>90</v>
      </c>
      <c r="B37" t="s">
        <v>326</v>
      </c>
      <c r="C37" t="s">
        <v>63</v>
      </c>
      <c r="D37" t="s">
        <v>62</v>
      </c>
      <c r="E37" t="s">
        <v>62</v>
      </c>
      <c r="F37" t="s">
        <v>62</v>
      </c>
      <c r="G37" t="s">
        <v>62</v>
      </c>
      <c r="H37" t="s">
        <v>327</v>
      </c>
      <c r="I37" t="s">
        <v>328</v>
      </c>
      <c r="J37" t="s">
        <v>329</v>
      </c>
      <c r="K37" t="s">
        <v>330</v>
      </c>
      <c r="L37" t="s">
        <v>331</v>
      </c>
      <c r="M37" t="s">
        <v>332</v>
      </c>
      <c r="N37">
        <v>1</v>
      </c>
      <c r="O37">
        <v>179</v>
      </c>
      <c r="P37" t="s">
        <v>333</v>
      </c>
      <c r="Q37" t="s">
        <v>172</v>
      </c>
      <c r="R37" t="s">
        <v>334</v>
      </c>
      <c r="S37" t="s">
        <v>335</v>
      </c>
      <c r="T37">
        <v>0</v>
      </c>
      <c r="U37">
        <v>0</v>
      </c>
      <c r="X37" t="s">
        <v>336</v>
      </c>
      <c r="Y37">
        <v>1131</v>
      </c>
      <c r="Z37">
        <v>1131</v>
      </c>
      <c r="AA37">
        <v>12.2</v>
      </c>
      <c r="AB37">
        <v>12.1</v>
      </c>
      <c r="AC37">
        <v>12</v>
      </c>
      <c r="AD37">
        <v>71</v>
      </c>
      <c r="AE37" t="s">
        <v>337</v>
      </c>
      <c r="AF37">
        <v>1</v>
      </c>
      <c r="AG37">
        <v>225</v>
      </c>
      <c r="AH37">
        <v>150</v>
      </c>
      <c r="AI37">
        <v>175</v>
      </c>
      <c r="AJ37">
        <v>113</v>
      </c>
      <c r="AK37">
        <v>112</v>
      </c>
      <c r="AM37" t="s">
        <v>338</v>
      </c>
      <c r="AN37">
        <v>0</v>
      </c>
      <c r="AO37">
        <v>0</v>
      </c>
      <c r="AP37">
        <v>0</v>
      </c>
      <c r="AQ37">
        <v>1</v>
      </c>
      <c r="AR37">
        <v>2</v>
      </c>
      <c r="AS37" t="s">
        <v>80</v>
      </c>
      <c r="AW37" t="s">
        <v>82</v>
      </c>
      <c r="AX37" t="s">
        <v>83</v>
      </c>
      <c r="AY37">
        <v>30</v>
      </c>
      <c r="AZ37">
        <v>5.833333333333333</v>
      </c>
      <c r="BA37">
        <v>33750</v>
      </c>
      <c r="BB37">
        <v>19775</v>
      </c>
      <c r="BC37">
        <v>0.58592592592592596</v>
      </c>
      <c r="BD37">
        <v>35.416666666666657</v>
      </c>
      <c r="BE37">
        <v>7.1428571428571423</v>
      </c>
      <c r="BF37">
        <v>0.77312138728323676</v>
      </c>
      <c r="BG37">
        <v>1</v>
      </c>
      <c r="BH37">
        <v>5.833333333333333</v>
      </c>
      <c r="BI37">
        <v>0.22687861271676321</v>
      </c>
    </row>
    <row r="38" spans="1:61" x14ac:dyDescent="0.2">
      <c r="A38">
        <v>94</v>
      </c>
      <c r="B38" t="s">
        <v>1100</v>
      </c>
      <c r="C38" t="s">
        <v>62</v>
      </c>
      <c r="D38" t="s">
        <v>62</v>
      </c>
      <c r="E38" t="s">
        <v>62</v>
      </c>
      <c r="F38" t="s">
        <v>62</v>
      </c>
      <c r="G38" t="s">
        <v>62</v>
      </c>
      <c r="H38" t="s">
        <v>1101</v>
      </c>
      <c r="I38" t="s">
        <v>1102</v>
      </c>
      <c r="J38" t="s">
        <v>1103</v>
      </c>
      <c r="K38" t="s">
        <v>1104</v>
      </c>
      <c r="L38" t="s">
        <v>1105</v>
      </c>
      <c r="M38" t="s">
        <v>69</v>
      </c>
      <c r="N38">
        <v>1</v>
      </c>
      <c r="O38">
        <v>1252</v>
      </c>
      <c r="P38" t="s">
        <v>1106</v>
      </c>
      <c r="Q38" t="s">
        <v>400</v>
      </c>
      <c r="R38" t="s">
        <v>1107</v>
      </c>
      <c r="S38" t="s">
        <v>1108</v>
      </c>
      <c r="T38">
        <v>1</v>
      </c>
      <c r="U38">
        <v>1</v>
      </c>
      <c r="V38" t="s">
        <v>403</v>
      </c>
      <c r="W38" t="s">
        <v>97</v>
      </c>
      <c r="X38" t="s">
        <v>1109</v>
      </c>
      <c r="Y38">
        <v>1131</v>
      </c>
      <c r="Z38">
        <v>1134</v>
      </c>
      <c r="AA38">
        <v>12.2</v>
      </c>
      <c r="AB38">
        <v>12.1</v>
      </c>
      <c r="AC38">
        <v>12</v>
      </c>
      <c r="AD38">
        <v>1</v>
      </c>
      <c r="AE38" t="s">
        <v>463</v>
      </c>
      <c r="AF38">
        <v>1</v>
      </c>
      <c r="AG38">
        <v>376</v>
      </c>
      <c r="AH38">
        <v>285</v>
      </c>
      <c r="AI38">
        <v>285</v>
      </c>
      <c r="AJ38">
        <v>205</v>
      </c>
      <c r="AK38">
        <v>205</v>
      </c>
      <c r="AL38" t="s">
        <v>406</v>
      </c>
      <c r="AM38" t="s">
        <v>79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978</v>
      </c>
      <c r="AT38">
        <v>52.247999999999998</v>
      </c>
      <c r="AU38">
        <v>0.71199999999999997</v>
      </c>
      <c r="AV38" t="s">
        <v>408</v>
      </c>
      <c r="AW38" t="s">
        <v>82</v>
      </c>
      <c r="AX38" t="s">
        <v>83</v>
      </c>
      <c r="AY38">
        <v>42</v>
      </c>
      <c r="AZ38">
        <v>6.7857142857142856</v>
      </c>
      <c r="BA38">
        <v>107160</v>
      </c>
      <c r="BB38">
        <v>58425</v>
      </c>
      <c r="BC38">
        <v>0.54521276595744683</v>
      </c>
      <c r="BD38">
        <v>16.422764227642279</v>
      </c>
      <c r="BE38">
        <v>2.1138211382113821</v>
      </c>
      <c r="BF38">
        <v>0.86435701702877266</v>
      </c>
      <c r="BG38">
        <v>0</v>
      </c>
      <c r="BH38">
        <v>6.7857142857142856</v>
      </c>
      <c r="BI38">
        <v>0.13564298297122729</v>
      </c>
    </row>
    <row r="39" spans="1:61" x14ac:dyDescent="0.2">
      <c r="A39">
        <v>92</v>
      </c>
      <c r="B39" t="s">
        <v>656</v>
      </c>
      <c r="C39" t="s">
        <v>62</v>
      </c>
      <c r="D39" t="s">
        <v>62</v>
      </c>
      <c r="E39" t="s">
        <v>62</v>
      </c>
      <c r="F39" t="s">
        <v>62</v>
      </c>
      <c r="H39" t="s">
        <v>657</v>
      </c>
      <c r="I39" t="s">
        <v>411</v>
      </c>
      <c r="J39" t="s">
        <v>658</v>
      </c>
      <c r="K39" t="s">
        <v>506</v>
      </c>
      <c r="L39" t="s">
        <v>659</v>
      </c>
      <c r="M39" t="s">
        <v>302</v>
      </c>
      <c r="N39">
        <v>1</v>
      </c>
      <c r="O39">
        <v>297</v>
      </c>
      <c r="P39" t="s">
        <v>660</v>
      </c>
      <c r="Q39" t="s">
        <v>661</v>
      </c>
      <c r="R39" t="s">
        <v>662</v>
      </c>
      <c r="S39" t="s">
        <v>663</v>
      </c>
      <c r="T39">
        <v>1</v>
      </c>
      <c r="U39">
        <v>0</v>
      </c>
      <c r="V39" t="s">
        <v>378</v>
      </c>
      <c r="W39" t="s">
        <v>97</v>
      </c>
      <c r="X39" t="s">
        <v>664</v>
      </c>
      <c r="Y39">
        <v>1132</v>
      </c>
      <c r="Z39">
        <v>1132</v>
      </c>
      <c r="AA39">
        <v>12.2</v>
      </c>
      <c r="AB39">
        <v>12.1</v>
      </c>
      <c r="AC39">
        <v>12</v>
      </c>
      <c r="AD39">
        <v>121</v>
      </c>
      <c r="AE39" t="s">
        <v>405</v>
      </c>
      <c r="AF39">
        <v>1</v>
      </c>
      <c r="AG39">
        <v>282</v>
      </c>
      <c r="AH39">
        <v>187</v>
      </c>
      <c r="AI39">
        <v>195</v>
      </c>
      <c r="AJ39">
        <v>115</v>
      </c>
      <c r="AK39">
        <v>115</v>
      </c>
      <c r="AL39" t="s">
        <v>380</v>
      </c>
      <c r="AM39" t="s">
        <v>665</v>
      </c>
      <c r="AN39">
        <v>1</v>
      </c>
      <c r="AO39">
        <v>1</v>
      </c>
      <c r="AP39">
        <v>0</v>
      </c>
      <c r="AQ39">
        <v>2</v>
      </c>
      <c r="AR39">
        <v>2</v>
      </c>
      <c r="AS39" t="s">
        <v>538</v>
      </c>
      <c r="AT39">
        <v>51.454000000000001</v>
      </c>
      <c r="AU39">
        <v>-0.97299999999999998</v>
      </c>
      <c r="AV39" t="s">
        <v>166</v>
      </c>
      <c r="AW39" t="s">
        <v>82</v>
      </c>
      <c r="AX39" t="s">
        <v>83</v>
      </c>
      <c r="AY39">
        <v>33</v>
      </c>
      <c r="AZ39">
        <v>5.9090909090909092</v>
      </c>
      <c r="BA39">
        <v>52734</v>
      </c>
      <c r="BB39">
        <v>22425</v>
      </c>
      <c r="BC39">
        <v>0.42524746842644212</v>
      </c>
      <c r="BD39">
        <v>41.159420289855078</v>
      </c>
      <c r="BE39">
        <v>2.8985507246376812</v>
      </c>
      <c r="BF39">
        <v>0.8480087687248814</v>
      </c>
      <c r="BG39">
        <v>0</v>
      </c>
      <c r="BH39">
        <v>5.9090909090909092</v>
      </c>
      <c r="BI39">
        <v>0.1519912312751186</v>
      </c>
    </row>
    <row r="40" spans="1:61" x14ac:dyDescent="0.2">
      <c r="A40">
        <v>111</v>
      </c>
      <c r="B40" t="s">
        <v>1110</v>
      </c>
      <c r="C40" t="s">
        <v>62</v>
      </c>
      <c r="D40" t="s">
        <v>62</v>
      </c>
      <c r="E40" t="s">
        <v>62</v>
      </c>
      <c r="F40" t="s">
        <v>62</v>
      </c>
      <c r="G40" t="s">
        <v>62</v>
      </c>
      <c r="H40" t="s">
        <v>1111</v>
      </c>
      <c r="I40" t="s">
        <v>1112</v>
      </c>
      <c r="J40" t="s">
        <v>1113</v>
      </c>
      <c r="K40" t="s">
        <v>1114</v>
      </c>
      <c r="L40" t="s">
        <v>1105</v>
      </c>
      <c r="M40" t="s">
        <v>69</v>
      </c>
      <c r="N40">
        <v>1</v>
      </c>
      <c r="O40">
        <v>1255</v>
      </c>
      <c r="P40" t="s">
        <v>1115</v>
      </c>
      <c r="Q40" t="s">
        <v>278</v>
      </c>
      <c r="R40" t="s">
        <v>1116</v>
      </c>
      <c r="S40" t="s">
        <v>1117</v>
      </c>
      <c r="T40">
        <v>1</v>
      </c>
      <c r="U40">
        <v>1</v>
      </c>
      <c r="V40" t="s">
        <v>239</v>
      </c>
      <c r="W40" t="s">
        <v>97</v>
      </c>
      <c r="X40" t="s">
        <v>1118</v>
      </c>
      <c r="Y40">
        <v>1135</v>
      </c>
      <c r="Z40">
        <v>1143</v>
      </c>
      <c r="AA40">
        <v>12.2</v>
      </c>
      <c r="AB40">
        <v>12.1</v>
      </c>
      <c r="AC40">
        <v>12</v>
      </c>
      <c r="AD40">
        <v>1</v>
      </c>
      <c r="AE40" t="s">
        <v>463</v>
      </c>
      <c r="AF40">
        <v>1</v>
      </c>
      <c r="AG40">
        <v>323</v>
      </c>
      <c r="AH40">
        <v>240</v>
      </c>
      <c r="AI40">
        <v>240</v>
      </c>
      <c r="AJ40">
        <v>180</v>
      </c>
      <c r="AK40">
        <v>180</v>
      </c>
      <c r="AL40" t="s">
        <v>242</v>
      </c>
      <c r="AM40" t="s">
        <v>1119</v>
      </c>
      <c r="AN40">
        <v>0</v>
      </c>
      <c r="AO40">
        <v>1</v>
      </c>
      <c r="AP40">
        <v>1</v>
      </c>
      <c r="AQ40">
        <v>1</v>
      </c>
      <c r="AR40">
        <v>2</v>
      </c>
      <c r="AS40" t="s">
        <v>978</v>
      </c>
      <c r="AT40">
        <v>52.192</v>
      </c>
      <c r="AU40">
        <v>-2.2210000000000001</v>
      </c>
      <c r="AV40" t="s">
        <v>244</v>
      </c>
      <c r="AW40" t="s">
        <v>82</v>
      </c>
      <c r="AX40" t="s">
        <v>83</v>
      </c>
      <c r="AY40">
        <v>42</v>
      </c>
      <c r="AZ40">
        <v>5.7142857142857144</v>
      </c>
      <c r="BA40">
        <v>77520</v>
      </c>
      <c r="BB40">
        <v>43200</v>
      </c>
      <c r="BC40">
        <v>0.55727554179566563</v>
      </c>
      <c r="BD40">
        <v>41.111111111111107</v>
      </c>
      <c r="BE40">
        <v>2.592592592592593</v>
      </c>
      <c r="BF40">
        <v>0.87801013941698369</v>
      </c>
      <c r="BG40">
        <v>0</v>
      </c>
      <c r="BH40">
        <v>5.7142857142857144</v>
      </c>
      <c r="BI40">
        <v>0.12198986058301629</v>
      </c>
    </row>
    <row r="41" spans="1:61" x14ac:dyDescent="0.2">
      <c r="A41">
        <v>140</v>
      </c>
      <c r="B41" t="s">
        <v>1011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J41" t="s">
        <v>1012</v>
      </c>
      <c r="K41" t="s">
        <v>1013</v>
      </c>
      <c r="L41" t="s">
        <v>755</v>
      </c>
      <c r="M41" t="s">
        <v>125</v>
      </c>
      <c r="N41">
        <v>1</v>
      </c>
      <c r="O41">
        <v>1202</v>
      </c>
      <c r="P41" t="s">
        <v>1014</v>
      </c>
      <c r="Q41" t="s">
        <v>520</v>
      </c>
      <c r="R41" t="s">
        <v>1015</v>
      </c>
      <c r="S41" t="s">
        <v>1016</v>
      </c>
      <c r="T41">
        <v>1</v>
      </c>
      <c r="U41">
        <v>1</v>
      </c>
      <c r="V41" t="s">
        <v>523</v>
      </c>
      <c r="W41" t="s">
        <v>97</v>
      </c>
      <c r="X41" t="s">
        <v>1017</v>
      </c>
      <c r="Y41">
        <v>1139</v>
      </c>
      <c r="Z41">
        <v>1158</v>
      </c>
      <c r="AA41">
        <v>12.2</v>
      </c>
      <c r="AB41">
        <v>12.1</v>
      </c>
      <c r="AC41">
        <v>12</v>
      </c>
      <c r="AD41">
        <v>7</v>
      </c>
      <c r="AE41" t="s">
        <v>732</v>
      </c>
      <c r="AF41">
        <v>1</v>
      </c>
      <c r="AG41">
        <v>245</v>
      </c>
      <c r="AH41">
        <v>160</v>
      </c>
      <c r="AI41">
        <v>165</v>
      </c>
      <c r="AJ41">
        <v>102</v>
      </c>
      <c r="AK41">
        <v>102</v>
      </c>
      <c r="AL41" t="s">
        <v>689</v>
      </c>
      <c r="AM41" t="s">
        <v>1018</v>
      </c>
      <c r="AN41">
        <v>0</v>
      </c>
      <c r="AO41">
        <v>0</v>
      </c>
      <c r="AP41">
        <v>2</v>
      </c>
      <c r="AQ41">
        <v>0</v>
      </c>
      <c r="AR41">
        <v>0</v>
      </c>
      <c r="AS41" t="s">
        <v>978</v>
      </c>
      <c r="AT41">
        <v>51.752000000000002</v>
      </c>
      <c r="AU41">
        <v>-0.33500000000000002</v>
      </c>
      <c r="AV41" t="s">
        <v>101</v>
      </c>
      <c r="AW41" t="s">
        <v>82</v>
      </c>
      <c r="AX41" t="s">
        <v>83</v>
      </c>
      <c r="AY41">
        <v>34</v>
      </c>
      <c r="AZ41">
        <v>4.8529411764705879</v>
      </c>
      <c r="BA41">
        <v>39200</v>
      </c>
      <c r="BB41">
        <v>16830</v>
      </c>
      <c r="BC41">
        <v>0.42933673469387762</v>
      </c>
      <c r="BG41">
        <v>0</v>
      </c>
      <c r="BH41">
        <v>4.8529411764705879</v>
      </c>
    </row>
    <row r="42" spans="1:61" x14ac:dyDescent="0.2">
      <c r="A42">
        <v>114</v>
      </c>
      <c r="B42" t="s">
        <v>61</v>
      </c>
      <c r="C42" t="s">
        <v>62</v>
      </c>
      <c r="D42" t="s">
        <v>62</v>
      </c>
      <c r="E42" t="s">
        <v>63</v>
      </c>
      <c r="F42" t="s">
        <v>62</v>
      </c>
      <c r="G42" t="s">
        <v>62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69</v>
      </c>
      <c r="N42">
        <v>1</v>
      </c>
      <c r="O42">
        <v>92</v>
      </c>
      <c r="P42" t="s">
        <v>70</v>
      </c>
      <c r="Q42" t="s">
        <v>71</v>
      </c>
      <c r="R42" t="s">
        <v>72</v>
      </c>
      <c r="S42" t="s">
        <v>73</v>
      </c>
      <c r="T42">
        <v>1</v>
      </c>
      <c r="U42">
        <v>1</v>
      </c>
      <c r="V42" t="s">
        <v>74</v>
      </c>
      <c r="W42" t="s">
        <v>75</v>
      </c>
      <c r="X42" t="s">
        <v>76</v>
      </c>
      <c r="Y42">
        <v>1140</v>
      </c>
      <c r="Z42">
        <v>1140</v>
      </c>
      <c r="AA42">
        <v>12.2</v>
      </c>
      <c r="AB42">
        <v>12.1</v>
      </c>
      <c r="AC42">
        <v>12</v>
      </c>
      <c r="AD42">
        <v>150</v>
      </c>
      <c r="AE42" t="s">
        <v>77</v>
      </c>
      <c r="AF42">
        <v>1</v>
      </c>
      <c r="AG42">
        <v>270</v>
      </c>
      <c r="AH42">
        <v>180</v>
      </c>
      <c r="AI42">
        <v>203</v>
      </c>
      <c r="AJ42">
        <v>112</v>
      </c>
      <c r="AK42">
        <v>112</v>
      </c>
      <c r="AL42" t="s">
        <v>78</v>
      </c>
      <c r="AM42" t="s">
        <v>79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80</v>
      </c>
      <c r="AT42">
        <v>50.4</v>
      </c>
      <c r="AU42">
        <v>-3.8</v>
      </c>
      <c r="AV42" t="s">
        <v>81</v>
      </c>
      <c r="AW42" t="s">
        <v>82</v>
      </c>
      <c r="AX42" t="s">
        <v>83</v>
      </c>
      <c r="AY42">
        <v>35</v>
      </c>
      <c r="AZ42">
        <v>5.8</v>
      </c>
      <c r="BA42">
        <v>48600</v>
      </c>
      <c r="BB42">
        <v>22736</v>
      </c>
      <c r="BC42">
        <v>0.46781893004115233</v>
      </c>
      <c r="BD42">
        <v>36.607142857142847</v>
      </c>
      <c r="BE42">
        <v>3.8690476190476191</v>
      </c>
      <c r="BF42">
        <v>0.87728194726166331</v>
      </c>
      <c r="BG42">
        <v>0</v>
      </c>
      <c r="BH42">
        <v>5.8</v>
      </c>
      <c r="BI42">
        <v>0.12271805273833671</v>
      </c>
    </row>
    <row r="43" spans="1:61" x14ac:dyDescent="0.2">
      <c r="A43">
        <v>113</v>
      </c>
      <c r="B43" t="s">
        <v>245</v>
      </c>
      <c r="C43" t="s">
        <v>62</v>
      </c>
      <c r="D43" t="s">
        <v>62</v>
      </c>
      <c r="E43" t="s">
        <v>62</v>
      </c>
      <c r="F43" t="s">
        <v>62</v>
      </c>
      <c r="G43" t="s">
        <v>62</v>
      </c>
      <c r="H43" t="s">
        <v>246</v>
      </c>
      <c r="I43" t="s">
        <v>247</v>
      </c>
      <c r="J43" t="s">
        <v>248</v>
      </c>
      <c r="K43" t="s">
        <v>249</v>
      </c>
      <c r="L43" t="s">
        <v>250</v>
      </c>
      <c r="M43" t="s">
        <v>69</v>
      </c>
      <c r="N43">
        <v>1</v>
      </c>
      <c r="O43">
        <v>159</v>
      </c>
      <c r="P43" t="s">
        <v>70</v>
      </c>
      <c r="Q43" t="s">
        <v>251</v>
      </c>
      <c r="R43" t="s">
        <v>252</v>
      </c>
      <c r="S43" t="s">
        <v>253</v>
      </c>
      <c r="T43">
        <v>1</v>
      </c>
      <c r="U43">
        <v>0</v>
      </c>
      <c r="V43" t="s">
        <v>254</v>
      </c>
      <c r="W43" t="s">
        <v>97</v>
      </c>
      <c r="X43" t="s">
        <v>255</v>
      </c>
      <c r="Y43">
        <v>1140</v>
      </c>
      <c r="Z43">
        <v>1140</v>
      </c>
      <c r="AA43">
        <v>12.2</v>
      </c>
      <c r="AB43">
        <v>12.1</v>
      </c>
      <c r="AC43">
        <v>12</v>
      </c>
      <c r="AD43">
        <v>8</v>
      </c>
      <c r="AE43" t="s">
        <v>241</v>
      </c>
      <c r="AF43">
        <v>2</v>
      </c>
      <c r="AG43">
        <v>322</v>
      </c>
      <c r="AH43">
        <v>240</v>
      </c>
      <c r="AI43">
        <v>250</v>
      </c>
      <c r="AJ43">
        <v>214</v>
      </c>
      <c r="AK43">
        <v>100</v>
      </c>
      <c r="AL43" t="s">
        <v>256</v>
      </c>
      <c r="AM43" t="s">
        <v>257</v>
      </c>
      <c r="AN43">
        <v>0</v>
      </c>
      <c r="AO43">
        <v>0</v>
      </c>
      <c r="AP43">
        <v>1</v>
      </c>
      <c r="AQ43">
        <v>0</v>
      </c>
      <c r="AR43">
        <v>0</v>
      </c>
      <c r="AS43" t="s">
        <v>80</v>
      </c>
      <c r="AT43">
        <v>51.280999999999999</v>
      </c>
      <c r="AU43">
        <v>1.081</v>
      </c>
      <c r="AV43" t="s">
        <v>166</v>
      </c>
      <c r="AW43" t="s">
        <v>82</v>
      </c>
      <c r="AX43" t="s">
        <v>191</v>
      </c>
      <c r="AY43">
        <v>40</v>
      </c>
      <c r="AZ43">
        <v>6.25</v>
      </c>
      <c r="BA43">
        <v>77280</v>
      </c>
      <c r="BB43">
        <v>53500</v>
      </c>
      <c r="BC43">
        <v>0.69228778467908902</v>
      </c>
      <c r="BD43">
        <v>37</v>
      </c>
      <c r="BE43">
        <v>3</v>
      </c>
      <c r="BF43">
        <v>0.8654680719156852</v>
      </c>
      <c r="BG43">
        <v>14</v>
      </c>
      <c r="BH43">
        <v>6.25</v>
      </c>
      <c r="BI43">
        <v>0.1345319280843148</v>
      </c>
    </row>
    <row r="44" spans="1:61" x14ac:dyDescent="0.2">
      <c r="A44">
        <v>112</v>
      </c>
      <c r="B44" t="s">
        <v>666</v>
      </c>
      <c r="C44" t="s">
        <v>62</v>
      </c>
      <c r="D44" t="s">
        <v>62</v>
      </c>
      <c r="E44" t="s">
        <v>62</v>
      </c>
      <c r="F44" t="s">
        <v>62</v>
      </c>
      <c r="G44" t="s">
        <v>62</v>
      </c>
      <c r="H44" t="s">
        <v>667</v>
      </c>
      <c r="I44" t="s">
        <v>668</v>
      </c>
      <c r="J44" t="s">
        <v>669</v>
      </c>
      <c r="K44" t="s">
        <v>670</v>
      </c>
      <c r="L44" t="s">
        <v>671</v>
      </c>
      <c r="M44" t="s">
        <v>672</v>
      </c>
      <c r="N44">
        <v>1</v>
      </c>
      <c r="O44">
        <v>298</v>
      </c>
      <c r="P44" t="s">
        <v>673</v>
      </c>
      <c r="Q44" t="s">
        <v>172</v>
      </c>
      <c r="R44" t="s">
        <v>674</v>
      </c>
      <c r="S44" t="s">
        <v>675</v>
      </c>
      <c r="T44">
        <v>0</v>
      </c>
      <c r="U44">
        <v>0</v>
      </c>
      <c r="X44" t="s">
        <v>676</v>
      </c>
      <c r="Y44">
        <v>1140</v>
      </c>
      <c r="Z44">
        <v>1140</v>
      </c>
      <c r="AA44">
        <v>12.2</v>
      </c>
      <c r="AB44">
        <v>12.1</v>
      </c>
      <c r="AC44">
        <v>12</v>
      </c>
      <c r="AD44">
        <v>136</v>
      </c>
      <c r="AE44" t="s">
        <v>500</v>
      </c>
      <c r="AF44">
        <v>2</v>
      </c>
      <c r="AG44">
        <v>327</v>
      </c>
      <c r="AH44">
        <v>205</v>
      </c>
      <c r="AI44">
        <v>241</v>
      </c>
      <c r="AJ44">
        <v>140</v>
      </c>
      <c r="AK44">
        <v>63</v>
      </c>
      <c r="AM44" t="s">
        <v>677</v>
      </c>
      <c r="AN44">
        <v>1</v>
      </c>
      <c r="AO44">
        <v>1</v>
      </c>
      <c r="AP44">
        <v>0</v>
      </c>
      <c r="AQ44">
        <v>2</v>
      </c>
      <c r="AR44">
        <v>2</v>
      </c>
      <c r="AS44" t="s">
        <v>538</v>
      </c>
      <c r="AW44" t="s">
        <v>82</v>
      </c>
      <c r="AX44" t="s">
        <v>191</v>
      </c>
      <c r="AY44">
        <v>45</v>
      </c>
      <c r="AZ44">
        <v>5.3555555555555552</v>
      </c>
      <c r="BA44">
        <v>67035</v>
      </c>
      <c r="BB44">
        <v>33740</v>
      </c>
      <c r="BC44">
        <v>0.50331916163198331</v>
      </c>
      <c r="BD44">
        <v>50.529100529100518</v>
      </c>
      <c r="BE44">
        <v>6.8783068783068781</v>
      </c>
      <c r="BF44">
        <v>0.85361880381661659</v>
      </c>
      <c r="BG44">
        <v>14</v>
      </c>
      <c r="BH44">
        <v>5.3555555555555552</v>
      </c>
      <c r="BI44">
        <v>0.14638119618338341</v>
      </c>
    </row>
    <row r="45" spans="1:61" x14ac:dyDescent="0.2">
      <c r="A45">
        <v>169</v>
      </c>
      <c r="B45" t="s">
        <v>743</v>
      </c>
      <c r="C45" t="s">
        <v>62</v>
      </c>
      <c r="D45" t="s">
        <v>62</v>
      </c>
      <c r="E45" t="s">
        <v>62</v>
      </c>
      <c r="F45" t="s">
        <v>62</v>
      </c>
      <c r="G45" t="s">
        <v>62</v>
      </c>
      <c r="J45" t="s">
        <v>744</v>
      </c>
      <c r="K45" t="s">
        <v>481</v>
      </c>
      <c r="L45" t="s">
        <v>745</v>
      </c>
      <c r="M45" t="s">
        <v>495</v>
      </c>
      <c r="N45">
        <v>1</v>
      </c>
      <c r="O45">
        <v>321</v>
      </c>
      <c r="P45" t="s">
        <v>746</v>
      </c>
      <c r="Q45" t="s">
        <v>362</v>
      </c>
      <c r="R45" t="s">
        <v>747</v>
      </c>
      <c r="S45" t="s">
        <v>748</v>
      </c>
      <c r="T45">
        <v>1</v>
      </c>
      <c r="U45">
        <v>1</v>
      </c>
      <c r="V45" t="s">
        <v>254</v>
      </c>
      <c r="W45" t="s">
        <v>97</v>
      </c>
      <c r="X45" t="s">
        <v>749</v>
      </c>
      <c r="Y45">
        <v>1145</v>
      </c>
      <c r="Z45">
        <v>1170</v>
      </c>
      <c r="AA45">
        <v>12.3</v>
      </c>
      <c r="AB45">
        <v>12.2</v>
      </c>
      <c r="AC45">
        <v>12</v>
      </c>
      <c r="AD45">
        <v>286</v>
      </c>
      <c r="AE45" t="s">
        <v>750</v>
      </c>
      <c r="AF45">
        <v>3</v>
      </c>
      <c r="AG45">
        <v>454</v>
      </c>
      <c r="AH45">
        <v>333</v>
      </c>
      <c r="AI45">
        <v>298</v>
      </c>
      <c r="AJ45">
        <v>257</v>
      </c>
      <c r="AK45">
        <v>74</v>
      </c>
      <c r="AL45" t="s">
        <v>256</v>
      </c>
      <c r="AM45" t="s">
        <v>751</v>
      </c>
      <c r="AN45">
        <v>0</v>
      </c>
      <c r="AO45">
        <v>1</v>
      </c>
      <c r="AP45">
        <v>1</v>
      </c>
      <c r="AQ45">
        <v>2</v>
      </c>
      <c r="AR45">
        <v>2</v>
      </c>
      <c r="AS45" t="s">
        <v>538</v>
      </c>
      <c r="AT45">
        <v>51.280999999999999</v>
      </c>
      <c r="AU45">
        <v>1.081</v>
      </c>
      <c r="AV45" t="s">
        <v>166</v>
      </c>
      <c r="AW45" t="s">
        <v>82</v>
      </c>
      <c r="AX45" t="s">
        <v>102</v>
      </c>
      <c r="AY45">
        <v>27</v>
      </c>
      <c r="AZ45">
        <v>11.03703703703704</v>
      </c>
      <c r="BA45">
        <v>151182</v>
      </c>
      <c r="BB45">
        <v>76586</v>
      </c>
      <c r="BC45">
        <v>0.50658147133918063</v>
      </c>
      <c r="BG45">
        <v>35</v>
      </c>
      <c r="BH45">
        <v>11.03703703703704</v>
      </c>
    </row>
    <row r="46" spans="1:61" x14ac:dyDescent="0.2">
      <c r="A46">
        <v>129</v>
      </c>
      <c r="B46" t="s">
        <v>137</v>
      </c>
      <c r="C46" t="s">
        <v>62</v>
      </c>
      <c r="D46" t="s">
        <v>62</v>
      </c>
      <c r="E46" t="s">
        <v>62</v>
      </c>
      <c r="F46" t="s">
        <v>62</v>
      </c>
      <c r="G46" t="s">
        <v>62</v>
      </c>
      <c r="H46" t="s">
        <v>138</v>
      </c>
      <c r="I46" t="s">
        <v>139</v>
      </c>
      <c r="J46" t="s">
        <v>140</v>
      </c>
      <c r="K46" t="s">
        <v>141</v>
      </c>
      <c r="L46" t="s">
        <v>142</v>
      </c>
      <c r="M46" t="s">
        <v>91</v>
      </c>
      <c r="N46">
        <v>1</v>
      </c>
      <c r="O46">
        <v>125</v>
      </c>
      <c r="P46" t="s">
        <v>143</v>
      </c>
      <c r="Q46" t="s">
        <v>144</v>
      </c>
      <c r="R46" t="s">
        <v>145</v>
      </c>
      <c r="S46" t="s">
        <v>146</v>
      </c>
      <c r="T46">
        <v>1</v>
      </c>
      <c r="U46">
        <v>1</v>
      </c>
      <c r="V46" t="s">
        <v>147</v>
      </c>
      <c r="W46" t="s">
        <v>97</v>
      </c>
      <c r="X46" t="s">
        <v>148</v>
      </c>
      <c r="Y46">
        <v>1146</v>
      </c>
      <c r="Z46">
        <v>1146</v>
      </c>
      <c r="AA46">
        <v>12.2</v>
      </c>
      <c r="AB46">
        <v>12.1</v>
      </c>
      <c r="AC46">
        <v>12</v>
      </c>
      <c r="AD46">
        <v>88</v>
      </c>
      <c r="AE46" t="s">
        <v>149</v>
      </c>
      <c r="AF46">
        <v>1</v>
      </c>
      <c r="AG46">
        <v>272</v>
      </c>
      <c r="AH46">
        <v>180</v>
      </c>
      <c r="AI46">
        <v>196</v>
      </c>
      <c r="AJ46">
        <v>118</v>
      </c>
      <c r="AK46">
        <v>118</v>
      </c>
      <c r="AL46" t="s">
        <v>150</v>
      </c>
      <c r="AM46" t="s">
        <v>151</v>
      </c>
      <c r="AN46">
        <v>0</v>
      </c>
      <c r="AO46">
        <v>0</v>
      </c>
      <c r="AP46">
        <v>2</v>
      </c>
      <c r="AQ46">
        <v>1</v>
      </c>
      <c r="AR46">
        <v>2</v>
      </c>
      <c r="AS46" t="s">
        <v>80</v>
      </c>
      <c r="AT46">
        <v>50.948999999999998</v>
      </c>
      <c r="AU46">
        <v>-2.5190000000000001</v>
      </c>
      <c r="AV46" t="s">
        <v>81</v>
      </c>
      <c r="AW46" t="s">
        <v>82</v>
      </c>
      <c r="AX46" t="s">
        <v>83</v>
      </c>
      <c r="AY46">
        <v>28</v>
      </c>
      <c r="AZ46">
        <v>7</v>
      </c>
      <c r="BA46">
        <v>48960</v>
      </c>
      <c r="BB46">
        <v>23128</v>
      </c>
      <c r="BC46">
        <v>0.47238562091503272</v>
      </c>
      <c r="BD46">
        <v>35.31073446327683</v>
      </c>
      <c r="BE46">
        <v>1.412429378531074</v>
      </c>
      <c r="BF46">
        <v>0.89427143406382137</v>
      </c>
      <c r="BG46">
        <v>0</v>
      </c>
      <c r="BH46">
        <v>7</v>
      </c>
      <c r="BI46">
        <v>0.1057285659361786</v>
      </c>
    </row>
    <row r="47" spans="1:61" x14ac:dyDescent="0.2">
      <c r="A47">
        <v>175</v>
      </c>
      <c r="B47" t="s">
        <v>439</v>
      </c>
      <c r="C47" t="s">
        <v>62</v>
      </c>
      <c r="D47" t="s">
        <v>62</v>
      </c>
      <c r="E47" t="s">
        <v>62</v>
      </c>
      <c r="F47" t="s">
        <v>62</v>
      </c>
      <c r="G47" t="s">
        <v>62</v>
      </c>
      <c r="H47" t="s">
        <v>440</v>
      </c>
      <c r="I47" t="s">
        <v>441</v>
      </c>
      <c r="J47" t="s">
        <v>442</v>
      </c>
      <c r="K47" t="s">
        <v>443</v>
      </c>
      <c r="L47" t="s">
        <v>444</v>
      </c>
      <c r="M47" t="s">
        <v>429</v>
      </c>
      <c r="N47">
        <v>1</v>
      </c>
      <c r="O47">
        <v>233</v>
      </c>
      <c r="P47" t="s">
        <v>445</v>
      </c>
      <c r="Q47" t="s">
        <v>446</v>
      </c>
      <c r="R47" t="s">
        <v>447</v>
      </c>
      <c r="S47" t="s">
        <v>448</v>
      </c>
      <c r="T47">
        <v>1</v>
      </c>
      <c r="U47">
        <v>1</v>
      </c>
      <c r="V47" t="s">
        <v>449</v>
      </c>
      <c r="W47" t="s">
        <v>75</v>
      </c>
      <c r="X47" t="s">
        <v>450</v>
      </c>
      <c r="Y47">
        <v>1147</v>
      </c>
      <c r="Z47">
        <v>1176</v>
      </c>
      <c r="AB47">
        <v>12.2</v>
      </c>
      <c r="AC47">
        <v>12</v>
      </c>
      <c r="AD47">
        <v>106</v>
      </c>
      <c r="AE47" t="s">
        <v>204</v>
      </c>
      <c r="AF47">
        <v>2</v>
      </c>
      <c r="AG47">
        <v>278</v>
      </c>
      <c r="AH47">
        <v>193</v>
      </c>
      <c r="AI47">
        <v>210</v>
      </c>
      <c r="AJ47">
        <v>145</v>
      </c>
      <c r="AK47">
        <v>65</v>
      </c>
      <c r="AL47" t="s">
        <v>324</v>
      </c>
      <c r="AM47" t="s">
        <v>438</v>
      </c>
      <c r="AN47">
        <v>0</v>
      </c>
      <c r="AO47">
        <v>0</v>
      </c>
      <c r="AP47">
        <v>0</v>
      </c>
      <c r="AQ47">
        <v>1</v>
      </c>
      <c r="AR47">
        <v>2</v>
      </c>
      <c r="AS47" t="s">
        <v>80</v>
      </c>
      <c r="AT47">
        <v>51.712000000000003</v>
      </c>
      <c r="AU47">
        <v>-1.968</v>
      </c>
      <c r="AV47" t="s">
        <v>244</v>
      </c>
      <c r="AW47" t="s">
        <v>82</v>
      </c>
      <c r="AX47" t="s">
        <v>191</v>
      </c>
      <c r="AY47">
        <v>29</v>
      </c>
      <c r="AZ47">
        <v>7.2413793103448274</v>
      </c>
      <c r="BA47">
        <v>53654</v>
      </c>
      <c r="BB47">
        <v>30450</v>
      </c>
      <c r="BC47">
        <v>0.56752525440787271</v>
      </c>
      <c r="BD47">
        <v>33.846153846153847</v>
      </c>
      <c r="BE47">
        <v>2.3076923076923079</v>
      </c>
      <c r="BF47">
        <v>0.9240418118466901</v>
      </c>
      <c r="BG47">
        <v>15</v>
      </c>
      <c r="BH47">
        <v>7.2413793103448274</v>
      </c>
      <c r="BI47">
        <v>7.5958188153309902E-2</v>
      </c>
    </row>
    <row r="48" spans="1:61" x14ac:dyDescent="0.2">
      <c r="A48">
        <v>176</v>
      </c>
      <c r="B48" t="s">
        <v>502</v>
      </c>
      <c r="C48" t="s">
        <v>62</v>
      </c>
      <c r="D48" t="s">
        <v>62</v>
      </c>
      <c r="E48" t="s">
        <v>62</v>
      </c>
      <c r="F48" t="s">
        <v>62</v>
      </c>
      <c r="G48" t="s">
        <v>62</v>
      </c>
      <c r="H48" t="s">
        <v>503</v>
      </c>
      <c r="I48" t="s">
        <v>504</v>
      </c>
      <c r="J48" t="s">
        <v>505</v>
      </c>
      <c r="K48" t="s">
        <v>506</v>
      </c>
      <c r="L48" t="s">
        <v>507</v>
      </c>
      <c r="M48" t="s">
        <v>158</v>
      </c>
      <c r="N48">
        <v>1</v>
      </c>
      <c r="O48">
        <v>242</v>
      </c>
      <c r="P48" t="s">
        <v>445</v>
      </c>
      <c r="Q48" t="s">
        <v>446</v>
      </c>
      <c r="R48" t="s">
        <v>508</v>
      </c>
      <c r="S48" t="s">
        <v>509</v>
      </c>
      <c r="T48">
        <v>1</v>
      </c>
      <c r="U48">
        <v>1</v>
      </c>
      <c r="V48" t="s">
        <v>449</v>
      </c>
      <c r="W48" t="s">
        <v>75</v>
      </c>
      <c r="X48" t="s">
        <v>510</v>
      </c>
      <c r="Y48">
        <v>1147</v>
      </c>
      <c r="Z48">
        <v>1176</v>
      </c>
      <c r="AB48">
        <v>12.2</v>
      </c>
      <c r="AC48">
        <v>12</v>
      </c>
      <c r="AD48">
        <v>178</v>
      </c>
      <c r="AE48" t="s">
        <v>475</v>
      </c>
      <c r="AF48">
        <v>2</v>
      </c>
      <c r="AG48">
        <v>350</v>
      </c>
      <c r="AH48">
        <v>237</v>
      </c>
      <c r="AI48">
        <v>265</v>
      </c>
      <c r="AJ48">
        <v>158</v>
      </c>
      <c r="AK48">
        <v>70</v>
      </c>
      <c r="AL48" t="s">
        <v>324</v>
      </c>
      <c r="AM48" t="s">
        <v>511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80</v>
      </c>
      <c r="AT48">
        <v>51.712000000000003</v>
      </c>
      <c r="AU48">
        <v>-1.968</v>
      </c>
      <c r="AV48" t="s">
        <v>244</v>
      </c>
      <c r="AW48" t="s">
        <v>82</v>
      </c>
      <c r="AX48" t="s">
        <v>191</v>
      </c>
      <c r="AY48">
        <v>43</v>
      </c>
      <c r="AZ48">
        <v>6.1627906976744189</v>
      </c>
      <c r="BA48">
        <v>82950</v>
      </c>
      <c r="BB48">
        <v>41870</v>
      </c>
      <c r="BC48">
        <v>0.50476190476190474</v>
      </c>
      <c r="BD48">
        <v>40</v>
      </c>
      <c r="BE48">
        <v>3.8095238095238089</v>
      </c>
      <c r="BF48">
        <v>0.89032821008809748</v>
      </c>
      <c r="BG48">
        <v>18</v>
      </c>
      <c r="BH48">
        <v>6.1627906976744189</v>
      </c>
      <c r="BI48">
        <v>0.1096717899119025</v>
      </c>
    </row>
    <row r="49" spans="1:61" x14ac:dyDescent="0.2">
      <c r="A49">
        <v>177</v>
      </c>
      <c r="B49" t="s">
        <v>1145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1146</v>
      </c>
      <c r="I49" t="s">
        <v>1147</v>
      </c>
      <c r="J49" t="s">
        <v>1148</v>
      </c>
      <c r="K49" t="s">
        <v>1149</v>
      </c>
      <c r="L49" t="s">
        <v>1150</v>
      </c>
      <c r="M49" t="s">
        <v>429</v>
      </c>
      <c r="N49">
        <v>1</v>
      </c>
      <c r="O49">
        <v>1261</v>
      </c>
      <c r="P49" t="s">
        <v>1151</v>
      </c>
      <c r="Q49" t="s">
        <v>446</v>
      </c>
      <c r="R49" t="s">
        <v>1152</v>
      </c>
      <c r="S49" t="s">
        <v>1153</v>
      </c>
      <c r="T49">
        <v>1</v>
      </c>
      <c r="U49">
        <v>1</v>
      </c>
      <c r="V49" t="s">
        <v>449</v>
      </c>
      <c r="W49" t="s">
        <v>75</v>
      </c>
      <c r="X49" t="s">
        <v>1154</v>
      </c>
      <c r="Y49">
        <v>1147</v>
      </c>
      <c r="Z49">
        <v>1176</v>
      </c>
      <c r="AB49">
        <v>12.2</v>
      </c>
      <c r="AC49">
        <v>12</v>
      </c>
      <c r="AD49">
        <v>159</v>
      </c>
      <c r="AE49" t="s">
        <v>732</v>
      </c>
      <c r="AF49">
        <v>2</v>
      </c>
      <c r="AG49">
        <v>330</v>
      </c>
      <c r="AH49">
        <v>220</v>
      </c>
      <c r="AI49">
        <v>235</v>
      </c>
      <c r="AJ49">
        <v>135</v>
      </c>
      <c r="AK49">
        <v>65</v>
      </c>
      <c r="AL49" t="s">
        <v>324</v>
      </c>
      <c r="AM49" t="s">
        <v>243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978</v>
      </c>
      <c r="AT49">
        <v>51.712000000000003</v>
      </c>
      <c r="AU49">
        <v>-1.968</v>
      </c>
      <c r="AV49" t="s">
        <v>244</v>
      </c>
      <c r="AW49" t="s">
        <v>82</v>
      </c>
      <c r="AX49" t="s">
        <v>191</v>
      </c>
      <c r="AY49">
        <v>34</v>
      </c>
      <c r="AZ49">
        <v>6.9117647058823533</v>
      </c>
      <c r="BA49">
        <v>72600</v>
      </c>
      <c r="BB49">
        <v>31725</v>
      </c>
      <c r="BC49">
        <v>0.43698347107438018</v>
      </c>
      <c r="BD49">
        <v>38.461538461538467</v>
      </c>
      <c r="BE49">
        <v>2.5641025641025639</v>
      </c>
      <c r="BF49">
        <v>0.96093064091308167</v>
      </c>
      <c r="BG49">
        <v>5</v>
      </c>
      <c r="BH49">
        <v>6.9117647058823533</v>
      </c>
      <c r="BI49">
        <v>3.9069359086918332E-2</v>
      </c>
    </row>
    <row r="50" spans="1:61" x14ac:dyDescent="0.2">
      <c r="A50">
        <v>178</v>
      </c>
      <c r="B50" t="s">
        <v>1175</v>
      </c>
      <c r="C50" t="s">
        <v>62</v>
      </c>
      <c r="D50" t="s">
        <v>62</v>
      </c>
      <c r="E50" t="s">
        <v>62</v>
      </c>
      <c r="F50" t="s">
        <v>62</v>
      </c>
      <c r="H50" t="s">
        <v>1176</v>
      </c>
      <c r="I50" t="s">
        <v>1177</v>
      </c>
      <c r="J50" t="s">
        <v>1178</v>
      </c>
      <c r="K50" t="s">
        <v>1179</v>
      </c>
      <c r="L50" t="s">
        <v>1180</v>
      </c>
      <c r="M50" t="s">
        <v>429</v>
      </c>
      <c r="N50">
        <v>1</v>
      </c>
      <c r="O50">
        <v>1264</v>
      </c>
      <c r="P50" t="s">
        <v>1151</v>
      </c>
      <c r="Q50" t="s">
        <v>446</v>
      </c>
      <c r="R50" t="s">
        <v>1181</v>
      </c>
      <c r="S50" t="s">
        <v>1182</v>
      </c>
      <c r="T50">
        <v>1</v>
      </c>
      <c r="U50">
        <v>1</v>
      </c>
      <c r="V50" t="s">
        <v>449</v>
      </c>
      <c r="W50" t="s">
        <v>75</v>
      </c>
      <c r="X50" t="s">
        <v>1183</v>
      </c>
      <c r="Y50">
        <v>1147</v>
      </c>
      <c r="Z50">
        <v>1176</v>
      </c>
      <c r="AB50">
        <v>12.2</v>
      </c>
      <c r="AC50">
        <v>12</v>
      </c>
      <c r="AD50">
        <v>120</v>
      </c>
      <c r="AE50" t="s">
        <v>1143</v>
      </c>
      <c r="AF50">
        <v>2</v>
      </c>
      <c r="AG50">
        <v>280</v>
      </c>
      <c r="AH50">
        <v>200</v>
      </c>
      <c r="AI50">
        <v>208</v>
      </c>
      <c r="AK50">
        <v>60</v>
      </c>
      <c r="AL50" t="s">
        <v>324</v>
      </c>
      <c r="AM50" t="s">
        <v>1174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978</v>
      </c>
      <c r="AT50">
        <v>51.712000000000003</v>
      </c>
      <c r="AU50">
        <v>-1.968</v>
      </c>
      <c r="AV50" t="s">
        <v>244</v>
      </c>
      <c r="AW50" t="s">
        <v>82</v>
      </c>
      <c r="AX50" t="s">
        <v>191</v>
      </c>
      <c r="AY50">
        <v>31</v>
      </c>
      <c r="AZ50">
        <v>6.709677419354839</v>
      </c>
      <c r="BA50">
        <v>56000</v>
      </c>
      <c r="BD50">
        <v>36.666666666666657</v>
      </c>
      <c r="BE50">
        <v>5.5555555555555562</v>
      </c>
      <c r="BF50">
        <v>0.92630124366650968</v>
      </c>
      <c r="BH50">
        <v>6.709677419354839</v>
      </c>
      <c r="BI50">
        <v>7.3698756333490323E-2</v>
      </c>
    </row>
    <row r="51" spans="1:61" x14ac:dyDescent="0.2">
      <c r="A51">
        <v>137</v>
      </c>
      <c r="B51" t="s">
        <v>870</v>
      </c>
      <c r="C51" t="s">
        <v>62</v>
      </c>
      <c r="D51" t="s">
        <v>62</v>
      </c>
      <c r="E51" t="s">
        <v>62</v>
      </c>
      <c r="F51" t="s">
        <v>62</v>
      </c>
      <c r="G51" t="s">
        <v>62</v>
      </c>
      <c r="H51" t="s">
        <v>871</v>
      </c>
      <c r="I51" t="s">
        <v>872</v>
      </c>
      <c r="J51" t="s">
        <v>873</v>
      </c>
      <c r="K51" t="s">
        <v>874</v>
      </c>
      <c r="L51" t="s">
        <v>875</v>
      </c>
      <c r="M51" t="s">
        <v>91</v>
      </c>
      <c r="N51">
        <v>1</v>
      </c>
      <c r="O51">
        <v>1074</v>
      </c>
      <c r="P51" t="s">
        <v>876</v>
      </c>
      <c r="Q51" t="s">
        <v>589</v>
      </c>
      <c r="R51" t="s">
        <v>877</v>
      </c>
      <c r="S51" t="s">
        <v>878</v>
      </c>
      <c r="T51">
        <v>1</v>
      </c>
      <c r="U51">
        <v>1</v>
      </c>
      <c r="V51" t="s">
        <v>592</v>
      </c>
      <c r="W51" t="s">
        <v>97</v>
      </c>
      <c r="X51" t="s">
        <v>879</v>
      </c>
      <c r="Y51">
        <v>1148</v>
      </c>
      <c r="Z51">
        <v>1148</v>
      </c>
      <c r="AA51">
        <v>12.2</v>
      </c>
      <c r="AB51">
        <v>12.1</v>
      </c>
      <c r="AC51">
        <v>12</v>
      </c>
      <c r="AD51">
        <v>33</v>
      </c>
      <c r="AE51" t="s">
        <v>204</v>
      </c>
      <c r="AF51">
        <v>2</v>
      </c>
      <c r="AG51">
        <v>251</v>
      </c>
      <c r="AH51">
        <v>174</v>
      </c>
      <c r="AI51">
        <v>185</v>
      </c>
      <c r="AJ51">
        <v>125</v>
      </c>
      <c r="AK51">
        <v>58</v>
      </c>
      <c r="AL51" t="s">
        <v>165</v>
      </c>
      <c r="AM51" t="s">
        <v>880</v>
      </c>
      <c r="AN51">
        <v>0</v>
      </c>
      <c r="AO51">
        <v>0</v>
      </c>
      <c r="AP51">
        <v>0</v>
      </c>
      <c r="AQ51">
        <v>1</v>
      </c>
      <c r="AR51">
        <v>2</v>
      </c>
      <c r="AS51" t="s">
        <v>859</v>
      </c>
      <c r="AT51">
        <v>51.06</v>
      </c>
      <c r="AU51">
        <v>-1.3129999999999999</v>
      </c>
      <c r="AV51" t="s">
        <v>166</v>
      </c>
      <c r="AW51" t="s">
        <v>82</v>
      </c>
      <c r="AX51" t="s">
        <v>191</v>
      </c>
      <c r="AY51">
        <v>29</v>
      </c>
      <c r="AZ51">
        <v>6.3793103448275863</v>
      </c>
      <c r="BA51">
        <v>43674</v>
      </c>
      <c r="BB51">
        <v>23125</v>
      </c>
      <c r="BC51">
        <v>0.52949123048037738</v>
      </c>
      <c r="BD51">
        <v>29.597701149425291</v>
      </c>
      <c r="BE51">
        <v>3.4482758620689649</v>
      </c>
      <c r="BF51">
        <v>0.8637837837837834</v>
      </c>
      <c r="BG51">
        <v>9</v>
      </c>
      <c r="BH51">
        <v>6.3793103448275863</v>
      </c>
      <c r="BI51">
        <v>0.1362162162162166</v>
      </c>
    </row>
    <row r="52" spans="1:61" x14ac:dyDescent="0.2">
      <c r="A52">
        <v>184</v>
      </c>
      <c r="B52" t="s">
        <v>1133</v>
      </c>
      <c r="C52" t="s">
        <v>62</v>
      </c>
      <c r="D52" t="s">
        <v>62</v>
      </c>
      <c r="E52" t="s">
        <v>62</v>
      </c>
      <c r="F52" t="s">
        <v>62</v>
      </c>
      <c r="H52" t="s">
        <v>1134</v>
      </c>
      <c r="I52" t="s">
        <v>1135</v>
      </c>
      <c r="J52" t="s">
        <v>1136</v>
      </c>
      <c r="K52" t="s">
        <v>1137</v>
      </c>
      <c r="L52" t="s">
        <v>1138</v>
      </c>
      <c r="M52" t="s">
        <v>429</v>
      </c>
      <c r="N52">
        <v>1</v>
      </c>
      <c r="O52">
        <v>1260</v>
      </c>
      <c r="P52" t="s">
        <v>1139</v>
      </c>
      <c r="Q52" t="s">
        <v>446</v>
      </c>
      <c r="R52" t="s">
        <v>1140</v>
      </c>
      <c r="S52" t="s">
        <v>1141</v>
      </c>
      <c r="T52">
        <v>1</v>
      </c>
      <c r="U52">
        <v>1</v>
      </c>
      <c r="V52" t="s">
        <v>449</v>
      </c>
      <c r="W52" t="s">
        <v>75</v>
      </c>
      <c r="X52" t="s">
        <v>1142</v>
      </c>
      <c r="Y52">
        <v>1149</v>
      </c>
      <c r="Z52">
        <v>1176</v>
      </c>
      <c r="AB52">
        <v>12.2</v>
      </c>
      <c r="AC52">
        <v>12</v>
      </c>
      <c r="AD52">
        <v>135</v>
      </c>
      <c r="AE52" t="s">
        <v>1143</v>
      </c>
      <c r="AF52">
        <v>2</v>
      </c>
      <c r="AG52">
        <v>280</v>
      </c>
      <c r="AH52">
        <v>195</v>
      </c>
      <c r="AI52">
        <v>208</v>
      </c>
      <c r="AK52">
        <v>60</v>
      </c>
      <c r="AL52" t="s">
        <v>324</v>
      </c>
      <c r="AM52" t="s">
        <v>1144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978</v>
      </c>
      <c r="AT52">
        <v>51.712000000000003</v>
      </c>
      <c r="AU52">
        <v>-1.968</v>
      </c>
      <c r="AV52" t="s">
        <v>244</v>
      </c>
      <c r="AW52" t="s">
        <v>82</v>
      </c>
      <c r="AX52" t="s">
        <v>191</v>
      </c>
      <c r="AY52">
        <v>31</v>
      </c>
      <c r="AZ52">
        <v>6.709677419354839</v>
      </c>
      <c r="BA52">
        <v>54600</v>
      </c>
      <c r="BD52">
        <v>38.611111111111107</v>
      </c>
      <c r="BE52">
        <v>5.2777777777777777</v>
      </c>
      <c r="BF52">
        <v>0.90547610742937001</v>
      </c>
      <c r="BH52">
        <v>6.709677419354839</v>
      </c>
      <c r="BI52">
        <v>9.4523892570629986E-2</v>
      </c>
    </row>
    <row r="53" spans="1:61" x14ac:dyDescent="0.2">
      <c r="A53">
        <v>185</v>
      </c>
      <c r="B53" t="s">
        <v>1155</v>
      </c>
      <c r="C53" t="s">
        <v>62</v>
      </c>
      <c r="D53" t="s">
        <v>62</v>
      </c>
      <c r="E53" t="s">
        <v>62</v>
      </c>
      <c r="F53" t="s">
        <v>62</v>
      </c>
      <c r="G53" t="s">
        <v>62</v>
      </c>
      <c r="H53" t="s">
        <v>1156</v>
      </c>
      <c r="I53" t="s">
        <v>1157</v>
      </c>
      <c r="J53" t="s">
        <v>1158</v>
      </c>
      <c r="K53" t="s">
        <v>1159</v>
      </c>
      <c r="L53" t="s">
        <v>1160</v>
      </c>
      <c r="M53" t="s">
        <v>69</v>
      </c>
      <c r="N53">
        <v>1</v>
      </c>
      <c r="O53">
        <v>1262</v>
      </c>
      <c r="P53" t="s">
        <v>1139</v>
      </c>
      <c r="Q53" t="s">
        <v>446</v>
      </c>
      <c r="R53" t="s">
        <v>1161</v>
      </c>
      <c r="S53" t="s">
        <v>1162</v>
      </c>
      <c r="T53">
        <v>1</v>
      </c>
      <c r="U53">
        <v>1</v>
      </c>
      <c r="V53" t="s">
        <v>449</v>
      </c>
      <c r="W53" t="s">
        <v>75</v>
      </c>
      <c r="X53" t="s">
        <v>1163</v>
      </c>
      <c r="Y53">
        <v>1149</v>
      </c>
      <c r="Z53">
        <v>1176</v>
      </c>
      <c r="AB53">
        <v>12.2</v>
      </c>
      <c r="AC53">
        <v>12</v>
      </c>
      <c r="AD53">
        <v>163</v>
      </c>
      <c r="AE53" t="s">
        <v>732</v>
      </c>
      <c r="AF53">
        <v>2</v>
      </c>
      <c r="AG53">
        <v>330</v>
      </c>
      <c r="AH53">
        <v>215</v>
      </c>
      <c r="AI53">
        <v>235</v>
      </c>
      <c r="AK53">
        <v>67</v>
      </c>
      <c r="AL53" t="s">
        <v>324</v>
      </c>
      <c r="AM53" t="s">
        <v>1164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978</v>
      </c>
      <c r="AT53">
        <v>51.712000000000003</v>
      </c>
      <c r="AU53">
        <v>-1.968</v>
      </c>
      <c r="AV53" t="s">
        <v>244</v>
      </c>
      <c r="AW53" t="s">
        <v>82</v>
      </c>
      <c r="AX53" t="s">
        <v>191</v>
      </c>
      <c r="AY53">
        <v>34</v>
      </c>
      <c r="AZ53">
        <v>6.9117647058823533</v>
      </c>
      <c r="BA53">
        <v>70950</v>
      </c>
      <c r="BD53">
        <v>34.825870646766163</v>
      </c>
      <c r="BE53">
        <v>1.9900497512437809</v>
      </c>
      <c r="BF53">
        <v>0.93900804289544237</v>
      </c>
      <c r="BH53">
        <v>6.9117647058823533</v>
      </c>
      <c r="BI53">
        <v>6.0991957104557633E-2</v>
      </c>
    </row>
    <row r="54" spans="1:61" x14ac:dyDescent="0.2">
      <c r="A54">
        <v>186</v>
      </c>
      <c r="B54" t="s">
        <v>1165</v>
      </c>
      <c r="C54" t="s">
        <v>62</v>
      </c>
      <c r="D54" t="s">
        <v>62</v>
      </c>
      <c r="E54" t="s">
        <v>62</v>
      </c>
      <c r="F54" t="s">
        <v>62</v>
      </c>
      <c r="H54" t="s">
        <v>1166</v>
      </c>
      <c r="I54" t="s">
        <v>1167</v>
      </c>
      <c r="J54" t="s">
        <v>1168</v>
      </c>
      <c r="K54" t="s">
        <v>1169</v>
      </c>
      <c r="L54" t="s">
        <v>1170</v>
      </c>
      <c r="M54" t="s">
        <v>429</v>
      </c>
      <c r="N54">
        <v>1</v>
      </c>
      <c r="O54">
        <v>1263</v>
      </c>
      <c r="P54" t="s">
        <v>1139</v>
      </c>
      <c r="Q54" t="s">
        <v>446</v>
      </c>
      <c r="R54" t="s">
        <v>1171</v>
      </c>
      <c r="S54" t="s">
        <v>1172</v>
      </c>
      <c r="T54">
        <v>1</v>
      </c>
      <c r="U54">
        <v>1</v>
      </c>
      <c r="V54" t="s">
        <v>449</v>
      </c>
      <c r="W54" t="s">
        <v>75</v>
      </c>
      <c r="X54" t="s">
        <v>1173</v>
      </c>
      <c r="Y54">
        <v>1149</v>
      </c>
      <c r="Z54">
        <v>1176</v>
      </c>
      <c r="AB54">
        <v>12.2</v>
      </c>
      <c r="AC54">
        <v>12</v>
      </c>
      <c r="AD54">
        <v>117</v>
      </c>
      <c r="AE54" t="s">
        <v>77</v>
      </c>
      <c r="AF54">
        <v>2</v>
      </c>
      <c r="AG54">
        <v>308</v>
      </c>
      <c r="AH54">
        <v>218</v>
      </c>
      <c r="AI54">
        <v>233</v>
      </c>
      <c r="AK54">
        <v>60</v>
      </c>
      <c r="AL54" t="s">
        <v>324</v>
      </c>
      <c r="AM54" t="s">
        <v>1174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978</v>
      </c>
      <c r="AT54">
        <v>51.712000000000003</v>
      </c>
      <c r="AU54">
        <v>-1.968</v>
      </c>
      <c r="AV54" t="s">
        <v>244</v>
      </c>
      <c r="AW54" t="s">
        <v>82</v>
      </c>
      <c r="AX54" t="s">
        <v>191</v>
      </c>
      <c r="AY54">
        <v>35</v>
      </c>
      <c r="AZ54">
        <v>6.6571428571428566</v>
      </c>
      <c r="BA54">
        <v>67144</v>
      </c>
      <c r="BD54">
        <v>35.55555555555555</v>
      </c>
      <c r="BE54">
        <v>1.666666666666667</v>
      </c>
      <c r="BF54">
        <v>0.92249167855444503</v>
      </c>
      <c r="BH54">
        <v>6.6571428571428566</v>
      </c>
      <c r="BI54">
        <v>7.7508321445554973E-2</v>
      </c>
    </row>
    <row r="55" spans="1:61" x14ac:dyDescent="0.2">
      <c r="A55">
        <v>148</v>
      </c>
      <c r="B55" t="s">
        <v>339</v>
      </c>
      <c r="C55" t="s">
        <v>62</v>
      </c>
      <c r="D55" t="s">
        <v>62</v>
      </c>
      <c r="E55" t="s">
        <v>62</v>
      </c>
      <c r="F55" t="s">
        <v>62</v>
      </c>
      <c r="G55" t="s">
        <v>105</v>
      </c>
      <c r="H55" t="s">
        <v>340</v>
      </c>
      <c r="I55" t="s">
        <v>341</v>
      </c>
      <c r="J55" t="s">
        <v>342</v>
      </c>
      <c r="K55" t="s">
        <v>343</v>
      </c>
      <c r="L55" t="s">
        <v>344</v>
      </c>
      <c r="M55" t="s">
        <v>69</v>
      </c>
      <c r="N55">
        <v>1</v>
      </c>
      <c r="O55">
        <v>183</v>
      </c>
      <c r="P55" t="s">
        <v>345</v>
      </c>
      <c r="Q55" t="s">
        <v>346</v>
      </c>
      <c r="R55" t="s">
        <v>347</v>
      </c>
      <c r="S55" t="s">
        <v>348</v>
      </c>
      <c r="T55">
        <v>1</v>
      </c>
      <c r="U55">
        <v>1</v>
      </c>
      <c r="V55" t="s">
        <v>349</v>
      </c>
      <c r="W55" t="s">
        <v>350</v>
      </c>
      <c r="X55" t="s">
        <v>351</v>
      </c>
      <c r="Y55">
        <v>1150</v>
      </c>
      <c r="Z55">
        <v>1153</v>
      </c>
      <c r="AA55">
        <v>12.3</v>
      </c>
      <c r="AB55">
        <v>12.2</v>
      </c>
      <c r="AC55">
        <v>12</v>
      </c>
      <c r="AD55">
        <v>16</v>
      </c>
      <c r="AE55" t="s">
        <v>352</v>
      </c>
      <c r="AF55">
        <v>1</v>
      </c>
      <c r="AG55">
        <v>210</v>
      </c>
      <c r="AH55">
        <v>130</v>
      </c>
      <c r="AI55">
        <v>180</v>
      </c>
      <c r="AJ55">
        <v>120</v>
      </c>
      <c r="AK55">
        <v>120</v>
      </c>
      <c r="AL55" t="s">
        <v>353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80</v>
      </c>
      <c r="AT55">
        <v>50.835999999999999</v>
      </c>
      <c r="AU55">
        <v>-0.77900000000000003</v>
      </c>
      <c r="AV55" t="s">
        <v>166</v>
      </c>
      <c r="AW55" t="s">
        <v>82</v>
      </c>
      <c r="AX55" t="s">
        <v>83</v>
      </c>
      <c r="AY55">
        <v>38</v>
      </c>
      <c r="AZ55">
        <v>4.7368421052631584</v>
      </c>
      <c r="BA55">
        <v>27300</v>
      </c>
      <c r="BB55">
        <v>21600</v>
      </c>
      <c r="BC55">
        <v>0.79120879120879117</v>
      </c>
      <c r="BD55">
        <v>25.277777777777779</v>
      </c>
      <c r="BE55">
        <v>4.7222222222222232</v>
      </c>
      <c r="BF55">
        <v>0.7700043418136735</v>
      </c>
      <c r="BG55">
        <v>0</v>
      </c>
      <c r="BH55">
        <v>4.7368421052631584</v>
      </c>
      <c r="BI55">
        <v>0.2299956581863265</v>
      </c>
    </row>
    <row r="56" spans="1:61" x14ac:dyDescent="0.2">
      <c r="A56">
        <v>187</v>
      </c>
      <c r="B56" t="s">
        <v>678</v>
      </c>
      <c r="C56" t="s">
        <v>62</v>
      </c>
      <c r="D56" t="s">
        <v>62</v>
      </c>
      <c r="E56" t="s">
        <v>62</v>
      </c>
      <c r="F56" t="s">
        <v>62</v>
      </c>
      <c r="G56" t="s">
        <v>104</v>
      </c>
      <c r="H56" t="s">
        <v>679</v>
      </c>
      <c r="I56" t="s">
        <v>680</v>
      </c>
      <c r="J56" t="s">
        <v>681</v>
      </c>
      <c r="K56" t="s">
        <v>682</v>
      </c>
      <c r="L56" t="s">
        <v>683</v>
      </c>
      <c r="M56" t="s">
        <v>495</v>
      </c>
      <c r="N56">
        <v>1</v>
      </c>
      <c r="O56">
        <v>299</v>
      </c>
      <c r="P56" t="s">
        <v>684</v>
      </c>
      <c r="Q56" t="s">
        <v>520</v>
      </c>
      <c r="R56" t="s">
        <v>685</v>
      </c>
      <c r="S56" t="s">
        <v>686</v>
      </c>
      <c r="T56">
        <v>1</v>
      </c>
      <c r="U56">
        <v>1</v>
      </c>
      <c r="V56" t="s">
        <v>523</v>
      </c>
      <c r="W56" t="s">
        <v>97</v>
      </c>
      <c r="X56" t="s">
        <v>687</v>
      </c>
      <c r="Y56">
        <v>1152</v>
      </c>
      <c r="Z56">
        <v>1173</v>
      </c>
      <c r="AA56">
        <v>12.3</v>
      </c>
      <c r="AB56">
        <v>12.2</v>
      </c>
      <c r="AC56">
        <v>12</v>
      </c>
      <c r="AD56">
        <v>249</v>
      </c>
      <c r="AE56" t="s">
        <v>688</v>
      </c>
      <c r="AF56">
        <v>1</v>
      </c>
      <c r="AG56">
        <v>314</v>
      </c>
      <c r="AH56">
        <v>200</v>
      </c>
      <c r="AI56">
        <v>210</v>
      </c>
      <c r="AJ56">
        <v>110</v>
      </c>
      <c r="AK56">
        <v>110</v>
      </c>
      <c r="AL56" t="s">
        <v>689</v>
      </c>
      <c r="AM56" t="s">
        <v>690</v>
      </c>
      <c r="AN56">
        <v>0</v>
      </c>
      <c r="AO56">
        <v>0</v>
      </c>
      <c r="AP56">
        <v>0</v>
      </c>
      <c r="AQ56">
        <v>3</v>
      </c>
      <c r="AR56">
        <v>2</v>
      </c>
      <c r="AS56" t="s">
        <v>538</v>
      </c>
      <c r="AT56">
        <v>51.752000000000002</v>
      </c>
      <c r="AU56">
        <v>-0.33500000000000002</v>
      </c>
      <c r="AV56" t="s">
        <v>101</v>
      </c>
      <c r="AW56" t="s">
        <v>82</v>
      </c>
      <c r="AX56" t="s">
        <v>83</v>
      </c>
      <c r="AY56">
        <v>19</v>
      </c>
      <c r="AZ56">
        <v>11.05263157894737</v>
      </c>
      <c r="BA56">
        <v>62800</v>
      </c>
      <c r="BB56">
        <v>23100</v>
      </c>
      <c r="BC56">
        <v>0.36783439490445857</v>
      </c>
      <c r="BD56">
        <v>24.242424242424239</v>
      </c>
      <c r="BE56">
        <v>0.60606060606060608</v>
      </c>
      <c r="BF56">
        <v>0.89097303634232128</v>
      </c>
      <c r="BG56">
        <v>0</v>
      </c>
      <c r="BH56">
        <v>11.05263157894737</v>
      </c>
      <c r="BI56">
        <v>0.10902696365767869</v>
      </c>
    </row>
    <row r="57" spans="1:61" x14ac:dyDescent="0.2">
      <c r="B57" t="s">
        <v>1309</v>
      </c>
      <c r="C57" t="s">
        <v>62</v>
      </c>
      <c r="D57" t="s">
        <v>62</v>
      </c>
      <c r="E57" t="s">
        <v>62</v>
      </c>
      <c r="F57" t="s">
        <v>62</v>
      </c>
      <c r="G57" t="s">
        <v>62</v>
      </c>
      <c r="H57" t="s">
        <v>1310</v>
      </c>
      <c r="I57" t="s">
        <v>562</v>
      </c>
      <c r="J57" t="s">
        <v>1311</v>
      </c>
      <c r="K57" t="s">
        <v>1312</v>
      </c>
      <c r="L57" t="s">
        <v>1313</v>
      </c>
      <c r="M57" t="s">
        <v>360</v>
      </c>
      <c r="N57">
        <v>1</v>
      </c>
      <c r="O57">
        <v>5005</v>
      </c>
      <c r="P57" t="s">
        <v>1314</v>
      </c>
      <c r="Q57" t="s">
        <v>1315</v>
      </c>
      <c r="R57" t="s">
        <v>1316</v>
      </c>
      <c r="S57" t="s">
        <v>1317</v>
      </c>
      <c r="T57">
        <v>1</v>
      </c>
      <c r="U57">
        <v>0</v>
      </c>
      <c r="V57" t="s">
        <v>1318</v>
      </c>
      <c r="W57" t="s">
        <v>97</v>
      </c>
      <c r="X57" t="s">
        <v>1319</v>
      </c>
      <c r="Y57">
        <v>1153</v>
      </c>
      <c r="Z57">
        <v>1195</v>
      </c>
      <c r="AB57">
        <v>12.2</v>
      </c>
      <c r="AC57">
        <v>12</v>
      </c>
      <c r="AD57">
        <v>187</v>
      </c>
      <c r="AE57" t="s">
        <v>1320</v>
      </c>
      <c r="AF57">
        <v>2</v>
      </c>
      <c r="AG57">
        <v>294</v>
      </c>
      <c r="AH57">
        <v>195</v>
      </c>
      <c r="AI57">
        <v>207</v>
      </c>
      <c r="AJ57">
        <v>135</v>
      </c>
      <c r="AK57">
        <v>60</v>
      </c>
      <c r="AL57" t="s">
        <v>1321</v>
      </c>
      <c r="AN57">
        <v>0</v>
      </c>
      <c r="AO57">
        <v>0</v>
      </c>
      <c r="AP57">
        <v>0</v>
      </c>
      <c r="AQ57">
        <v>1</v>
      </c>
      <c r="AR57">
        <v>0</v>
      </c>
      <c r="AS57" t="s">
        <v>80</v>
      </c>
      <c r="AT57">
        <v>54.774999999999999</v>
      </c>
      <c r="AU57">
        <v>-1.577</v>
      </c>
      <c r="AW57" t="s">
        <v>82</v>
      </c>
      <c r="AX57" t="s">
        <v>191</v>
      </c>
      <c r="AY57">
        <v>32</v>
      </c>
      <c r="AZ57">
        <v>6.46875</v>
      </c>
      <c r="BA57">
        <v>57330</v>
      </c>
      <c r="BB57">
        <v>27945</v>
      </c>
      <c r="BC57">
        <v>0.48744113029827307</v>
      </c>
      <c r="BD57">
        <v>36.388888888888893</v>
      </c>
      <c r="BE57">
        <v>1.944444444444444</v>
      </c>
      <c r="BF57">
        <v>0.90321301071003535</v>
      </c>
      <c r="BG57">
        <v>15</v>
      </c>
      <c r="BH57">
        <v>6.46875</v>
      </c>
      <c r="BI57">
        <v>9.6786989289964653E-2</v>
      </c>
    </row>
    <row r="58" spans="1:61" x14ac:dyDescent="0.2">
      <c r="A58">
        <v>159</v>
      </c>
      <c r="B58" t="s">
        <v>711</v>
      </c>
      <c r="C58" t="s">
        <v>63</v>
      </c>
      <c r="D58" t="s">
        <v>62</v>
      </c>
      <c r="E58" t="s">
        <v>63</v>
      </c>
      <c r="F58" t="s">
        <v>62</v>
      </c>
      <c r="G58" t="s">
        <v>62</v>
      </c>
      <c r="H58" t="s">
        <v>712</v>
      </c>
      <c r="I58" t="s">
        <v>713</v>
      </c>
      <c r="J58" t="s">
        <v>714</v>
      </c>
      <c r="K58" t="s">
        <v>715</v>
      </c>
      <c r="L58" t="s">
        <v>716</v>
      </c>
      <c r="M58" t="s">
        <v>158</v>
      </c>
      <c r="N58">
        <v>1</v>
      </c>
      <c r="O58">
        <v>312</v>
      </c>
      <c r="P58" t="s">
        <v>717</v>
      </c>
      <c r="Q58" t="s">
        <v>362</v>
      </c>
      <c r="R58" t="s">
        <v>718</v>
      </c>
      <c r="S58" t="s">
        <v>719</v>
      </c>
      <c r="T58">
        <v>1</v>
      </c>
      <c r="U58">
        <v>1</v>
      </c>
      <c r="V58" t="s">
        <v>254</v>
      </c>
      <c r="W58" t="s">
        <v>97</v>
      </c>
      <c r="X58" t="s">
        <v>720</v>
      </c>
      <c r="Y58">
        <v>1155</v>
      </c>
      <c r="Z58">
        <v>1155</v>
      </c>
      <c r="AA58">
        <v>12.3</v>
      </c>
      <c r="AB58">
        <v>12.2</v>
      </c>
      <c r="AC58">
        <v>12</v>
      </c>
      <c r="AD58">
        <v>189</v>
      </c>
      <c r="AE58" t="s">
        <v>216</v>
      </c>
      <c r="AF58">
        <v>2</v>
      </c>
      <c r="AG58">
        <v>320</v>
      </c>
      <c r="AH58">
        <v>222</v>
      </c>
      <c r="AI58">
        <v>241</v>
      </c>
      <c r="AJ58">
        <v>170</v>
      </c>
      <c r="AK58">
        <v>80</v>
      </c>
      <c r="AL58" t="s">
        <v>256</v>
      </c>
      <c r="AM58" t="s">
        <v>721</v>
      </c>
      <c r="AN58">
        <v>0</v>
      </c>
      <c r="AO58">
        <v>0</v>
      </c>
      <c r="AP58">
        <v>0</v>
      </c>
      <c r="AQ58">
        <v>1</v>
      </c>
      <c r="AR58">
        <v>2</v>
      </c>
      <c r="AS58" t="s">
        <v>538</v>
      </c>
      <c r="AT58">
        <v>51.280999999999999</v>
      </c>
      <c r="AU58">
        <v>1.081</v>
      </c>
      <c r="AV58" t="s">
        <v>166</v>
      </c>
      <c r="AW58" t="s">
        <v>82</v>
      </c>
      <c r="AX58" t="s">
        <v>191</v>
      </c>
      <c r="AY58">
        <v>38</v>
      </c>
      <c r="AZ58">
        <v>6.3421052631578947</v>
      </c>
      <c r="BA58">
        <v>71040</v>
      </c>
      <c r="BB58">
        <v>40970</v>
      </c>
      <c r="BC58">
        <v>0.57671734234234229</v>
      </c>
      <c r="BD58">
        <v>37.5</v>
      </c>
      <c r="BE58">
        <v>5.4166666666666661</v>
      </c>
      <c r="BF58">
        <v>0.83089214380825505</v>
      </c>
      <c r="BG58">
        <v>10</v>
      </c>
      <c r="BH58">
        <v>6.3421052631578947</v>
      </c>
      <c r="BI58">
        <v>0.16910785619174501</v>
      </c>
    </row>
    <row r="59" spans="1:61" x14ac:dyDescent="0.2">
      <c r="A59">
        <v>160</v>
      </c>
      <c r="B59" t="s">
        <v>909</v>
      </c>
      <c r="C59" t="s">
        <v>62</v>
      </c>
      <c r="D59" t="s">
        <v>62</v>
      </c>
      <c r="E59" t="s">
        <v>62</v>
      </c>
      <c r="F59" t="s">
        <v>62</v>
      </c>
      <c r="G59" t="s">
        <v>105</v>
      </c>
      <c r="H59" t="s">
        <v>910</v>
      </c>
      <c r="I59" t="s">
        <v>911</v>
      </c>
      <c r="J59" t="s">
        <v>912</v>
      </c>
      <c r="K59" t="s">
        <v>109</v>
      </c>
      <c r="L59" t="s">
        <v>913</v>
      </c>
      <c r="M59" t="s">
        <v>429</v>
      </c>
      <c r="N59">
        <v>1</v>
      </c>
      <c r="O59">
        <v>1086</v>
      </c>
      <c r="P59" t="s">
        <v>914</v>
      </c>
      <c r="Q59" t="s">
        <v>431</v>
      </c>
      <c r="R59" t="s">
        <v>915</v>
      </c>
      <c r="S59" t="s">
        <v>916</v>
      </c>
      <c r="T59">
        <v>1</v>
      </c>
      <c r="U59">
        <v>1</v>
      </c>
      <c r="V59" t="s">
        <v>434</v>
      </c>
      <c r="W59" t="s">
        <v>131</v>
      </c>
      <c r="X59" t="s">
        <v>917</v>
      </c>
      <c r="Y59">
        <v>1155</v>
      </c>
      <c r="Z59">
        <v>1176</v>
      </c>
      <c r="AA59">
        <v>12.3</v>
      </c>
      <c r="AB59">
        <v>12.2</v>
      </c>
      <c r="AC59">
        <v>12</v>
      </c>
      <c r="AD59">
        <v>52</v>
      </c>
      <c r="AE59" t="s">
        <v>77</v>
      </c>
      <c r="AF59">
        <v>2</v>
      </c>
      <c r="AG59">
        <v>330</v>
      </c>
      <c r="AH59">
        <v>220</v>
      </c>
      <c r="AI59">
        <v>244</v>
      </c>
      <c r="AJ59">
        <v>160</v>
      </c>
      <c r="AK59">
        <v>77</v>
      </c>
      <c r="AL59" t="s">
        <v>437</v>
      </c>
      <c r="AM59" t="s">
        <v>918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859</v>
      </c>
      <c r="AT59">
        <v>52.631</v>
      </c>
      <c r="AU59">
        <v>-2.7280000000000002</v>
      </c>
      <c r="AV59" t="s">
        <v>244</v>
      </c>
      <c r="AW59" t="s">
        <v>82</v>
      </c>
      <c r="AX59" t="s">
        <v>191</v>
      </c>
      <c r="AY59">
        <v>35</v>
      </c>
      <c r="AZ59">
        <v>6.9714285714285724</v>
      </c>
      <c r="BA59">
        <v>72600</v>
      </c>
      <c r="BB59">
        <v>39040</v>
      </c>
      <c r="BC59">
        <v>0.53774104683195589</v>
      </c>
      <c r="BD59">
        <v>42.857142857142847</v>
      </c>
      <c r="BE59">
        <v>2.8138528138528138</v>
      </c>
      <c r="BF59">
        <v>0.89365881032547734</v>
      </c>
      <c r="BG59">
        <v>6</v>
      </c>
      <c r="BH59">
        <v>6.9714285714285724</v>
      </c>
      <c r="BI59">
        <v>0.1063411896745227</v>
      </c>
    </row>
    <row r="60" spans="1:61" x14ac:dyDescent="0.2">
      <c r="A60">
        <v>179</v>
      </c>
      <c r="B60" t="s">
        <v>1019</v>
      </c>
      <c r="C60" t="s">
        <v>62</v>
      </c>
      <c r="D60" t="s">
        <v>63</v>
      </c>
      <c r="E60" t="s">
        <v>62</v>
      </c>
      <c r="F60" t="s">
        <v>62</v>
      </c>
      <c r="G60" t="s">
        <v>62</v>
      </c>
      <c r="H60" t="s">
        <v>1020</v>
      </c>
      <c r="I60" t="s">
        <v>1021</v>
      </c>
      <c r="J60" t="s">
        <v>1022</v>
      </c>
      <c r="K60" t="s">
        <v>1023</v>
      </c>
      <c r="L60" t="s">
        <v>1024</v>
      </c>
      <c r="M60" t="s">
        <v>495</v>
      </c>
      <c r="N60">
        <v>1</v>
      </c>
      <c r="O60">
        <v>1206</v>
      </c>
      <c r="P60" t="s">
        <v>1025</v>
      </c>
      <c r="Q60" t="s">
        <v>375</v>
      </c>
      <c r="R60" t="s">
        <v>1026</v>
      </c>
      <c r="S60" t="s">
        <v>1027</v>
      </c>
      <c r="T60">
        <v>1</v>
      </c>
      <c r="U60">
        <v>1</v>
      </c>
      <c r="V60" t="s">
        <v>378</v>
      </c>
      <c r="W60" t="s">
        <v>97</v>
      </c>
      <c r="X60" t="s">
        <v>1028</v>
      </c>
      <c r="Y60">
        <v>1158</v>
      </c>
      <c r="Z60">
        <v>1164</v>
      </c>
      <c r="AA60">
        <v>12.3</v>
      </c>
      <c r="AB60">
        <v>12.2</v>
      </c>
      <c r="AC60">
        <v>12</v>
      </c>
      <c r="AD60">
        <v>173</v>
      </c>
      <c r="AE60" t="s">
        <v>1029</v>
      </c>
      <c r="AF60">
        <v>1</v>
      </c>
      <c r="AG60">
        <v>170</v>
      </c>
      <c r="AH60">
        <v>120</v>
      </c>
      <c r="AI60">
        <v>130</v>
      </c>
      <c r="AJ60">
        <v>75</v>
      </c>
      <c r="AK60">
        <v>75</v>
      </c>
      <c r="AL60" t="s">
        <v>380</v>
      </c>
      <c r="AM60" t="s">
        <v>1030</v>
      </c>
      <c r="AN60">
        <v>0</v>
      </c>
      <c r="AO60">
        <v>0</v>
      </c>
      <c r="AP60">
        <v>2</v>
      </c>
      <c r="AQ60">
        <v>1</v>
      </c>
      <c r="AR60">
        <v>0</v>
      </c>
      <c r="AS60" t="s">
        <v>978</v>
      </c>
      <c r="AT60">
        <v>51.454000000000001</v>
      </c>
      <c r="AU60">
        <v>-0.97299999999999998</v>
      </c>
      <c r="AV60" t="s">
        <v>166</v>
      </c>
      <c r="AW60" t="s">
        <v>82</v>
      </c>
      <c r="AX60" t="s">
        <v>83</v>
      </c>
      <c r="AY60">
        <v>16</v>
      </c>
      <c r="AZ60">
        <v>8.125</v>
      </c>
      <c r="BA60">
        <v>20400</v>
      </c>
      <c r="BB60">
        <v>9750</v>
      </c>
      <c r="BC60">
        <v>0.47794117647058831</v>
      </c>
      <c r="BD60">
        <v>48.444444444444443</v>
      </c>
      <c r="BE60">
        <v>2.2222222222222219</v>
      </c>
      <c r="BF60">
        <v>0.89328214971209252</v>
      </c>
      <c r="BG60">
        <v>0</v>
      </c>
      <c r="BH60">
        <v>8.125</v>
      </c>
      <c r="BI60">
        <v>0.10671785028790751</v>
      </c>
    </row>
    <row r="61" spans="1:61" x14ac:dyDescent="0.2">
      <c r="A61">
        <v>201</v>
      </c>
      <c r="B61" t="s">
        <v>539</v>
      </c>
      <c r="C61" t="s">
        <v>62</v>
      </c>
      <c r="D61" t="s">
        <v>62</v>
      </c>
      <c r="E61" t="s">
        <v>62</v>
      </c>
      <c r="F61" t="s">
        <v>62</v>
      </c>
      <c r="G61" t="s">
        <v>104</v>
      </c>
      <c r="H61" t="s">
        <v>540</v>
      </c>
      <c r="I61" t="s">
        <v>541</v>
      </c>
      <c r="J61" t="s">
        <v>542</v>
      </c>
      <c r="K61" t="s">
        <v>543</v>
      </c>
      <c r="L61" t="s">
        <v>544</v>
      </c>
      <c r="M61" t="s">
        <v>518</v>
      </c>
      <c r="N61">
        <v>0</v>
      </c>
      <c r="O61">
        <v>252</v>
      </c>
      <c r="P61" t="s">
        <v>545</v>
      </c>
      <c r="Q61" t="s">
        <v>362</v>
      </c>
      <c r="R61" t="s">
        <v>546</v>
      </c>
      <c r="S61" t="s">
        <v>547</v>
      </c>
      <c r="T61">
        <v>1</v>
      </c>
      <c r="U61">
        <v>1</v>
      </c>
      <c r="V61" t="s">
        <v>254</v>
      </c>
      <c r="W61" t="s">
        <v>97</v>
      </c>
      <c r="X61" t="s">
        <v>548</v>
      </c>
      <c r="Y61">
        <v>1159</v>
      </c>
      <c r="Z61">
        <v>1170</v>
      </c>
      <c r="AA61">
        <v>12.3</v>
      </c>
      <c r="AB61">
        <v>12.2</v>
      </c>
      <c r="AC61">
        <v>12</v>
      </c>
      <c r="AD61">
        <v>240</v>
      </c>
      <c r="AE61" t="s">
        <v>241</v>
      </c>
      <c r="AF61">
        <v>2</v>
      </c>
      <c r="AG61">
        <v>337</v>
      </c>
      <c r="AH61">
        <v>238</v>
      </c>
      <c r="AI61">
        <v>225</v>
      </c>
      <c r="AJ61">
        <v>152</v>
      </c>
      <c r="AK61">
        <v>74</v>
      </c>
      <c r="AL61" t="s">
        <v>256</v>
      </c>
      <c r="AM61" t="s">
        <v>511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538</v>
      </c>
      <c r="AT61">
        <v>51.280999999999999</v>
      </c>
      <c r="AU61">
        <v>1.081</v>
      </c>
      <c r="AV61" t="s">
        <v>166</v>
      </c>
      <c r="AW61" t="s">
        <v>82</v>
      </c>
      <c r="AX61" t="s">
        <v>191</v>
      </c>
      <c r="AY61">
        <v>40</v>
      </c>
      <c r="AZ61">
        <v>5.625</v>
      </c>
      <c r="BA61">
        <v>80206</v>
      </c>
      <c r="BB61">
        <v>34200</v>
      </c>
      <c r="BC61">
        <v>0.42640201481185952</v>
      </c>
      <c r="BD61">
        <v>39.189189189189193</v>
      </c>
      <c r="BE61">
        <v>2.0270270270270272</v>
      </c>
      <c r="BF61">
        <v>0.86742100768573838</v>
      </c>
      <c r="BG61">
        <v>4</v>
      </c>
      <c r="BH61">
        <v>5.625</v>
      </c>
      <c r="BI61">
        <v>0.1325789923142616</v>
      </c>
    </row>
    <row r="62" spans="1:61" x14ac:dyDescent="0.2">
      <c r="A62">
        <v>208</v>
      </c>
      <c r="B62" t="s">
        <v>979</v>
      </c>
      <c r="C62" t="s">
        <v>63</v>
      </c>
      <c r="D62" t="s">
        <v>62</v>
      </c>
      <c r="E62" t="s">
        <v>62</v>
      </c>
      <c r="F62" t="s">
        <v>62</v>
      </c>
      <c r="G62" t="s">
        <v>62</v>
      </c>
      <c r="J62" t="s">
        <v>980</v>
      </c>
      <c r="K62" t="s">
        <v>981</v>
      </c>
      <c r="L62" t="s">
        <v>755</v>
      </c>
      <c r="M62" t="s">
        <v>125</v>
      </c>
      <c r="N62">
        <v>1</v>
      </c>
      <c r="O62">
        <v>1173</v>
      </c>
      <c r="P62" t="s">
        <v>982</v>
      </c>
      <c r="Q62" t="s">
        <v>983</v>
      </c>
      <c r="R62" t="s">
        <v>984</v>
      </c>
      <c r="S62" t="s">
        <v>985</v>
      </c>
      <c r="T62">
        <v>1</v>
      </c>
      <c r="U62">
        <v>1</v>
      </c>
      <c r="V62" t="s">
        <v>163</v>
      </c>
      <c r="W62" t="s">
        <v>97</v>
      </c>
      <c r="X62" t="s">
        <v>986</v>
      </c>
      <c r="Y62">
        <v>1161</v>
      </c>
      <c r="Z62">
        <v>1173</v>
      </c>
      <c r="AA62">
        <v>12.3</v>
      </c>
      <c r="AB62">
        <v>12.2</v>
      </c>
      <c r="AC62">
        <v>12</v>
      </c>
      <c r="AD62">
        <v>9</v>
      </c>
      <c r="AE62" t="s">
        <v>987</v>
      </c>
      <c r="AF62">
        <v>1</v>
      </c>
      <c r="AG62">
        <v>280</v>
      </c>
      <c r="AH62">
        <v>175</v>
      </c>
      <c r="AI62">
        <v>180</v>
      </c>
      <c r="AJ62">
        <v>120</v>
      </c>
      <c r="AK62">
        <v>120</v>
      </c>
      <c r="AL62" t="s">
        <v>165</v>
      </c>
      <c r="AM62" t="s">
        <v>595</v>
      </c>
      <c r="AN62">
        <v>0</v>
      </c>
      <c r="AO62">
        <v>0</v>
      </c>
      <c r="AP62">
        <v>0</v>
      </c>
      <c r="AQ62">
        <v>1</v>
      </c>
      <c r="AR62">
        <v>0</v>
      </c>
      <c r="AS62" t="s">
        <v>978</v>
      </c>
      <c r="AT62">
        <v>51.06</v>
      </c>
      <c r="AU62">
        <v>-1.3160000000000001</v>
      </c>
      <c r="AV62" t="s">
        <v>166</v>
      </c>
      <c r="AW62" t="s">
        <v>82</v>
      </c>
      <c r="AX62" t="s">
        <v>83</v>
      </c>
      <c r="AY62">
        <v>32.5</v>
      </c>
      <c r="AZ62">
        <v>5.5384615384615383</v>
      </c>
      <c r="BA62">
        <v>49000</v>
      </c>
      <c r="BB62">
        <v>21600</v>
      </c>
      <c r="BC62">
        <v>0.44081632653061231</v>
      </c>
      <c r="BG62">
        <v>0</v>
      </c>
      <c r="BH62">
        <v>5.5384615384615383</v>
      </c>
    </row>
    <row r="63" spans="1:61" x14ac:dyDescent="0.2">
      <c r="A63">
        <v>222</v>
      </c>
      <c r="B63" t="s">
        <v>549</v>
      </c>
      <c r="C63" t="s">
        <v>62</v>
      </c>
      <c r="D63" t="s">
        <v>63</v>
      </c>
      <c r="E63" t="s">
        <v>62</v>
      </c>
      <c r="F63" t="s">
        <v>63</v>
      </c>
      <c r="G63" t="s">
        <v>104</v>
      </c>
      <c r="H63" t="s">
        <v>550</v>
      </c>
      <c r="I63" t="s">
        <v>551</v>
      </c>
      <c r="J63" t="s">
        <v>552</v>
      </c>
      <c r="K63" t="s">
        <v>553</v>
      </c>
      <c r="L63" t="s">
        <v>554</v>
      </c>
      <c r="M63" t="s">
        <v>69</v>
      </c>
      <c r="N63">
        <v>1</v>
      </c>
      <c r="O63">
        <v>253</v>
      </c>
      <c r="P63" t="s">
        <v>555</v>
      </c>
      <c r="Q63" t="s">
        <v>172</v>
      </c>
      <c r="R63" t="s">
        <v>556</v>
      </c>
      <c r="S63" t="s">
        <v>557</v>
      </c>
      <c r="T63">
        <v>0</v>
      </c>
      <c r="U63">
        <v>0</v>
      </c>
      <c r="X63" t="s">
        <v>558</v>
      </c>
      <c r="Y63">
        <v>1164</v>
      </c>
      <c r="Z63">
        <v>1175</v>
      </c>
      <c r="AA63">
        <v>12.3</v>
      </c>
      <c r="AB63">
        <v>12.2</v>
      </c>
      <c r="AC63">
        <v>12</v>
      </c>
      <c r="AD63">
        <v>182</v>
      </c>
      <c r="AE63" t="s">
        <v>559</v>
      </c>
      <c r="AF63">
        <v>2</v>
      </c>
      <c r="AG63">
        <v>305</v>
      </c>
      <c r="AH63">
        <v>214</v>
      </c>
      <c r="AI63">
        <v>270</v>
      </c>
      <c r="AJ63">
        <v>185</v>
      </c>
      <c r="AK63">
        <v>88</v>
      </c>
      <c r="AM63" t="s">
        <v>511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538</v>
      </c>
      <c r="AW63" t="s">
        <v>82</v>
      </c>
      <c r="AX63" t="s">
        <v>191</v>
      </c>
      <c r="AY63">
        <v>36</v>
      </c>
      <c r="AZ63">
        <v>7.5</v>
      </c>
      <c r="BA63">
        <v>65270</v>
      </c>
      <c r="BB63">
        <v>49950</v>
      </c>
      <c r="BC63">
        <v>0.76528267197793776</v>
      </c>
      <c r="BD63">
        <v>34.090909090909093</v>
      </c>
      <c r="BE63">
        <v>1.7045454545454539</v>
      </c>
      <c r="BF63">
        <v>0.88551336146272874</v>
      </c>
      <c r="BG63">
        <v>9</v>
      </c>
      <c r="BH63">
        <v>7.5</v>
      </c>
      <c r="BI63">
        <v>0.1144866385372713</v>
      </c>
    </row>
    <row r="64" spans="1:61" x14ac:dyDescent="0.2">
      <c r="A64">
        <v>203</v>
      </c>
      <c r="B64" t="s">
        <v>998</v>
      </c>
      <c r="C64" t="s">
        <v>62</v>
      </c>
      <c r="D64" t="s">
        <v>62</v>
      </c>
      <c r="E64" t="s">
        <v>63</v>
      </c>
      <c r="F64" t="s">
        <v>62</v>
      </c>
      <c r="G64" t="s">
        <v>104</v>
      </c>
      <c r="H64" t="s">
        <v>999</v>
      </c>
      <c r="I64" t="s">
        <v>1000</v>
      </c>
      <c r="J64" t="s">
        <v>1001</v>
      </c>
      <c r="K64" t="s">
        <v>1002</v>
      </c>
      <c r="L64" t="s">
        <v>1003</v>
      </c>
      <c r="M64" t="s">
        <v>125</v>
      </c>
      <c r="N64">
        <v>1</v>
      </c>
      <c r="O64">
        <v>1201</v>
      </c>
      <c r="P64" t="s">
        <v>1004</v>
      </c>
      <c r="Q64" t="s">
        <v>1005</v>
      </c>
      <c r="R64" t="s">
        <v>1006</v>
      </c>
      <c r="S64" t="s">
        <v>1007</v>
      </c>
      <c r="T64">
        <v>0</v>
      </c>
      <c r="U64">
        <v>0</v>
      </c>
      <c r="W64" t="s">
        <v>75</v>
      </c>
      <c r="X64" t="s">
        <v>1008</v>
      </c>
      <c r="Y64">
        <v>1164</v>
      </c>
      <c r="Z64">
        <v>1168</v>
      </c>
      <c r="AA64">
        <v>12.3</v>
      </c>
      <c r="AB64">
        <v>12.2</v>
      </c>
      <c r="AC64">
        <v>12</v>
      </c>
      <c r="AD64">
        <v>63</v>
      </c>
      <c r="AE64" t="s">
        <v>1009</v>
      </c>
      <c r="AF64">
        <v>1</v>
      </c>
      <c r="AG64">
        <v>193</v>
      </c>
      <c r="AH64">
        <v>147</v>
      </c>
      <c r="AI64">
        <v>145</v>
      </c>
      <c r="AJ64">
        <v>110</v>
      </c>
      <c r="AK64">
        <v>110</v>
      </c>
      <c r="AM64" t="s">
        <v>1010</v>
      </c>
      <c r="AN64">
        <v>0</v>
      </c>
      <c r="AO64">
        <v>1</v>
      </c>
      <c r="AP64">
        <v>0</v>
      </c>
      <c r="AQ64">
        <v>1</v>
      </c>
      <c r="AR64">
        <v>2</v>
      </c>
      <c r="AS64" t="s">
        <v>978</v>
      </c>
      <c r="AW64" t="s">
        <v>82</v>
      </c>
      <c r="AX64" t="s">
        <v>83</v>
      </c>
      <c r="AY64">
        <v>35.5</v>
      </c>
      <c r="AZ64">
        <v>4.084507042253521</v>
      </c>
      <c r="BA64">
        <v>28371</v>
      </c>
      <c r="BB64">
        <v>15950</v>
      </c>
      <c r="BC64">
        <v>0.56219378943287157</v>
      </c>
      <c r="BD64">
        <v>60</v>
      </c>
      <c r="BE64">
        <v>14.24242424242424</v>
      </c>
      <c r="BF64">
        <v>0.85194476886667569</v>
      </c>
      <c r="BG64">
        <v>0</v>
      </c>
      <c r="BH64">
        <v>4.084507042253521</v>
      </c>
      <c r="BI64">
        <v>0.14805523113332431</v>
      </c>
    </row>
    <row r="65" spans="1:61" x14ac:dyDescent="0.2">
      <c r="A65">
        <v>244</v>
      </c>
      <c r="B65" t="s">
        <v>512</v>
      </c>
      <c r="C65" t="s">
        <v>62</v>
      </c>
      <c r="D65" t="s">
        <v>62</v>
      </c>
      <c r="E65" t="s">
        <v>62</v>
      </c>
      <c r="F65" t="s">
        <v>62</v>
      </c>
      <c r="G65" t="s">
        <v>62</v>
      </c>
      <c r="H65" t="s">
        <v>513</v>
      </c>
      <c r="I65" t="s">
        <v>514</v>
      </c>
      <c r="J65" t="s">
        <v>515</v>
      </c>
      <c r="K65" t="s">
        <v>516</v>
      </c>
      <c r="L65" t="s">
        <v>517</v>
      </c>
      <c r="M65" t="s">
        <v>518</v>
      </c>
      <c r="N65">
        <v>1</v>
      </c>
      <c r="O65">
        <v>244</v>
      </c>
      <c r="P65" t="s">
        <v>519</v>
      </c>
      <c r="Q65" t="s">
        <v>520</v>
      </c>
      <c r="R65" t="s">
        <v>521</v>
      </c>
      <c r="S65" t="s">
        <v>522</v>
      </c>
      <c r="T65">
        <v>1</v>
      </c>
      <c r="U65">
        <v>1</v>
      </c>
      <c r="V65" t="s">
        <v>523</v>
      </c>
      <c r="W65" t="s">
        <v>97</v>
      </c>
      <c r="X65" t="s">
        <v>524</v>
      </c>
      <c r="Y65">
        <v>1167</v>
      </c>
      <c r="Z65">
        <v>1183</v>
      </c>
      <c r="AA65">
        <v>12.3</v>
      </c>
      <c r="AB65">
        <v>12.2</v>
      </c>
      <c r="AC65">
        <v>12</v>
      </c>
      <c r="AD65">
        <v>219</v>
      </c>
      <c r="AE65" t="s">
        <v>525</v>
      </c>
      <c r="AF65">
        <v>2</v>
      </c>
      <c r="AG65">
        <v>375</v>
      </c>
      <c r="AH65">
        <v>265</v>
      </c>
      <c r="AI65">
        <v>275</v>
      </c>
      <c r="AJ65">
        <v>169</v>
      </c>
      <c r="AK65">
        <v>75</v>
      </c>
      <c r="AM65" t="s">
        <v>526</v>
      </c>
      <c r="AN65">
        <v>0</v>
      </c>
      <c r="AO65">
        <v>0</v>
      </c>
      <c r="AP65">
        <v>2</v>
      </c>
      <c r="AQ65">
        <v>1</v>
      </c>
      <c r="AR65">
        <v>2</v>
      </c>
      <c r="AS65" t="s">
        <v>80</v>
      </c>
      <c r="AT65">
        <v>51.752000000000002</v>
      </c>
      <c r="AU65">
        <v>-0.33500000000000002</v>
      </c>
      <c r="AV65" t="s">
        <v>101</v>
      </c>
      <c r="AW65" t="s">
        <v>82</v>
      </c>
      <c r="AX65" t="s">
        <v>191</v>
      </c>
      <c r="AY65">
        <v>46</v>
      </c>
      <c r="AZ65">
        <v>5.9782608695652177</v>
      </c>
      <c r="BA65">
        <v>99375</v>
      </c>
      <c r="BB65">
        <v>46475</v>
      </c>
      <c r="BC65">
        <v>0.46767295597484282</v>
      </c>
      <c r="BD65">
        <v>46.222222222222221</v>
      </c>
      <c r="BE65">
        <v>4.8888888888888884</v>
      </c>
      <c r="BF65">
        <v>0.88774811772758389</v>
      </c>
      <c r="BG65">
        <v>19</v>
      </c>
      <c r="BH65">
        <v>5.9782608695652177</v>
      </c>
      <c r="BI65">
        <v>0.1122518822724161</v>
      </c>
    </row>
    <row r="66" spans="1:61" x14ac:dyDescent="0.2">
      <c r="A66">
        <v>245</v>
      </c>
      <c r="B66" t="s">
        <v>702</v>
      </c>
      <c r="C66" t="s">
        <v>63</v>
      </c>
      <c r="D66" t="s">
        <v>63</v>
      </c>
      <c r="E66" t="s">
        <v>63</v>
      </c>
      <c r="F66" t="s">
        <v>62</v>
      </c>
      <c r="G66" t="s">
        <v>104</v>
      </c>
      <c r="H66" t="s">
        <v>703</v>
      </c>
      <c r="I66" t="s">
        <v>514</v>
      </c>
      <c r="J66" t="s">
        <v>704</v>
      </c>
      <c r="K66" t="s">
        <v>705</v>
      </c>
      <c r="L66" t="s">
        <v>706</v>
      </c>
      <c r="M66" t="s">
        <v>495</v>
      </c>
      <c r="N66">
        <v>1</v>
      </c>
      <c r="O66">
        <v>301</v>
      </c>
      <c r="P66" t="s">
        <v>519</v>
      </c>
      <c r="Q66" t="s">
        <v>520</v>
      </c>
      <c r="R66" t="s">
        <v>707</v>
      </c>
      <c r="S66" t="s">
        <v>708</v>
      </c>
      <c r="T66">
        <v>1</v>
      </c>
      <c r="U66">
        <v>1</v>
      </c>
      <c r="V66" t="s">
        <v>523</v>
      </c>
      <c r="W66" t="s">
        <v>97</v>
      </c>
      <c r="X66" t="s">
        <v>709</v>
      </c>
      <c r="Y66">
        <v>1167</v>
      </c>
      <c r="Z66">
        <v>1183</v>
      </c>
      <c r="AA66">
        <v>12.3</v>
      </c>
      <c r="AB66">
        <v>12.2</v>
      </c>
      <c r="AC66">
        <v>12</v>
      </c>
      <c r="AD66">
        <v>229</v>
      </c>
      <c r="AE66" t="s">
        <v>149</v>
      </c>
      <c r="AF66">
        <v>1</v>
      </c>
      <c r="AG66">
        <v>158</v>
      </c>
      <c r="AH66">
        <v>105</v>
      </c>
      <c r="AI66">
        <v>105</v>
      </c>
      <c r="AJ66">
        <v>68</v>
      </c>
      <c r="AK66">
        <v>68</v>
      </c>
      <c r="AL66" t="s">
        <v>689</v>
      </c>
      <c r="AM66" t="s">
        <v>710</v>
      </c>
      <c r="AN66">
        <v>0</v>
      </c>
      <c r="AO66">
        <v>1</v>
      </c>
      <c r="AP66">
        <v>2</v>
      </c>
      <c r="AQ66">
        <v>1</v>
      </c>
      <c r="AR66">
        <v>0</v>
      </c>
      <c r="AS66" t="s">
        <v>538</v>
      </c>
      <c r="AT66">
        <v>51.752000000000002</v>
      </c>
      <c r="AU66">
        <v>-0.33500000000000002</v>
      </c>
      <c r="AV66" t="s">
        <v>101</v>
      </c>
      <c r="AW66" t="s">
        <v>82</v>
      </c>
      <c r="AX66" t="s">
        <v>83</v>
      </c>
      <c r="AY66">
        <v>28</v>
      </c>
      <c r="AZ66">
        <v>3.75</v>
      </c>
      <c r="BA66">
        <v>16590</v>
      </c>
      <c r="BB66">
        <v>7140</v>
      </c>
      <c r="BC66">
        <v>0.43037974683544311</v>
      </c>
      <c r="BD66">
        <v>76.960784313725497</v>
      </c>
      <c r="BE66">
        <v>5.3921568627450984</v>
      </c>
      <c r="BF66">
        <v>0.83688245315161991</v>
      </c>
      <c r="BG66">
        <v>0</v>
      </c>
      <c r="BH66">
        <v>3.75</v>
      </c>
      <c r="BI66">
        <v>0.16311754684838009</v>
      </c>
    </row>
    <row r="67" spans="1:61" x14ac:dyDescent="0.2">
      <c r="A67">
        <v>248</v>
      </c>
      <c r="B67" t="s">
        <v>776</v>
      </c>
      <c r="C67" t="s">
        <v>62</v>
      </c>
      <c r="D67" t="s">
        <v>62</v>
      </c>
      <c r="E67" t="s">
        <v>62</v>
      </c>
      <c r="F67" t="s">
        <v>62</v>
      </c>
      <c r="G67" t="s">
        <v>104</v>
      </c>
      <c r="H67" t="s">
        <v>777</v>
      </c>
      <c r="I67" t="s">
        <v>778</v>
      </c>
      <c r="J67" t="s">
        <v>779</v>
      </c>
      <c r="K67" t="s">
        <v>780</v>
      </c>
      <c r="L67" t="s">
        <v>781</v>
      </c>
      <c r="M67" t="s">
        <v>518</v>
      </c>
      <c r="N67">
        <v>1</v>
      </c>
      <c r="O67">
        <v>324</v>
      </c>
      <c r="P67" t="s">
        <v>782</v>
      </c>
      <c r="Q67" t="s">
        <v>520</v>
      </c>
      <c r="R67" t="s">
        <v>783</v>
      </c>
      <c r="S67" t="s">
        <v>784</v>
      </c>
      <c r="T67">
        <v>1</v>
      </c>
      <c r="U67">
        <v>1</v>
      </c>
      <c r="V67" t="s">
        <v>523</v>
      </c>
      <c r="W67" t="s">
        <v>97</v>
      </c>
      <c r="X67" t="s">
        <v>785</v>
      </c>
      <c r="Y67">
        <v>1167</v>
      </c>
      <c r="Z67">
        <v>1183</v>
      </c>
      <c r="AA67">
        <v>12.3</v>
      </c>
      <c r="AB67">
        <v>12.2</v>
      </c>
      <c r="AC67">
        <v>12</v>
      </c>
      <c r="AD67">
        <v>128</v>
      </c>
      <c r="AE67" t="s">
        <v>392</v>
      </c>
      <c r="AF67">
        <v>1</v>
      </c>
      <c r="AG67">
        <v>159</v>
      </c>
      <c r="AH67">
        <v>110</v>
      </c>
      <c r="AI67">
        <v>116</v>
      </c>
      <c r="AJ67">
        <v>75</v>
      </c>
      <c r="AK67">
        <v>75</v>
      </c>
      <c r="AL67" t="s">
        <v>689</v>
      </c>
      <c r="AM67" t="s">
        <v>786</v>
      </c>
      <c r="AN67">
        <v>0</v>
      </c>
      <c r="AO67">
        <v>0</v>
      </c>
      <c r="AP67">
        <v>0</v>
      </c>
      <c r="AQ67">
        <v>3</v>
      </c>
      <c r="AR67">
        <v>2</v>
      </c>
      <c r="AS67" t="s">
        <v>538</v>
      </c>
      <c r="AT67">
        <v>51.752000000000002</v>
      </c>
      <c r="AU67">
        <v>-0.33500000000000002</v>
      </c>
      <c r="AV67" t="s">
        <v>101</v>
      </c>
      <c r="AW67" t="s">
        <v>82</v>
      </c>
      <c r="AX67" t="s">
        <v>83</v>
      </c>
      <c r="AY67">
        <v>32</v>
      </c>
      <c r="AZ67">
        <v>3.625</v>
      </c>
      <c r="BA67">
        <v>17490</v>
      </c>
      <c r="BB67">
        <v>8700</v>
      </c>
      <c r="BC67">
        <v>0.49742710120068612</v>
      </c>
      <c r="BD67">
        <v>75.111111111111114</v>
      </c>
      <c r="BE67">
        <v>5.3333333333333339</v>
      </c>
      <c r="BF67">
        <v>0.86243386243386155</v>
      </c>
      <c r="BG67">
        <v>0</v>
      </c>
      <c r="BH67">
        <v>3.625</v>
      </c>
      <c r="BI67">
        <v>0.13756613756613839</v>
      </c>
    </row>
    <row r="68" spans="1:61" x14ac:dyDescent="0.2">
      <c r="A68">
        <v>246</v>
      </c>
      <c r="B68" t="s">
        <v>787</v>
      </c>
      <c r="C68" t="s">
        <v>62</v>
      </c>
      <c r="D68" t="s">
        <v>62</v>
      </c>
      <c r="E68" t="s">
        <v>62</v>
      </c>
      <c r="F68" t="s">
        <v>62</v>
      </c>
      <c r="G68" t="s">
        <v>105</v>
      </c>
      <c r="H68" t="s">
        <v>788</v>
      </c>
      <c r="I68" t="s">
        <v>789</v>
      </c>
      <c r="J68" t="s">
        <v>790</v>
      </c>
      <c r="K68" t="s">
        <v>791</v>
      </c>
      <c r="L68" t="s">
        <v>792</v>
      </c>
      <c r="M68" t="s">
        <v>429</v>
      </c>
      <c r="N68">
        <v>1</v>
      </c>
      <c r="O68">
        <v>325</v>
      </c>
      <c r="P68" t="s">
        <v>519</v>
      </c>
      <c r="Q68" t="s">
        <v>520</v>
      </c>
      <c r="R68" t="s">
        <v>793</v>
      </c>
      <c r="S68" t="s">
        <v>794</v>
      </c>
      <c r="T68">
        <v>1</v>
      </c>
      <c r="U68">
        <v>1</v>
      </c>
      <c r="V68" t="s">
        <v>523</v>
      </c>
      <c r="W68" t="s">
        <v>97</v>
      </c>
      <c r="X68" t="s">
        <v>795</v>
      </c>
      <c r="Y68">
        <v>1167</v>
      </c>
      <c r="Z68">
        <v>1183</v>
      </c>
      <c r="AA68">
        <v>12.3</v>
      </c>
      <c r="AB68">
        <v>12.2</v>
      </c>
      <c r="AC68">
        <v>12</v>
      </c>
      <c r="AD68">
        <v>182</v>
      </c>
      <c r="AE68" t="s">
        <v>525</v>
      </c>
      <c r="AF68">
        <v>2</v>
      </c>
      <c r="AG68">
        <v>454</v>
      </c>
      <c r="AH68">
        <v>281</v>
      </c>
      <c r="AI68">
        <v>322</v>
      </c>
      <c r="AJ68">
        <v>203</v>
      </c>
      <c r="AK68">
        <v>92</v>
      </c>
      <c r="AL68" t="s">
        <v>689</v>
      </c>
      <c r="AM68" t="s">
        <v>796</v>
      </c>
      <c r="AN68">
        <v>0</v>
      </c>
      <c r="AO68">
        <v>0</v>
      </c>
      <c r="AP68">
        <v>0</v>
      </c>
      <c r="AQ68">
        <v>3</v>
      </c>
      <c r="AR68">
        <v>2</v>
      </c>
      <c r="AS68" t="s">
        <v>538</v>
      </c>
      <c r="AT68">
        <v>51.752000000000002</v>
      </c>
      <c r="AU68">
        <v>-0.33500000000000002</v>
      </c>
      <c r="AV68" t="s">
        <v>101</v>
      </c>
      <c r="AW68" t="s">
        <v>82</v>
      </c>
      <c r="AX68" t="s">
        <v>191</v>
      </c>
      <c r="AY68">
        <v>46</v>
      </c>
      <c r="AZ68">
        <v>7</v>
      </c>
      <c r="BA68">
        <v>127574</v>
      </c>
      <c r="BB68">
        <v>65366</v>
      </c>
      <c r="BC68">
        <v>0.51237713013623465</v>
      </c>
      <c r="BD68">
        <v>38.04347826086957</v>
      </c>
      <c r="BE68">
        <v>1.0869565217391299</v>
      </c>
      <c r="BF68">
        <v>0.89039735099337836</v>
      </c>
      <c r="BG68">
        <v>19</v>
      </c>
      <c r="BH68">
        <v>7</v>
      </c>
      <c r="BI68">
        <v>0.1096026490066216</v>
      </c>
    </row>
    <row r="69" spans="1:61" x14ac:dyDescent="0.2">
      <c r="A69">
        <v>207</v>
      </c>
      <c r="B69" t="s">
        <v>1256</v>
      </c>
      <c r="C69" t="s">
        <v>62</v>
      </c>
      <c r="D69" t="s">
        <v>62</v>
      </c>
      <c r="E69" t="s">
        <v>62</v>
      </c>
      <c r="F69" t="s">
        <v>62</v>
      </c>
      <c r="G69" t="s">
        <v>62</v>
      </c>
      <c r="H69" t="s">
        <v>1257</v>
      </c>
      <c r="I69" t="s">
        <v>1258</v>
      </c>
      <c r="J69" t="s">
        <v>1259</v>
      </c>
      <c r="K69" t="s">
        <v>715</v>
      </c>
      <c r="L69" t="s">
        <v>1260</v>
      </c>
      <c r="M69" t="s">
        <v>672</v>
      </c>
      <c r="N69">
        <v>1</v>
      </c>
      <c r="O69">
        <v>4006</v>
      </c>
      <c r="P69">
        <v>1167</v>
      </c>
      <c r="Q69" t="s">
        <v>431</v>
      </c>
      <c r="R69" t="s">
        <v>1261</v>
      </c>
      <c r="S69" t="s">
        <v>1262</v>
      </c>
      <c r="T69">
        <v>1</v>
      </c>
      <c r="U69">
        <v>1</v>
      </c>
      <c r="V69" t="s">
        <v>434</v>
      </c>
      <c r="W69" t="s">
        <v>131</v>
      </c>
      <c r="X69" t="s">
        <v>1263</v>
      </c>
      <c r="Y69">
        <v>1167</v>
      </c>
      <c r="Z69">
        <v>1167</v>
      </c>
      <c r="AA69">
        <v>12.3</v>
      </c>
      <c r="AB69">
        <v>12.2</v>
      </c>
      <c r="AC69">
        <v>12</v>
      </c>
      <c r="AD69">
        <v>172</v>
      </c>
      <c r="AE69" t="s">
        <v>1264</v>
      </c>
      <c r="AF69">
        <v>2</v>
      </c>
      <c r="AG69">
        <v>412</v>
      </c>
      <c r="AH69">
        <v>300</v>
      </c>
      <c r="AI69">
        <v>295</v>
      </c>
      <c r="AJ69">
        <v>95</v>
      </c>
      <c r="AK69">
        <v>95</v>
      </c>
      <c r="AL69" t="s">
        <v>437</v>
      </c>
      <c r="AM69" t="s">
        <v>1132</v>
      </c>
      <c r="AN69">
        <v>0</v>
      </c>
      <c r="AO69">
        <v>0</v>
      </c>
      <c r="AP69">
        <v>0</v>
      </c>
      <c r="AQ69">
        <v>1</v>
      </c>
      <c r="AR69">
        <v>2</v>
      </c>
      <c r="AS69" t="s">
        <v>978</v>
      </c>
      <c r="AT69">
        <v>52.631</v>
      </c>
      <c r="AU69">
        <v>-2.7280000000000002</v>
      </c>
      <c r="AV69" t="s">
        <v>244</v>
      </c>
      <c r="AW69" t="s">
        <v>82</v>
      </c>
      <c r="AX69" t="s">
        <v>191</v>
      </c>
      <c r="AY69">
        <v>41</v>
      </c>
      <c r="AZ69">
        <v>7.1951219512195124</v>
      </c>
      <c r="BA69">
        <v>123600</v>
      </c>
      <c r="BB69">
        <v>28025</v>
      </c>
      <c r="BC69">
        <v>0.22673948220064724</v>
      </c>
      <c r="BD69">
        <v>35.438596491228068</v>
      </c>
      <c r="BE69">
        <v>4.5614035087719298</v>
      </c>
      <c r="BF69">
        <v>0.8936967632027254</v>
      </c>
      <c r="BH69">
        <v>7.1951219512195124</v>
      </c>
      <c r="BI69">
        <v>0.1063032367972746</v>
      </c>
    </row>
    <row r="70" spans="1:61" s="2" customFormat="1" x14ac:dyDescent="0.2">
      <c r="A70" s="2">
        <v>219</v>
      </c>
      <c r="B70" s="2" t="s">
        <v>381</v>
      </c>
      <c r="C70" s="2" t="s">
        <v>62</v>
      </c>
      <c r="D70" s="2" t="s">
        <v>62</v>
      </c>
      <c r="E70" s="2" t="s">
        <v>62</v>
      </c>
      <c r="F70" s="2" t="s">
        <v>62</v>
      </c>
      <c r="G70" s="2" t="s">
        <v>62</v>
      </c>
      <c r="H70" s="2" t="s">
        <v>382</v>
      </c>
      <c r="I70" s="2" t="s">
        <v>383</v>
      </c>
      <c r="J70" s="2" t="s">
        <v>384</v>
      </c>
      <c r="K70" s="2" t="s">
        <v>385</v>
      </c>
      <c r="L70" s="2" t="s">
        <v>386</v>
      </c>
      <c r="M70" s="2" t="s">
        <v>69</v>
      </c>
      <c r="N70" s="2">
        <v>1</v>
      </c>
      <c r="O70" s="2">
        <v>198</v>
      </c>
      <c r="P70" s="2" t="s">
        <v>387</v>
      </c>
      <c r="Q70" s="2" t="s">
        <v>172</v>
      </c>
      <c r="R70" s="2" t="s">
        <v>388</v>
      </c>
      <c r="S70" s="2" t="s">
        <v>389</v>
      </c>
      <c r="T70" s="2">
        <v>0</v>
      </c>
      <c r="U70" s="2">
        <v>0</v>
      </c>
      <c r="W70" s="2" t="s">
        <v>390</v>
      </c>
      <c r="X70" s="2" t="s">
        <v>391</v>
      </c>
      <c r="Y70" s="2">
        <v>1169</v>
      </c>
      <c r="Z70" s="2">
        <v>1169</v>
      </c>
      <c r="AA70" s="2">
        <v>12.3</v>
      </c>
      <c r="AB70" s="2">
        <v>12.2</v>
      </c>
      <c r="AC70" s="2">
        <v>12</v>
      </c>
      <c r="AD70" s="2">
        <v>157</v>
      </c>
      <c r="AE70" s="2" t="s">
        <v>392</v>
      </c>
      <c r="AF70" s="2">
        <v>1</v>
      </c>
      <c r="AG70" s="2">
        <v>200</v>
      </c>
      <c r="AH70" s="2">
        <v>130</v>
      </c>
      <c r="AI70" s="2">
        <v>160</v>
      </c>
      <c r="AJ70" s="2">
        <v>80</v>
      </c>
      <c r="AK70" s="2">
        <v>80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80</v>
      </c>
      <c r="AW70" s="2" t="s">
        <v>82</v>
      </c>
      <c r="AX70" s="2" t="s">
        <v>83</v>
      </c>
      <c r="AY70" s="2">
        <v>32</v>
      </c>
      <c r="AZ70" s="2">
        <v>5</v>
      </c>
      <c r="BA70" s="2">
        <v>26000</v>
      </c>
      <c r="BB70" s="2">
        <v>12800</v>
      </c>
      <c r="BC70" s="2">
        <v>0.49230769230769228</v>
      </c>
      <c r="BD70" s="2">
        <v>52.083333333333329</v>
      </c>
      <c r="BE70" s="2">
        <v>7.5</v>
      </c>
      <c r="BF70" s="2">
        <v>0.85536888239591069</v>
      </c>
      <c r="BG70" s="2">
        <v>0</v>
      </c>
      <c r="BH70" s="2">
        <v>5</v>
      </c>
      <c r="BI70" s="2">
        <v>0.14463111760408931</v>
      </c>
    </row>
    <row r="71" spans="1:61" x14ac:dyDescent="0.2">
      <c r="A71">
        <v>225</v>
      </c>
      <c r="B71" t="s">
        <v>167</v>
      </c>
      <c r="C71" t="s">
        <v>62</v>
      </c>
      <c r="D71" t="s">
        <v>104</v>
      </c>
      <c r="E71" t="s">
        <v>62</v>
      </c>
      <c r="F71" t="s">
        <v>62</v>
      </c>
      <c r="G71" t="s">
        <v>104</v>
      </c>
      <c r="J71" t="s">
        <v>168</v>
      </c>
      <c r="K71" t="s">
        <v>169</v>
      </c>
      <c r="L71" t="s">
        <v>170</v>
      </c>
      <c r="M71" t="s">
        <v>69</v>
      </c>
      <c r="N71">
        <v>1</v>
      </c>
      <c r="O71">
        <v>138</v>
      </c>
      <c r="P71" t="s">
        <v>171</v>
      </c>
      <c r="Q71" t="s">
        <v>172</v>
      </c>
      <c r="R71" t="s">
        <v>173</v>
      </c>
      <c r="S71" t="s">
        <v>174</v>
      </c>
      <c r="T71">
        <v>0</v>
      </c>
      <c r="U71">
        <v>0</v>
      </c>
      <c r="W71" t="s">
        <v>97</v>
      </c>
      <c r="X71" t="s">
        <v>175</v>
      </c>
      <c r="Y71">
        <v>1171</v>
      </c>
      <c r="Z71">
        <v>1171</v>
      </c>
      <c r="AA71">
        <v>12.3</v>
      </c>
      <c r="AB71">
        <v>12.2</v>
      </c>
      <c r="AC71">
        <v>12</v>
      </c>
      <c r="AD71">
        <v>14</v>
      </c>
      <c r="AE71" t="s">
        <v>176</v>
      </c>
      <c r="AF71">
        <v>4</v>
      </c>
      <c r="AG71">
        <v>306</v>
      </c>
      <c r="AH71">
        <v>217</v>
      </c>
      <c r="AI71">
        <v>250</v>
      </c>
      <c r="AJ71">
        <v>170</v>
      </c>
      <c r="AK71">
        <v>38</v>
      </c>
      <c r="AM71" t="s">
        <v>177</v>
      </c>
      <c r="AN71">
        <v>0</v>
      </c>
      <c r="AO71">
        <v>0</v>
      </c>
      <c r="AP71">
        <v>0</v>
      </c>
      <c r="AQ71">
        <v>1</v>
      </c>
      <c r="AR71">
        <v>2</v>
      </c>
      <c r="AS71" t="s">
        <v>80</v>
      </c>
      <c r="AW71" t="s">
        <v>82</v>
      </c>
      <c r="AX71" t="s">
        <v>102</v>
      </c>
      <c r="AY71">
        <v>50</v>
      </c>
      <c r="AZ71">
        <v>5</v>
      </c>
      <c r="BA71">
        <v>66402</v>
      </c>
      <c r="BB71">
        <v>42500</v>
      </c>
      <c r="BC71">
        <v>0.64004096262160781</v>
      </c>
      <c r="BG71">
        <v>18</v>
      </c>
      <c r="BH71">
        <v>5</v>
      </c>
    </row>
    <row r="72" spans="1:61" x14ac:dyDescent="0.2">
      <c r="A72">
        <v>238</v>
      </c>
      <c r="B72" t="s">
        <v>1071</v>
      </c>
      <c r="C72" t="s">
        <v>62</v>
      </c>
      <c r="D72" t="s">
        <v>63</v>
      </c>
      <c r="E72" t="s">
        <v>63</v>
      </c>
      <c r="F72" t="s">
        <v>62</v>
      </c>
      <c r="H72" t="s">
        <v>1072</v>
      </c>
      <c r="I72" t="s">
        <v>529</v>
      </c>
      <c r="J72" t="s">
        <v>1073</v>
      </c>
      <c r="K72" t="s">
        <v>1074</v>
      </c>
      <c r="L72" t="s">
        <v>1075</v>
      </c>
      <c r="M72" t="s">
        <v>518</v>
      </c>
      <c r="N72">
        <v>1</v>
      </c>
      <c r="O72">
        <v>1244</v>
      </c>
      <c r="P72" t="s">
        <v>1076</v>
      </c>
      <c r="Q72" t="s">
        <v>172</v>
      </c>
      <c r="R72" t="s">
        <v>1077</v>
      </c>
      <c r="S72" t="s">
        <v>1078</v>
      </c>
      <c r="T72">
        <v>0</v>
      </c>
      <c r="U72">
        <v>0</v>
      </c>
      <c r="W72" t="s">
        <v>97</v>
      </c>
      <c r="X72" t="s">
        <v>1079</v>
      </c>
      <c r="Y72">
        <v>1171</v>
      </c>
      <c r="Z72">
        <v>1177</v>
      </c>
      <c r="AA72">
        <v>12.3</v>
      </c>
      <c r="AB72">
        <v>12.2</v>
      </c>
      <c r="AC72">
        <v>12</v>
      </c>
      <c r="AD72">
        <v>122</v>
      </c>
      <c r="AE72" t="s">
        <v>688</v>
      </c>
      <c r="AF72">
        <v>1</v>
      </c>
      <c r="AG72">
        <v>154</v>
      </c>
      <c r="AH72">
        <v>115</v>
      </c>
      <c r="AI72">
        <v>115</v>
      </c>
      <c r="AJ72">
        <v>75</v>
      </c>
      <c r="AK72">
        <v>75</v>
      </c>
      <c r="AM72" t="s">
        <v>595</v>
      </c>
      <c r="AN72">
        <v>0</v>
      </c>
      <c r="AO72">
        <v>0</v>
      </c>
      <c r="AP72">
        <v>0</v>
      </c>
      <c r="AQ72">
        <v>1</v>
      </c>
      <c r="AR72">
        <v>0</v>
      </c>
      <c r="AS72" t="s">
        <v>978</v>
      </c>
      <c r="AW72" t="s">
        <v>82</v>
      </c>
      <c r="AX72" t="s">
        <v>83</v>
      </c>
      <c r="AY72">
        <v>19</v>
      </c>
      <c r="AZ72">
        <v>6.0526315789473681</v>
      </c>
      <c r="BA72">
        <v>17710</v>
      </c>
      <c r="BB72">
        <v>8625</v>
      </c>
      <c r="BC72">
        <v>0.48701298701298701</v>
      </c>
      <c r="BD72">
        <v>55.111111111111107</v>
      </c>
      <c r="BE72">
        <v>1.7777777777777779</v>
      </c>
      <c r="BF72">
        <v>0.90801421239636793</v>
      </c>
      <c r="BG72">
        <v>0</v>
      </c>
      <c r="BH72">
        <v>6.0526315789473681</v>
      </c>
      <c r="BI72">
        <v>9.1985787603632074E-2</v>
      </c>
    </row>
    <row r="73" spans="1:61" x14ac:dyDescent="0.2">
      <c r="A73">
        <v>268</v>
      </c>
      <c r="B73" t="s">
        <v>119</v>
      </c>
      <c r="C73" t="s">
        <v>62</v>
      </c>
      <c r="D73" t="s">
        <v>62</v>
      </c>
      <c r="E73" t="s">
        <v>62</v>
      </c>
      <c r="F73" t="s">
        <v>62</v>
      </c>
      <c r="G73" t="s">
        <v>104</v>
      </c>
      <c r="H73" t="s">
        <v>120</v>
      </c>
      <c r="I73" t="s">
        <v>121</v>
      </c>
      <c r="J73" t="s">
        <v>122</v>
      </c>
      <c r="K73" t="s">
        <v>123</v>
      </c>
      <c r="L73" t="s">
        <v>124</v>
      </c>
      <c r="M73" t="s">
        <v>125</v>
      </c>
      <c r="N73">
        <v>1</v>
      </c>
      <c r="O73">
        <v>124</v>
      </c>
      <c r="P73" t="s">
        <v>126</v>
      </c>
      <c r="Q73" t="s">
        <v>127</v>
      </c>
      <c r="R73" t="s">
        <v>128</v>
      </c>
      <c r="S73" t="s">
        <v>129</v>
      </c>
      <c r="T73">
        <v>1</v>
      </c>
      <c r="U73">
        <v>0</v>
      </c>
      <c r="V73" t="s">
        <v>130</v>
      </c>
      <c r="W73" t="s">
        <v>131</v>
      </c>
      <c r="X73" t="s">
        <v>132</v>
      </c>
      <c r="Y73">
        <v>1173</v>
      </c>
      <c r="Z73">
        <v>1192</v>
      </c>
      <c r="AA73">
        <v>12.4</v>
      </c>
      <c r="AB73">
        <v>12.2</v>
      </c>
      <c r="AC73">
        <v>12</v>
      </c>
      <c r="AD73">
        <v>106</v>
      </c>
      <c r="AE73" t="s">
        <v>133</v>
      </c>
      <c r="AF73">
        <v>1</v>
      </c>
      <c r="AG73">
        <v>240</v>
      </c>
      <c r="AH73">
        <v>165</v>
      </c>
      <c r="AI73">
        <v>175</v>
      </c>
      <c r="AJ73">
        <v>100</v>
      </c>
      <c r="AK73">
        <v>100</v>
      </c>
      <c r="AL73" t="s">
        <v>134</v>
      </c>
      <c r="AM73" t="s">
        <v>135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80</v>
      </c>
      <c r="AT73">
        <v>54.322000000000003</v>
      </c>
      <c r="AU73">
        <v>-1.262</v>
      </c>
      <c r="AV73" t="s">
        <v>136</v>
      </c>
      <c r="AW73" t="s">
        <v>82</v>
      </c>
      <c r="AX73" t="s">
        <v>83</v>
      </c>
      <c r="AY73">
        <v>22</v>
      </c>
      <c r="AZ73">
        <v>7.9545454545454541</v>
      </c>
      <c r="BA73">
        <v>39600</v>
      </c>
      <c r="BB73">
        <v>17500</v>
      </c>
      <c r="BC73">
        <v>0.44191919191919188</v>
      </c>
      <c r="BD73">
        <v>33.666666666666657</v>
      </c>
      <c r="BE73">
        <v>1.333333333333333</v>
      </c>
      <c r="BF73">
        <v>0.91009579955784836</v>
      </c>
      <c r="BG73">
        <v>0</v>
      </c>
      <c r="BH73">
        <v>7.9545454545454541</v>
      </c>
      <c r="BI73">
        <v>8.9904200442151638E-2</v>
      </c>
    </row>
    <row r="74" spans="1:61" x14ac:dyDescent="0.2">
      <c r="A74">
        <v>261</v>
      </c>
      <c r="B74" t="s">
        <v>752</v>
      </c>
      <c r="C74" t="s">
        <v>62</v>
      </c>
      <c r="D74" t="s">
        <v>63</v>
      </c>
      <c r="E74" t="s">
        <v>62</v>
      </c>
      <c r="F74" t="s">
        <v>62</v>
      </c>
      <c r="G74" t="s">
        <v>105</v>
      </c>
      <c r="J74" t="s">
        <v>753</v>
      </c>
      <c r="K74" t="s">
        <v>754</v>
      </c>
      <c r="L74" t="s">
        <v>755</v>
      </c>
      <c r="M74" t="s">
        <v>125</v>
      </c>
      <c r="N74">
        <v>1</v>
      </c>
      <c r="O74">
        <v>322</v>
      </c>
      <c r="P74" t="s">
        <v>756</v>
      </c>
      <c r="Q74" t="s">
        <v>291</v>
      </c>
      <c r="R74" t="s">
        <v>757</v>
      </c>
      <c r="S74" t="s">
        <v>758</v>
      </c>
      <c r="T74">
        <v>1</v>
      </c>
      <c r="U74">
        <v>1</v>
      </c>
      <c r="V74" t="s">
        <v>294</v>
      </c>
      <c r="W74" t="s">
        <v>97</v>
      </c>
      <c r="X74" t="s">
        <v>759</v>
      </c>
      <c r="Y74">
        <v>1173</v>
      </c>
      <c r="Z74">
        <v>1189</v>
      </c>
      <c r="AA74">
        <v>12.4</v>
      </c>
      <c r="AB74">
        <v>12.2</v>
      </c>
      <c r="AC74">
        <v>12</v>
      </c>
      <c r="AD74">
        <v>14</v>
      </c>
      <c r="AE74" t="s">
        <v>760</v>
      </c>
      <c r="AF74">
        <v>1</v>
      </c>
      <c r="AG74">
        <v>230</v>
      </c>
      <c r="AH74">
        <v>160</v>
      </c>
      <c r="AI74">
        <v>207</v>
      </c>
      <c r="AJ74">
        <v>130</v>
      </c>
      <c r="AK74">
        <v>130</v>
      </c>
      <c r="AL74" t="s">
        <v>100</v>
      </c>
      <c r="AN74">
        <v>0</v>
      </c>
      <c r="AO74">
        <v>0</v>
      </c>
      <c r="AP74">
        <v>0</v>
      </c>
      <c r="AQ74">
        <v>0</v>
      </c>
      <c r="AR74">
        <v>0</v>
      </c>
      <c r="AS74" t="s">
        <v>538</v>
      </c>
      <c r="AT74">
        <v>52.396999999999998</v>
      </c>
      <c r="AU74">
        <v>0.26200000000000001</v>
      </c>
      <c r="AV74" t="s">
        <v>101</v>
      </c>
      <c r="AW74" t="s">
        <v>82</v>
      </c>
      <c r="AX74" t="s">
        <v>83</v>
      </c>
      <c r="AY74">
        <v>23</v>
      </c>
      <c r="AZ74">
        <v>9</v>
      </c>
      <c r="BA74">
        <v>36800</v>
      </c>
      <c r="BB74">
        <v>26910</v>
      </c>
      <c r="BC74">
        <v>0.73124999999999996</v>
      </c>
      <c r="BG74">
        <v>0</v>
      </c>
      <c r="BH74">
        <v>9</v>
      </c>
    </row>
    <row r="75" spans="1:61" x14ac:dyDescent="0.2">
      <c r="A75">
        <v>236</v>
      </c>
      <c r="B75" t="s">
        <v>836</v>
      </c>
      <c r="C75" t="s">
        <v>63</v>
      </c>
      <c r="D75" t="s">
        <v>62</v>
      </c>
      <c r="E75" t="s">
        <v>63</v>
      </c>
      <c r="F75" t="s">
        <v>62</v>
      </c>
      <c r="G75" t="s">
        <v>62</v>
      </c>
      <c r="H75" t="s">
        <v>837</v>
      </c>
      <c r="I75" t="s">
        <v>838</v>
      </c>
      <c r="J75" t="s">
        <v>839</v>
      </c>
      <c r="K75" t="s">
        <v>840</v>
      </c>
      <c r="L75" t="s">
        <v>841</v>
      </c>
      <c r="M75" t="s">
        <v>360</v>
      </c>
      <c r="N75">
        <v>1</v>
      </c>
      <c r="O75">
        <v>971</v>
      </c>
      <c r="P75" t="s">
        <v>842</v>
      </c>
      <c r="Q75" t="s">
        <v>843</v>
      </c>
      <c r="R75" t="s">
        <v>844</v>
      </c>
      <c r="S75" t="s">
        <v>845</v>
      </c>
      <c r="T75">
        <v>1</v>
      </c>
      <c r="U75">
        <v>1</v>
      </c>
      <c r="V75" t="s">
        <v>843</v>
      </c>
      <c r="W75" t="s">
        <v>97</v>
      </c>
      <c r="X75" t="s">
        <v>846</v>
      </c>
      <c r="Y75">
        <v>1173</v>
      </c>
      <c r="Z75">
        <v>1173</v>
      </c>
      <c r="AA75">
        <v>12.3</v>
      </c>
      <c r="AB75">
        <v>12.2</v>
      </c>
      <c r="AC75">
        <v>12</v>
      </c>
      <c r="AD75">
        <v>159</v>
      </c>
      <c r="AE75" t="s">
        <v>760</v>
      </c>
      <c r="AF75">
        <v>1</v>
      </c>
      <c r="AG75">
        <v>185</v>
      </c>
      <c r="AH75">
        <v>125</v>
      </c>
      <c r="AI75">
        <v>135</v>
      </c>
      <c r="AJ75">
        <v>89</v>
      </c>
      <c r="AK75">
        <v>89</v>
      </c>
      <c r="AL75" t="s">
        <v>150</v>
      </c>
      <c r="AM75" t="s">
        <v>847</v>
      </c>
      <c r="AN75">
        <v>0</v>
      </c>
      <c r="AO75">
        <v>0</v>
      </c>
      <c r="AP75">
        <v>0</v>
      </c>
      <c r="AQ75">
        <v>1</v>
      </c>
      <c r="AR75">
        <v>0</v>
      </c>
      <c r="AS75" t="s">
        <v>834</v>
      </c>
      <c r="AT75">
        <v>50.716000000000001</v>
      </c>
      <c r="AU75">
        <v>-2.0270000000000001</v>
      </c>
      <c r="AV75" t="s">
        <v>81</v>
      </c>
      <c r="AW75" t="s">
        <v>82</v>
      </c>
      <c r="AX75" t="s">
        <v>83</v>
      </c>
      <c r="AY75">
        <v>23</v>
      </c>
      <c r="AZ75">
        <v>5.8695652173913047</v>
      </c>
      <c r="BA75">
        <v>23125</v>
      </c>
      <c r="BB75">
        <v>12015</v>
      </c>
      <c r="BC75">
        <v>0.51956756756756761</v>
      </c>
      <c r="BD75">
        <v>34.082397003745321</v>
      </c>
      <c r="BE75">
        <v>2.2471910112359552</v>
      </c>
      <c r="BF75">
        <v>0.92089176470588263</v>
      </c>
      <c r="BG75">
        <v>0</v>
      </c>
      <c r="BH75">
        <v>5.8695652173913047</v>
      </c>
      <c r="BI75">
        <v>7.9108235294117368E-2</v>
      </c>
    </row>
    <row r="76" spans="1:61" x14ac:dyDescent="0.2">
      <c r="A76">
        <v>249</v>
      </c>
      <c r="B76" t="s">
        <v>423</v>
      </c>
      <c r="C76" t="s">
        <v>62</v>
      </c>
      <c r="D76" t="s">
        <v>62</v>
      </c>
      <c r="E76" t="s">
        <v>62</v>
      </c>
      <c r="F76" t="s">
        <v>62</v>
      </c>
      <c r="G76" t="s">
        <v>62</v>
      </c>
      <c r="H76" t="s">
        <v>424</v>
      </c>
      <c r="I76" t="s">
        <v>425</v>
      </c>
      <c r="J76" t="s">
        <v>426</v>
      </c>
      <c r="K76" t="s">
        <v>427</v>
      </c>
      <c r="L76" t="s">
        <v>428</v>
      </c>
      <c r="M76" t="s">
        <v>429</v>
      </c>
      <c r="N76">
        <v>1</v>
      </c>
      <c r="O76">
        <v>219</v>
      </c>
      <c r="P76" t="s">
        <v>430</v>
      </c>
      <c r="Q76" t="s">
        <v>431</v>
      </c>
      <c r="R76" t="s">
        <v>432</v>
      </c>
      <c r="S76" t="s">
        <v>433</v>
      </c>
      <c r="T76">
        <v>1</v>
      </c>
      <c r="U76">
        <v>1</v>
      </c>
      <c r="V76" t="s">
        <v>434</v>
      </c>
      <c r="W76" t="s">
        <v>131</v>
      </c>
      <c r="X76" t="s">
        <v>435</v>
      </c>
      <c r="Y76">
        <v>1176</v>
      </c>
      <c r="Z76">
        <v>1176</v>
      </c>
      <c r="AA76">
        <v>12.4</v>
      </c>
      <c r="AB76">
        <v>12.2</v>
      </c>
      <c r="AC76">
        <v>12</v>
      </c>
      <c r="AD76">
        <v>58</v>
      </c>
      <c r="AE76" t="s">
        <v>436</v>
      </c>
      <c r="AF76">
        <v>1</v>
      </c>
      <c r="AG76">
        <v>310</v>
      </c>
      <c r="AH76">
        <v>217</v>
      </c>
      <c r="AI76">
        <v>220</v>
      </c>
      <c r="AJ76">
        <v>170</v>
      </c>
      <c r="AK76">
        <v>170</v>
      </c>
      <c r="AL76" t="s">
        <v>437</v>
      </c>
      <c r="AM76" t="s">
        <v>438</v>
      </c>
      <c r="AN76">
        <v>0</v>
      </c>
      <c r="AO76">
        <v>0</v>
      </c>
      <c r="AP76">
        <v>0</v>
      </c>
      <c r="AQ76">
        <v>1</v>
      </c>
      <c r="AR76">
        <v>2</v>
      </c>
      <c r="AS76" t="s">
        <v>80</v>
      </c>
      <c r="AT76">
        <v>52.631</v>
      </c>
      <c r="AU76">
        <v>-2.7280000000000002</v>
      </c>
      <c r="AV76" t="s">
        <v>244</v>
      </c>
      <c r="AW76" t="s">
        <v>82</v>
      </c>
      <c r="AX76" t="s">
        <v>83</v>
      </c>
      <c r="AY76">
        <v>19.5</v>
      </c>
      <c r="AZ76">
        <v>11.282051282051279</v>
      </c>
      <c r="BA76">
        <v>67270</v>
      </c>
      <c r="BB76">
        <v>37400</v>
      </c>
      <c r="BC76">
        <v>0.55596848520885978</v>
      </c>
      <c r="BD76">
        <v>26.274509803921571</v>
      </c>
      <c r="BE76">
        <v>3.5294117647058818</v>
      </c>
      <c r="BF76">
        <v>0.86626996554963975</v>
      </c>
      <c r="BG76">
        <v>0</v>
      </c>
      <c r="BH76">
        <v>11.282051282051279</v>
      </c>
      <c r="BI76">
        <v>0.13373003445036019</v>
      </c>
    </row>
    <row r="77" spans="1:61" x14ac:dyDescent="0.2">
      <c r="A77">
        <v>250</v>
      </c>
      <c r="B77" t="s">
        <v>988</v>
      </c>
      <c r="C77" t="s">
        <v>62</v>
      </c>
      <c r="D77" t="s">
        <v>63</v>
      </c>
      <c r="E77" t="s">
        <v>62</v>
      </c>
      <c r="F77" t="s">
        <v>63</v>
      </c>
      <c r="G77" t="s">
        <v>104</v>
      </c>
      <c r="H77" t="s">
        <v>989</v>
      </c>
      <c r="I77" t="s">
        <v>990</v>
      </c>
      <c r="J77" t="s">
        <v>991</v>
      </c>
      <c r="K77" t="s">
        <v>992</v>
      </c>
      <c r="L77" t="s">
        <v>993</v>
      </c>
      <c r="M77" t="s">
        <v>302</v>
      </c>
      <c r="N77">
        <v>1</v>
      </c>
      <c r="O77">
        <v>1200</v>
      </c>
      <c r="P77" t="s">
        <v>994</v>
      </c>
      <c r="Q77" t="s">
        <v>172</v>
      </c>
      <c r="R77" t="s">
        <v>995</v>
      </c>
      <c r="S77" t="s">
        <v>996</v>
      </c>
      <c r="T77">
        <v>0</v>
      </c>
      <c r="U77">
        <v>0</v>
      </c>
      <c r="X77" t="s">
        <v>997</v>
      </c>
      <c r="Y77">
        <v>1177</v>
      </c>
      <c r="Z77">
        <v>1182</v>
      </c>
      <c r="AA77">
        <v>12.4</v>
      </c>
      <c r="AB77">
        <v>12.2</v>
      </c>
      <c r="AC77">
        <v>12</v>
      </c>
      <c r="AD77">
        <v>31</v>
      </c>
      <c r="AE77" t="s">
        <v>216</v>
      </c>
      <c r="AF77">
        <v>1</v>
      </c>
      <c r="AG77">
        <v>186</v>
      </c>
      <c r="AH77">
        <v>137</v>
      </c>
      <c r="AI77">
        <v>148</v>
      </c>
      <c r="AJ77">
        <v>80</v>
      </c>
      <c r="AK77">
        <v>80</v>
      </c>
      <c r="AM77" t="s">
        <v>977</v>
      </c>
      <c r="AN77">
        <v>0</v>
      </c>
      <c r="AO77">
        <v>0</v>
      </c>
      <c r="AP77">
        <v>0</v>
      </c>
      <c r="AQ77">
        <v>1</v>
      </c>
      <c r="AR77">
        <v>2</v>
      </c>
      <c r="AS77" t="s">
        <v>978</v>
      </c>
      <c r="AW77" t="s">
        <v>82</v>
      </c>
      <c r="AX77" t="s">
        <v>83</v>
      </c>
      <c r="AY77">
        <v>38</v>
      </c>
      <c r="AZ77">
        <v>3.8947368421052628</v>
      </c>
      <c r="BA77">
        <v>25482</v>
      </c>
      <c r="BB77">
        <v>11840</v>
      </c>
      <c r="BC77">
        <v>0.46464170787222348</v>
      </c>
      <c r="BD77">
        <v>60.833333333333329</v>
      </c>
      <c r="BE77">
        <v>12.5</v>
      </c>
      <c r="BF77">
        <v>0.86587436332767309</v>
      </c>
      <c r="BG77">
        <v>0</v>
      </c>
      <c r="BH77">
        <v>3.8947368421052628</v>
      </c>
      <c r="BI77">
        <v>0.13412563667232691</v>
      </c>
    </row>
    <row r="78" spans="1:61" x14ac:dyDescent="0.2">
      <c r="A78">
        <v>252</v>
      </c>
      <c r="B78" t="s">
        <v>1061</v>
      </c>
      <c r="C78" t="s">
        <v>63</v>
      </c>
      <c r="D78" t="s">
        <v>62</v>
      </c>
      <c r="E78" t="s">
        <v>62</v>
      </c>
      <c r="F78" t="s">
        <v>62</v>
      </c>
      <c r="G78" t="s">
        <v>62</v>
      </c>
      <c r="H78" t="s">
        <v>1062</v>
      </c>
      <c r="I78" t="s">
        <v>1063</v>
      </c>
      <c r="J78" t="s">
        <v>1064</v>
      </c>
      <c r="K78" t="s">
        <v>735</v>
      </c>
      <c r="L78" t="s">
        <v>1065</v>
      </c>
      <c r="M78" t="s">
        <v>518</v>
      </c>
      <c r="N78">
        <v>1</v>
      </c>
      <c r="O78">
        <v>1239</v>
      </c>
      <c r="P78" t="s">
        <v>1066</v>
      </c>
      <c r="Q78" t="s">
        <v>903</v>
      </c>
      <c r="R78" t="s">
        <v>1067</v>
      </c>
      <c r="S78" t="s">
        <v>1068</v>
      </c>
      <c r="T78">
        <v>1</v>
      </c>
      <c r="U78">
        <v>1</v>
      </c>
      <c r="V78" t="s">
        <v>115</v>
      </c>
      <c r="W78" t="s">
        <v>97</v>
      </c>
      <c r="X78" t="s">
        <v>1069</v>
      </c>
      <c r="Y78">
        <v>1177</v>
      </c>
      <c r="Z78">
        <v>1177</v>
      </c>
      <c r="AA78">
        <v>12.4</v>
      </c>
      <c r="AB78">
        <v>12.2</v>
      </c>
      <c r="AC78">
        <v>12</v>
      </c>
      <c r="AD78">
        <v>206</v>
      </c>
      <c r="AE78" t="s">
        <v>1070</v>
      </c>
      <c r="AF78">
        <v>2</v>
      </c>
      <c r="AG78">
        <v>207</v>
      </c>
      <c r="AH78">
        <v>140</v>
      </c>
      <c r="AI78">
        <v>175</v>
      </c>
      <c r="AJ78">
        <v>99</v>
      </c>
      <c r="AK78">
        <v>45</v>
      </c>
      <c r="AL78" t="s">
        <v>118</v>
      </c>
      <c r="AM78" t="s">
        <v>1060</v>
      </c>
      <c r="AN78">
        <v>0</v>
      </c>
      <c r="AO78">
        <v>0</v>
      </c>
      <c r="AP78">
        <v>0</v>
      </c>
      <c r="AQ78">
        <v>1</v>
      </c>
      <c r="AR78">
        <v>2</v>
      </c>
      <c r="AS78" t="s">
        <v>978</v>
      </c>
      <c r="AT78">
        <v>51.507399999999997</v>
      </c>
      <c r="AU78">
        <v>-0.1278</v>
      </c>
      <c r="AV78" t="s">
        <v>101</v>
      </c>
      <c r="AW78" t="s">
        <v>82</v>
      </c>
      <c r="AX78" t="s">
        <v>191</v>
      </c>
      <c r="AY78">
        <v>34.5</v>
      </c>
      <c r="AZ78">
        <v>5.0724637681159424</v>
      </c>
      <c r="BA78">
        <v>28980</v>
      </c>
      <c r="BB78">
        <v>17325</v>
      </c>
      <c r="BC78">
        <v>0.59782608695652173</v>
      </c>
      <c r="BD78">
        <v>57.777777777777771</v>
      </c>
      <c r="BE78">
        <v>10.37037037037037</v>
      </c>
      <c r="BF78">
        <v>0.86623067776456553</v>
      </c>
      <c r="BG78">
        <v>9</v>
      </c>
      <c r="BH78">
        <v>5.0724637681159424</v>
      </c>
      <c r="BI78">
        <v>0.1337693222354345</v>
      </c>
    </row>
    <row r="79" spans="1:61" x14ac:dyDescent="0.2">
      <c r="A79">
        <v>263</v>
      </c>
      <c r="B79" t="s">
        <v>311</v>
      </c>
      <c r="C79" t="s">
        <v>62</v>
      </c>
      <c r="D79" t="s">
        <v>62</v>
      </c>
      <c r="E79" t="s">
        <v>62</v>
      </c>
      <c r="F79" t="s">
        <v>62</v>
      </c>
      <c r="G79" t="s">
        <v>62</v>
      </c>
      <c r="H79" t="s">
        <v>312</v>
      </c>
      <c r="I79" t="s">
        <v>313</v>
      </c>
      <c r="J79" t="s">
        <v>314</v>
      </c>
      <c r="K79" t="s">
        <v>315</v>
      </c>
      <c r="L79" t="s">
        <v>316</v>
      </c>
      <c r="M79" t="s">
        <v>69</v>
      </c>
      <c r="N79">
        <v>1</v>
      </c>
      <c r="O79">
        <v>175</v>
      </c>
      <c r="P79" t="s">
        <v>317</v>
      </c>
      <c r="Q79" t="s">
        <v>318</v>
      </c>
      <c r="R79" t="s">
        <v>319</v>
      </c>
      <c r="S79" t="s">
        <v>320</v>
      </c>
      <c r="T79">
        <v>1</v>
      </c>
      <c r="U79">
        <v>1</v>
      </c>
      <c r="V79" t="s">
        <v>321</v>
      </c>
      <c r="W79" t="s">
        <v>97</v>
      </c>
      <c r="X79" t="s">
        <v>322</v>
      </c>
      <c r="Y79">
        <v>1181</v>
      </c>
      <c r="Z79">
        <v>1182</v>
      </c>
      <c r="AA79">
        <v>12.4</v>
      </c>
      <c r="AB79">
        <v>12.2</v>
      </c>
      <c r="AC79">
        <v>12</v>
      </c>
      <c r="AD79">
        <v>2</v>
      </c>
      <c r="AE79" t="s">
        <v>323</v>
      </c>
      <c r="AF79">
        <v>1</v>
      </c>
      <c r="AG79">
        <v>310</v>
      </c>
      <c r="AH79">
        <v>220</v>
      </c>
      <c r="AI79">
        <v>255</v>
      </c>
      <c r="AJ79">
        <v>175</v>
      </c>
      <c r="AK79">
        <v>175</v>
      </c>
      <c r="AL79" t="s">
        <v>324</v>
      </c>
      <c r="AM79" t="s">
        <v>325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80</v>
      </c>
      <c r="AT79">
        <v>51.941000000000003</v>
      </c>
      <c r="AU79">
        <v>-1.9159999999999999</v>
      </c>
      <c r="AV79" t="s">
        <v>244</v>
      </c>
      <c r="AW79" t="s">
        <v>82</v>
      </c>
      <c r="AX79" t="s">
        <v>83</v>
      </c>
      <c r="AY79">
        <v>37</v>
      </c>
      <c r="AZ79">
        <v>6.8918918918918921</v>
      </c>
      <c r="BA79">
        <v>68200</v>
      </c>
      <c r="BB79">
        <v>44625</v>
      </c>
      <c r="BC79">
        <v>0.65432551319648091</v>
      </c>
      <c r="BD79">
        <v>21.333333333333339</v>
      </c>
      <c r="BE79">
        <v>1.714285714285714</v>
      </c>
      <c r="BF79">
        <v>0.84626334519572932</v>
      </c>
      <c r="BG79">
        <v>0</v>
      </c>
      <c r="BH79">
        <v>6.8918918918918921</v>
      </c>
      <c r="BI79">
        <v>0.15373665480427071</v>
      </c>
    </row>
    <row r="80" spans="1:61" x14ac:dyDescent="0.2">
      <c r="A80">
        <v>298</v>
      </c>
      <c r="B80" t="s">
        <v>1031</v>
      </c>
      <c r="C80" t="s">
        <v>62</v>
      </c>
      <c r="D80" t="s">
        <v>62</v>
      </c>
      <c r="E80" t="s">
        <v>62</v>
      </c>
      <c r="F80" t="s">
        <v>62</v>
      </c>
      <c r="G80" t="s">
        <v>104</v>
      </c>
      <c r="H80" t="s">
        <v>1032</v>
      </c>
      <c r="I80" t="s">
        <v>1033</v>
      </c>
      <c r="J80" t="s">
        <v>1034</v>
      </c>
      <c r="K80" t="s">
        <v>1035</v>
      </c>
      <c r="L80" t="s">
        <v>517</v>
      </c>
      <c r="M80" t="s">
        <v>518</v>
      </c>
      <c r="N80">
        <v>1</v>
      </c>
      <c r="O80">
        <v>1236</v>
      </c>
      <c r="P80" t="s">
        <v>1036</v>
      </c>
      <c r="Q80" t="s">
        <v>768</v>
      </c>
      <c r="R80" t="s">
        <v>1037</v>
      </c>
      <c r="S80" t="s">
        <v>1038</v>
      </c>
      <c r="T80">
        <v>1</v>
      </c>
      <c r="U80">
        <v>1</v>
      </c>
      <c r="V80" t="s">
        <v>771</v>
      </c>
      <c r="W80" t="s">
        <v>97</v>
      </c>
      <c r="X80" t="s">
        <v>1039</v>
      </c>
      <c r="Y80">
        <v>1187</v>
      </c>
      <c r="Z80">
        <v>1205</v>
      </c>
      <c r="AA80">
        <v>12.4</v>
      </c>
      <c r="AB80">
        <v>12.2</v>
      </c>
      <c r="AC80">
        <v>12</v>
      </c>
      <c r="AD80">
        <v>209</v>
      </c>
      <c r="AE80" t="s">
        <v>1040</v>
      </c>
      <c r="AF80">
        <v>2</v>
      </c>
      <c r="AG80">
        <v>325</v>
      </c>
      <c r="AH80">
        <v>240</v>
      </c>
      <c r="AI80">
        <v>246</v>
      </c>
      <c r="AJ80">
        <v>130</v>
      </c>
      <c r="AK80">
        <v>60</v>
      </c>
      <c r="AL80" t="s">
        <v>774</v>
      </c>
      <c r="AM80" t="s">
        <v>1041</v>
      </c>
      <c r="AN80">
        <v>0</v>
      </c>
      <c r="AO80">
        <v>0</v>
      </c>
      <c r="AP80">
        <v>0</v>
      </c>
      <c r="AQ80">
        <v>3</v>
      </c>
      <c r="AR80">
        <v>2</v>
      </c>
      <c r="AS80" t="s">
        <v>978</v>
      </c>
      <c r="AT80">
        <v>51.587000000000003</v>
      </c>
      <c r="AU80">
        <v>-2.0390000000000001</v>
      </c>
      <c r="AV80" t="s">
        <v>81</v>
      </c>
      <c r="AW80" t="s">
        <v>82</v>
      </c>
      <c r="AX80" t="s">
        <v>191</v>
      </c>
      <c r="AY80">
        <v>39.5</v>
      </c>
      <c r="AZ80">
        <v>6.2278481012658231</v>
      </c>
      <c r="BA80">
        <v>78000</v>
      </c>
      <c r="BB80">
        <v>31980</v>
      </c>
      <c r="BC80">
        <v>0.41</v>
      </c>
      <c r="BD80">
        <v>46.388888888888893</v>
      </c>
      <c r="BE80">
        <v>2.5</v>
      </c>
      <c r="BF80">
        <v>0.8860869565217393</v>
      </c>
      <c r="BG80">
        <v>10</v>
      </c>
      <c r="BH80">
        <v>6.2278481012658231</v>
      </c>
      <c r="BI80">
        <v>0.1139130434782607</v>
      </c>
    </row>
    <row r="81" spans="1:61" x14ac:dyDescent="0.2">
      <c r="A81">
        <v>280</v>
      </c>
      <c r="B81" t="s">
        <v>733</v>
      </c>
      <c r="C81" t="s">
        <v>62</v>
      </c>
      <c r="D81" t="s">
        <v>63</v>
      </c>
      <c r="E81" t="s">
        <v>62</v>
      </c>
      <c r="F81" t="s">
        <v>63</v>
      </c>
      <c r="G81" t="s">
        <v>104</v>
      </c>
      <c r="J81" t="s">
        <v>734</v>
      </c>
      <c r="K81" t="s">
        <v>735</v>
      </c>
      <c r="L81" t="s">
        <v>736</v>
      </c>
      <c r="M81" t="s">
        <v>69</v>
      </c>
      <c r="N81">
        <v>1</v>
      </c>
      <c r="O81">
        <v>319</v>
      </c>
      <c r="P81" t="s">
        <v>737</v>
      </c>
      <c r="Q81" t="s">
        <v>172</v>
      </c>
      <c r="R81" t="s">
        <v>738</v>
      </c>
      <c r="S81" t="s">
        <v>739</v>
      </c>
      <c r="T81">
        <v>0</v>
      </c>
      <c r="U81">
        <v>0</v>
      </c>
      <c r="X81" t="s">
        <v>740</v>
      </c>
      <c r="Y81">
        <v>1188</v>
      </c>
      <c r="Z81">
        <v>1191</v>
      </c>
      <c r="AA81">
        <v>12.4</v>
      </c>
      <c r="AB81">
        <v>12.2</v>
      </c>
      <c r="AC81">
        <v>12</v>
      </c>
      <c r="AD81">
        <v>12</v>
      </c>
      <c r="AE81" t="s">
        <v>741</v>
      </c>
      <c r="AF81">
        <v>4</v>
      </c>
      <c r="AG81">
        <v>275</v>
      </c>
      <c r="AH81">
        <v>190</v>
      </c>
      <c r="AI81">
        <v>242</v>
      </c>
      <c r="AJ81">
        <v>185</v>
      </c>
      <c r="AK81">
        <v>39</v>
      </c>
      <c r="AM81" t="s">
        <v>742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538</v>
      </c>
      <c r="AW81" t="s">
        <v>82</v>
      </c>
      <c r="AX81" t="s">
        <v>191</v>
      </c>
      <c r="AY81">
        <v>48</v>
      </c>
      <c r="AZ81">
        <v>5.041666666666667</v>
      </c>
      <c r="BA81">
        <v>52250</v>
      </c>
      <c r="BB81">
        <v>44770</v>
      </c>
      <c r="BC81">
        <v>0.85684210526315785</v>
      </c>
      <c r="BG81">
        <v>29</v>
      </c>
      <c r="BH81">
        <v>5.041666666666667</v>
      </c>
    </row>
    <row r="82" spans="1:61" x14ac:dyDescent="0.2">
      <c r="A82">
        <v>291</v>
      </c>
      <c r="B82" t="s">
        <v>1233</v>
      </c>
      <c r="C82" t="s">
        <v>62</v>
      </c>
      <c r="D82" t="s">
        <v>104</v>
      </c>
      <c r="E82" t="s">
        <v>62</v>
      </c>
      <c r="F82" t="s">
        <v>104</v>
      </c>
      <c r="G82" t="s">
        <v>104</v>
      </c>
      <c r="H82" t="s">
        <v>1234</v>
      </c>
      <c r="I82" t="s">
        <v>1235</v>
      </c>
      <c r="J82" t="s">
        <v>1236</v>
      </c>
      <c r="K82" t="s">
        <v>1013</v>
      </c>
      <c r="L82" t="s">
        <v>1237</v>
      </c>
      <c r="M82" t="s">
        <v>69</v>
      </c>
      <c r="N82">
        <v>1</v>
      </c>
      <c r="O82">
        <v>1372</v>
      </c>
      <c r="P82" t="s">
        <v>1238</v>
      </c>
      <c r="Q82" t="s">
        <v>1239</v>
      </c>
      <c r="R82" t="s">
        <v>1240</v>
      </c>
      <c r="S82" t="s">
        <v>1241</v>
      </c>
      <c r="T82">
        <v>1</v>
      </c>
      <c r="U82">
        <v>1</v>
      </c>
      <c r="V82" t="s">
        <v>115</v>
      </c>
      <c r="W82" t="s">
        <v>1242</v>
      </c>
      <c r="X82" t="s">
        <v>1243</v>
      </c>
      <c r="Y82">
        <v>1188</v>
      </c>
      <c r="Z82">
        <v>1201</v>
      </c>
      <c r="AA82">
        <v>12.4</v>
      </c>
      <c r="AB82">
        <v>12.2</v>
      </c>
      <c r="AC82">
        <v>12</v>
      </c>
      <c r="AD82">
        <v>161</v>
      </c>
      <c r="AE82" t="s">
        <v>1244</v>
      </c>
      <c r="AF82">
        <v>1</v>
      </c>
      <c r="AG82">
        <v>425</v>
      </c>
      <c r="AH82">
        <v>320</v>
      </c>
      <c r="AI82">
        <v>335</v>
      </c>
      <c r="AJ82">
        <v>227</v>
      </c>
      <c r="AK82">
        <v>227</v>
      </c>
      <c r="AL82" t="s">
        <v>118</v>
      </c>
      <c r="AM82" t="s">
        <v>205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859</v>
      </c>
      <c r="AT82">
        <v>51.507399999999997</v>
      </c>
      <c r="AU82">
        <v>-0.1278</v>
      </c>
      <c r="AV82" t="s">
        <v>101</v>
      </c>
      <c r="AW82" t="s">
        <v>82</v>
      </c>
      <c r="AX82" t="s">
        <v>83</v>
      </c>
      <c r="AY82">
        <v>43.5</v>
      </c>
      <c r="AZ82">
        <v>7.7011494252873556</v>
      </c>
      <c r="BA82">
        <v>136000</v>
      </c>
      <c r="BB82">
        <v>76045</v>
      </c>
      <c r="BC82">
        <v>0.55915441176470593</v>
      </c>
      <c r="BD82">
        <v>16.152716593245231</v>
      </c>
      <c r="BE82">
        <v>1.4684287812041119</v>
      </c>
      <c r="BF82">
        <v>0.91755976916735382</v>
      </c>
      <c r="BG82">
        <v>0</v>
      </c>
      <c r="BH82">
        <v>7.7011494252873556</v>
      </c>
      <c r="BI82">
        <v>8.2440230832646177E-2</v>
      </c>
    </row>
    <row r="83" spans="1:61" x14ac:dyDescent="0.2">
      <c r="A83">
        <v>285</v>
      </c>
      <c r="B83" t="s">
        <v>368</v>
      </c>
      <c r="C83" t="s">
        <v>62</v>
      </c>
      <c r="D83" t="s">
        <v>104</v>
      </c>
      <c r="E83" t="s">
        <v>104</v>
      </c>
      <c r="F83" t="s">
        <v>179</v>
      </c>
      <c r="G83" t="s">
        <v>105</v>
      </c>
      <c r="H83" t="s">
        <v>369</v>
      </c>
      <c r="I83" t="s">
        <v>370</v>
      </c>
      <c r="J83" t="s">
        <v>371</v>
      </c>
      <c r="K83" t="s">
        <v>372</v>
      </c>
      <c r="L83" t="s">
        <v>373</v>
      </c>
      <c r="M83" t="s">
        <v>91</v>
      </c>
      <c r="N83">
        <v>1</v>
      </c>
      <c r="O83">
        <v>194</v>
      </c>
      <c r="P83" t="s">
        <v>374</v>
      </c>
      <c r="Q83" t="s">
        <v>375</v>
      </c>
      <c r="R83" t="s">
        <v>376</v>
      </c>
      <c r="S83" t="s">
        <v>377</v>
      </c>
      <c r="T83">
        <v>1</v>
      </c>
      <c r="U83">
        <v>1</v>
      </c>
      <c r="V83" t="s">
        <v>378</v>
      </c>
      <c r="W83" t="s">
        <v>97</v>
      </c>
      <c r="X83" t="s">
        <v>379</v>
      </c>
      <c r="Y83">
        <v>1190</v>
      </c>
      <c r="Z83">
        <v>1195</v>
      </c>
      <c r="AA83">
        <v>12.4</v>
      </c>
      <c r="AB83">
        <v>12.2</v>
      </c>
      <c r="AC83">
        <v>12</v>
      </c>
      <c r="AD83">
        <v>114</v>
      </c>
      <c r="AE83" t="s">
        <v>241</v>
      </c>
      <c r="AF83">
        <v>1</v>
      </c>
      <c r="AG83">
        <v>285</v>
      </c>
      <c r="AH83">
        <v>205</v>
      </c>
      <c r="AI83">
        <v>230</v>
      </c>
      <c r="AJ83">
        <v>135</v>
      </c>
      <c r="AK83">
        <v>135</v>
      </c>
      <c r="AL83" t="s">
        <v>380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80</v>
      </c>
      <c r="AT83">
        <v>51.454000000000001</v>
      </c>
      <c r="AU83">
        <v>-0.97299999999999998</v>
      </c>
      <c r="AV83" t="s">
        <v>166</v>
      </c>
      <c r="AW83" t="s">
        <v>82</v>
      </c>
      <c r="AX83" t="s">
        <v>83</v>
      </c>
      <c r="AY83">
        <v>40</v>
      </c>
      <c r="AZ83">
        <v>5.75</v>
      </c>
      <c r="BA83">
        <v>58425</v>
      </c>
      <c r="BB83">
        <v>31050</v>
      </c>
      <c r="BC83">
        <v>0.53145057766367132</v>
      </c>
      <c r="BD83">
        <v>46.172839506172842</v>
      </c>
      <c r="BE83">
        <v>5.4320987654320989</v>
      </c>
      <c r="BF83">
        <v>0.87770382695507465</v>
      </c>
      <c r="BG83">
        <v>0</v>
      </c>
      <c r="BH83">
        <v>5.75</v>
      </c>
      <c r="BI83">
        <v>0.12229617304492529</v>
      </c>
    </row>
    <row r="84" spans="1:61" x14ac:dyDescent="0.2">
      <c r="A84">
        <v>282</v>
      </c>
      <c r="B84" t="s">
        <v>489</v>
      </c>
      <c r="C84" t="s">
        <v>62</v>
      </c>
      <c r="D84" t="s">
        <v>62</v>
      </c>
      <c r="E84" t="s">
        <v>62</v>
      </c>
      <c r="F84" t="s">
        <v>104</v>
      </c>
      <c r="G84" t="s">
        <v>104</v>
      </c>
      <c r="H84" t="s">
        <v>490</v>
      </c>
      <c r="I84" t="s">
        <v>491</v>
      </c>
      <c r="J84" t="s">
        <v>492</v>
      </c>
      <c r="K84" t="s">
        <v>493</v>
      </c>
      <c r="L84" t="s">
        <v>494</v>
      </c>
      <c r="M84" t="s">
        <v>495</v>
      </c>
      <c r="N84">
        <v>1</v>
      </c>
      <c r="O84">
        <v>241</v>
      </c>
      <c r="P84" t="s">
        <v>496</v>
      </c>
      <c r="Q84" t="s">
        <v>172</v>
      </c>
      <c r="R84" t="s">
        <v>497</v>
      </c>
      <c r="S84" t="s">
        <v>498</v>
      </c>
      <c r="T84">
        <v>0</v>
      </c>
      <c r="U84">
        <v>0</v>
      </c>
      <c r="W84" t="s">
        <v>97</v>
      </c>
      <c r="X84" t="s">
        <v>499</v>
      </c>
      <c r="Y84">
        <v>1191</v>
      </c>
      <c r="Z84">
        <v>1192</v>
      </c>
      <c r="AA84">
        <v>12.4</v>
      </c>
      <c r="AB84">
        <v>12.2</v>
      </c>
      <c r="AC84">
        <v>12</v>
      </c>
      <c r="AD84">
        <v>197</v>
      </c>
      <c r="AE84" t="s">
        <v>500</v>
      </c>
      <c r="AF84">
        <v>2</v>
      </c>
      <c r="AG84">
        <v>350</v>
      </c>
      <c r="AH84">
        <v>250</v>
      </c>
      <c r="AI84">
        <v>235</v>
      </c>
      <c r="AJ84">
        <v>145</v>
      </c>
      <c r="AK84">
        <v>68</v>
      </c>
      <c r="AM84" t="s">
        <v>501</v>
      </c>
      <c r="AN84">
        <v>0</v>
      </c>
      <c r="AO84">
        <v>0</v>
      </c>
      <c r="AP84">
        <v>2</v>
      </c>
      <c r="AQ84">
        <v>1</v>
      </c>
      <c r="AR84">
        <v>2</v>
      </c>
      <c r="AS84" t="s">
        <v>80</v>
      </c>
      <c r="AW84" t="s">
        <v>82</v>
      </c>
      <c r="AX84" t="s">
        <v>191</v>
      </c>
      <c r="AY84">
        <v>45</v>
      </c>
      <c r="AZ84">
        <v>5.2222222222222223</v>
      </c>
      <c r="BA84">
        <v>87500</v>
      </c>
      <c r="BB84">
        <v>34075</v>
      </c>
      <c r="BC84">
        <v>0.3894285714285714</v>
      </c>
      <c r="BD84">
        <v>49.019607843137258</v>
      </c>
      <c r="BE84">
        <v>7.3529411764705888</v>
      </c>
      <c r="BF84">
        <v>0.82989690721649489</v>
      </c>
      <c r="BG84">
        <v>9</v>
      </c>
      <c r="BH84">
        <v>5.2222222222222223</v>
      </c>
      <c r="BI84">
        <v>0.17010309278350511</v>
      </c>
    </row>
    <row r="85" spans="1:61" x14ac:dyDescent="0.2">
      <c r="A85">
        <v>303</v>
      </c>
      <c r="B85" t="s">
        <v>409</v>
      </c>
      <c r="C85" t="s">
        <v>62</v>
      </c>
      <c r="D85" t="s">
        <v>62</v>
      </c>
      <c r="E85" t="s">
        <v>62</v>
      </c>
      <c r="F85" t="s">
        <v>62</v>
      </c>
      <c r="G85" t="s">
        <v>104</v>
      </c>
      <c r="H85" t="s">
        <v>410</v>
      </c>
      <c r="I85" t="s">
        <v>411</v>
      </c>
      <c r="J85" t="s">
        <v>412</v>
      </c>
      <c r="K85" t="s">
        <v>413</v>
      </c>
      <c r="L85" t="s">
        <v>124</v>
      </c>
      <c r="M85" t="s">
        <v>125</v>
      </c>
      <c r="N85">
        <v>1</v>
      </c>
      <c r="O85">
        <v>208</v>
      </c>
      <c r="P85" t="s">
        <v>414</v>
      </c>
      <c r="Q85" t="s">
        <v>415</v>
      </c>
      <c r="R85" t="s">
        <v>416</v>
      </c>
      <c r="S85" t="s">
        <v>417</v>
      </c>
      <c r="T85">
        <v>1</v>
      </c>
      <c r="U85">
        <v>0</v>
      </c>
      <c r="V85" t="s">
        <v>418</v>
      </c>
      <c r="W85" t="s">
        <v>131</v>
      </c>
      <c r="X85" t="s">
        <v>419</v>
      </c>
      <c r="Y85">
        <v>1192</v>
      </c>
      <c r="Z85">
        <v>1202</v>
      </c>
      <c r="AA85">
        <v>12.4</v>
      </c>
      <c r="AB85">
        <v>12.2</v>
      </c>
      <c r="AC85">
        <v>12</v>
      </c>
      <c r="AD85">
        <v>227</v>
      </c>
      <c r="AE85" t="s">
        <v>420</v>
      </c>
      <c r="AF85">
        <v>1</v>
      </c>
      <c r="AG85">
        <v>255</v>
      </c>
      <c r="AH85">
        <v>235</v>
      </c>
      <c r="AI85">
        <v>240</v>
      </c>
      <c r="AJ85">
        <v>160</v>
      </c>
      <c r="AK85">
        <v>160</v>
      </c>
      <c r="AL85" t="s">
        <v>421</v>
      </c>
      <c r="AM85" t="s">
        <v>422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80</v>
      </c>
      <c r="AT85">
        <v>51.2</v>
      </c>
      <c r="AU85">
        <v>-0.65</v>
      </c>
      <c r="AW85" t="s">
        <v>82</v>
      </c>
      <c r="AX85" t="s">
        <v>83</v>
      </c>
      <c r="AY85">
        <v>20</v>
      </c>
      <c r="AZ85">
        <v>12</v>
      </c>
      <c r="BA85">
        <v>59925</v>
      </c>
      <c r="BB85">
        <v>38400</v>
      </c>
      <c r="BC85">
        <v>0.64080100125156447</v>
      </c>
      <c r="BD85">
        <v>23.125</v>
      </c>
      <c r="BE85">
        <v>2.083333333333333</v>
      </c>
      <c r="BF85">
        <v>0.84825493171471866</v>
      </c>
      <c r="BG85">
        <v>0</v>
      </c>
      <c r="BH85">
        <v>12</v>
      </c>
      <c r="BI85">
        <v>0.15174506828528131</v>
      </c>
    </row>
    <row r="86" spans="1:61" x14ac:dyDescent="0.2">
      <c r="A86">
        <v>297</v>
      </c>
      <c r="B86" t="s">
        <v>582</v>
      </c>
      <c r="C86" t="s">
        <v>63</v>
      </c>
      <c r="D86" t="s">
        <v>63</v>
      </c>
      <c r="E86" t="s">
        <v>62</v>
      </c>
      <c r="F86" t="s">
        <v>63</v>
      </c>
      <c r="G86" t="s">
        <v>62</v>
      </c>
      <c r="H86" t="s">
        <v>583</v>
      </c>
      <c r="I86" t="s">
        <v>584</v>
      </c>
      <c r="J86" t="s">
        <v>585</v>
      </c>
      <c r="K86" t="s">
        <v>586</v>
      </c>
      <c r="L86" t="s">
        <v>587</v>
      </c>
      <c r="M86" t="s">
        <v>69</v>
      </c>
      <c r="N86">
        <v>1</v>
      </c>
      <c r="O86">
        <v>268</v>
      </c>
      <c r="P86" t="s">
        <v>588</v>
      </c>
      <c r="Q86" t="s">
        <v>589</v>
      </c>
      <c r="R86" t="s">
        <v>590</v>
      </c>
      <c r="S86" t="s">
        <v>591</v>
      </c>
      <c r="T86">
        <v>1</v>
      </c>
      <c r="U86">
        <v>1</v>
      </c>
      <c r="V86" t="s">
        <v>592</v>
      </c>
      <c r="W86" t="s">
        <v>97</v>
      </c>
      <c r="X86" t="s">
        <v>593</v>
      </c>
      <c r="Y86">
        <v>1192</v>
      </c>
      <c r="Z86">
        <v>1198</v>
      </c>
      <c r="AA86">
        <v>12.4</v>
      </c>
      <c r="AB86">
        <v>12.2</v>
      </c>
      <c r="AC86">
        <v>12</v>
      </c>
      <c r="AD86">
        <v>43</v>
      </c>
      <c r="AE86" t="s">
        <v>594</v>
      </c>
      <c r="AF86">
        <v>1</v>
      </c>
      <c r="AG86">
        <v>220</v>
      </c>
      <c r="AH86">
        <v>168</v>
      </c>
      <c r="AI86">
        <v>164</v>
      </c>
      <c r="AJ86">
        <v>85</v>
      </c>
      <c r="AK86">
        <v>85</v>
      </c>
      <c r="AL86" t="s">
        <v>165</v>
      </c>
      <c r="AM86" t="s">
        <v>595</v>
      </c>
      <c r="AN86">
        <v>0</v>
      </c>
      <c r="AO86">
        <v>0</v>
      </c>
      <c r="AP86">
        <v>0</v>
      </c>
      <c r="AQ86">
        <v>1</v>
      </c>
      <c r="AR86">
        <v>0</v>
      </c>
      <c r="AS86" t="s">
        <v>538</v>
      </c>
      <c r="AT86">
        <v>51.06</v>
      </c>
      <c r="AU86">
        <v>-1.3129999999999999</v>
      </c>
      <c r="AV86" t="s">
        <v>166</v>
      </c>
      <c r="AW86" t="s">
        <v>82</v>
      </c>
      <c r="AX86" t="s">
        <v>83</v>
      </c>
      <c r="AY86">
        <v>28.5</v>
      </c>
      <c r="AZ86">
        <v>5.7543859649122808</v>
      </c>
      <c r="BA86">
        <v>36960</v>
      </c>
      <c r="BB86">
        <v>13940</v>
      </c>
      <c r="BC86">
        <v>0.37716450216450209</v>
      </c>
      <c r="BD86">
        <v>66.274509803921561</v>
      </c>
      <c r="BE86">
        <v>5.4901960784313726</v>
      </c>
      <c r="BF86">
        <v>0.84457871769050008</v>
      </c>
      <c r="BG86">
        <v>0</v>
      </c>
      <c r="BH86">
        <v>5.7543859649122808</v>
      </c>
      <c r="BI86">
        <v>0.15542128230949989</v>
      </c>
    </row>
    <row r="87" spans="1:61" x14ac:dyDescent="0.2">
      <c r="A87">
        <v>286</v>
      </c>
      <c r="B87" t="s">
        <v>1090</v>
      </c>
      <c r="C87" t="s">
        <v>62</v>
      </c>
      <c r="D87" t="s">
        <v>62</v>
      </c>
      <c r="E87" t="s">
        <v>62</v>
      </c>
      <c r="F87" t="s">
        <v>63</v>
      </c>
      <c r="G87" t="s">
        <v>104</v>
      </c>
      <c r="H87" t="s">
        <v>1091</v>
      </c>
      <c r="I87" t="s">
        <v>1092</v>
      </c>
      <c r="J87" t="s">
        <v>1093</v>
      </c>
      <c r="K87" t="s">
        <v>1094</v>
      </c>
      <c r="L87" t="s">
        <v>1095</v>
      </c>
      <c r="M87" t="s">
        <v>495</v>
      </c>
      <c r="N87">
        <v>1</v>
      </c>
      <c r="O87">
        <v>1248</v>
      </c>
      <c r="P87" t="s">
        <v>1096</v>
      </c>
      <c r="Q87" t="s">
        <v>970</v>
      </c>
      <c r="R87" t="s">
        <v>1097</v>
      </c>
      <c r="S87" t="s">
        <v>1098</v>
      </c>
      <c r="T87">
        <v>1</v>
      </c>
      <c r="U87">
        <v>1</v>
      </c>
      <c r="V87" t="s">
        <v>973</v>
      </c>
      <c r="W87" t="s">
        <v>97</v>
      </c>
      <c r="X87" t="s">
        <v>1099</v>
      </c>
      <c r="Y87">
        <v>1192</v>
      </c>
      <c r="Z87">
        <v>1193</v>
      </c>
      <c r="AA87">
        <v>12.4</v>
      </c>
      <c r="AB87">
        <v>12.2</v>
      </c>
      <c r="AC87">
        <v>12</v>
      </c>
      <c r="AD87">
        <v>178</v>
      </c>
      <c r="AE87" t="s">
        <v>241</v>
      </c>
      <c r="AF87">
        <v>2</v>
      </c>
      <c r="AG87">
        <v>280</v>
      </c>
      <c r="AH87">
        <v>190</v>
      </c>
      <c r="AI87">
        <v>235</v>
      </c>
      <c r="AJ87">
        <v>110</v>
      </c>
      <c r="AL87" t="s">
        <v>976</v>
      </c>
      <c r="AM87" t="s">
        <v>79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978</v>
      </c>
      <c r="AT87">
        <v>53.191000000000003</v>
      </c>
      <c r="AU87">
        <v>-2.8919999999999999</v>
      </c>
      <c r="AV87" t="s">
        <v>244</v>
      </c>
      <c r="AW87" t="s">
        <v>82</v>
      </c>
      <c r="AX87" t="s">
        <v>191</v>
      </c>
      <c r="AY87">
        <v>40</v>
      </c>
      <c r="AZ87">
        <v>5.875</v>
      </c>
      <c r="BA87">
        <v>53200</v>
      </c>
      <c r="BB87">
        <v>25850</v>
      </c>
      <c r="BC87">
        <v>0.48590225563909772</v>
      </c>
      <c r="BF87">
        <v>0.8879310344827589</v>
      </c>
      <c r="BH87">
        <v>5.875</v>
      </c>
      <c r="BI87">
        <v>0.1120689655172411</v>
      </c>
    </row>
    <row r="88" spans="1:61" x14ac:dyDescent="0.2">
      <c r="A88">
        <v>289</v>
      </c>
      <c r="B88" t="s">
        <v>644</v>
      </c>
      <c r="C88" t="s">
        <v>62</v>
      </c>
      <c r="D88" t="s">
        <v>62</v>
      </c>
      <c r="E88" t="s">
        <v>62</v>
      </c>
      <c r="F88" t="s">
        <v>62</v>
      </c>
      <c r="G88" t="s">
        <v>105</v>
      </c>
      <c r="H88" t="s">
        <v>645</v>
      </c>
      <c r="I88" t="s">
        <v>646</v>
      </c>
      <c r="J88" t="s">
        <v>647</v>
      </c>
      <c r="K88" t="s">
        <v>648</v>
      </c>
      <c r="L88" t="s">
        <v>649</v>
      </c>
      <c r="M88" t="s">
        <v>518</v>
      </c>
      <c r="N88">
        <v>1</v>
      </c>
      <c r="O88">
        <v>290</v>
      </c>
      <c r="P88" t="s">
        <v>650</v>
      </c>
      <c r="Q88" t="s">
        <v>362</v>
      </c>
      <c r="R88" t="s">
        <v>651</v>
      </c>
      <c r="S88" t="s">
        <v>652</v>
      </c>
      <c r="T88">
        <v>1</v>
      </c>
      <c r="U88">
        <v>1</v>
      </c>
      <c r="V88" t="s">
        <v>254</v>
      </c>
      <c r="W88" t="s">
        <v>97</v>
      </c>
      <c r="X88" t="s">
        <v>653</v>
      </c>
      <c r="Y88">
        <v>1193</v>
      </c>
      <c r="Z88">
        <v>1194</v>
      </c>
      <c r="AA88">
        <v>12.4</v>
      </c>
      <c r="AB88">
        <v>12.2</v>
      </c>
      <c r="AC88">
        <v>12</v>
      </c>
      <c r="AD88">
        <v>17</v>
      </c>
      <c r="AE88" t="s">
        <v>654</v>
      </c>
      <c r="AF88">
        <v>1</v>
      </c>
      <c r="AG88">
        <v>191</v>
      </c>
      <c r="AH88">
        <v>140</v>
      </c>
      <c r="AI88">
        <v>151</v>
      </c>
      <c r="AJ88">
        <v>103</v>
      </c>
      <c r="AK88">
        <v>103</v>
      </c>
      <c r="AL88" t="s">
        <v>256</v>
      </c>
      <c r="AM88" t="s">
        <v>655</v>
      </c>
      <c r="AN88">
        <v>0</v>
      </c>
      <c r="AO88">
        <v>1</v>
      </c>
      <c r="AP88">
        <v>0</v>
      </c>
      <c r="AQ88">
        <v>0</v>
      </c>
      <c r="AR88">
        <v>2</v>
      </c>
      <c r="AS88" t="s">
        <v>538</v>
      </c>
      <c r="AT88">
        <v>51.280999999999999</v>
      </c>
      <c r="AU88">
        <v>1.081</v>
      </c>
      <c r="AV88" t="s">
        <v>166</v>
      </c>
      <c r="AW88" t="s">
        <v>82</v>
      </c>
      <c r="AX88" t="s">
        <v>83</v>
      </c>
      <c r="AY88">
        <v>44</v>
      </c>
      <c r="AZ88">
        <v>3.4318181818181821</v>
      </c>
      <c r="BA88">
        <v>26740</v>
      </c>
      <c r="BB88">
        <v>15553</v>
      </c>
      <c r="BC88">
        <v>0.58163799551234108</v>
      </c>
      <c r="BD88">
        <v>61.165048543689323</v>
      </c>
      <c r="BE88">
        <v>6.7961165048543686</v>
      </c>
      <c r="BF88">
        <v>0.81040056511968583</v>
      </c>
      <c r="BG88">
        <v>0</v>
      </c>
      <c r="BH88">
        <v>3.4318181818181821</v>
      </c>
      <c r="BI88">
        <v>0.18959943488031419</v>
      </c>
    </row>
    <row r="89" spans="1:61" x14ac:dyDescent="0.2">
      <c r="A89">
        <v>292</v>
      </c>
      <c r="B89" t="s">
        <v>963</v>
      </c>
      <c r="C89" t="s">
        <v>63</v>
      </c>
      <c r="D89" t="s">
        <v>62</v>
      </c>
      <c r="E89" t="s">
        <v>62</v>
      </c>
      <c r="F89" t="s">
        <v>62</v>
      </c>
      <c r="G89" t="s">
        <v>104</v>
      </c>
      <c r="H89" t="s">
        <v>964</v>
      </c>
      <c r="I89" t="s">
        <v>965</v>
      </c>
      <c r="J89" t="s">
        <v>966</v>
      </c>
      <c r="K89" t="s">
        <v>967</v>
      </c>
      <c r="L89" t="s">
        <v>968</v>
      </c>
      <c r="M89" t="s">
        <v>69</v>
      </c>
      <c r="N89">
        <v>1</v>
      </c>
      <c r="O89">
        <v>1171</v>
      </c>
      <c r="P89" t="s">
        <v>969</v>
      </c>
      <c r="Q89" t="s">
        <v>970</v>
      </c>
      <c r="R89" t="s">
        <v>971</v>
      </c>
      <c r="S89" t="s">
        <v>972</v>
      </c>
      <c r="T89">
        <v>1</v>
      </c>
      <c r="U89">
        <v>1</v>
      </c>
      <c r="V89" t="s">
        <v>973</v>
      </c>
      <c r="W89" t="s">
        <v>97</v>
      </c>
      <c r="X89" t="s">
        <v>974</v>
      </c>
      <c r="Y89">
        <v>1194</v>
      </c>
      <c r="Z89">
        <v>1194</v>
      </c>
      <c r="AA89">
        <v>12.4</v>
      </c>
      <c r="AB89">
        <v>12.2</v>
      </c>
      <c r="AC89">
        <v>12</v>
      </c>
      <c r="AD89">
        <v>198</v>
      </c>
      <c r="AE89" t="s">
        <v>975</v>
      </c>
      <c r="AF89">
        <v>1</v>
      </c>
      <c r="AG89">
        <v>154</v>
      </c>
      <c r="AH89">
        <v>112</v>
      </c>
      <c r="AI89">
        <v>115</v>
      </c>
      <c r="AJ89">
        <v>80</v>
      </c>
      <c r="AK89">
        <v>80</v>
      </c>
      <c r="AL89" t="s">
        <v>976</v>
      </c>
      <c r="AM89" t="s">
        <v>977</v>
      </c>
      <c r="AN89">
        <v>0</v>
      </c>
      <c r="AO89">
        <v>0</v>
      </c>
      <c r="AP89">
        <v>0</v>
      </c>
      <c r="AQ89">
        <v>1</v>
      </c>
      <c r="AR89">
        <v>2</v>
      </c>
      <c r="AS89" t="s">
        <v>978</v>
      </c>
      <c r="AT89">
        <v>53.191000000000003</v>
      </c>
      <c r="AU89">
        <v>-2.8919999999999999</v>
      </c>
      <c r="AV89" t="s">
        <v>244</v>
      </c>
      <c r="AW89" t="s">
        <v>82</v>
      </c>
      <c r="AX89" t="s">
        <v>83</v>
      </c>
      <c r="AY89">
        <v>25.5</v>
      </c>
      <c r="AZ89">
        <v>4.5098039215686274</v>
      </c>
      <c r="BA89">
        <v>17248</v>
      </c>
      <c r="BB89">
        <v>9200</v>
      </c>
      <c r="BC89">
        <v>0.53339517625231914</v>
      </c>
      <c r="BD89">
        <v>47.916666666666671</v>
      </c>
      <c r="BE89">
        <v>2.5</v>
      </c>
      <c r="BF89">
        <v>0.90156193243734106</v>
      </c>
      <c r="BG89">
        <v>0</v>
      </c>
      <c r="BH89">
        <v>4.5098039215686274</v>
      </c>
      <c r="BI89">
        <v>9.8438067562658937E-2</v>
      </c>
    </row>
    <row r="90" spans="1:61" x14ac:dyDescent="0.2">
      <c r="A90">
        <v>295</v>
      </c>
      <c r="B90" t="s">
        <v>103</v>
      </c>
      <c r="C90" t="s">
        <v>104</v>
      </c>
      <c r="D90" t="s">
        <v>104</v>
      </c>
      <c r="E90" t="s">
        <v>62</v>
      </c>
      <c r="F90" t="s">
        <v>104</v>
      </c>
      <c r="G90" t="s">
        <v>105</v>
      </c>
      <c r="H90" t="s">
        <v>106</v>
      </c>
      <c r="I90" t="s">
        <v>107</v>
      </c>
      <c r="J90" t="s">
        <v>108</v>
      </c>
      <c r="K90" t="s">
        <v>109</v>
      </c>
      <c r="L90" t="s">
        <v>110</v>
      </c>
      <c r="M90" t="s">
        <v>69</v>
      </c>
      <c r="N90">
        <v>1</v>
      </c>
      <c r="O90">
        <v>123</v>
      </c>
      <c r="P90" t="s">
        <v>111</v>
      </c>
      <c r="Q90" t="s">
        <v>112</v>
      </c>
      <c r="R90" t="s">
        <v>113</v>
      </c>
      <c r="S90" t="s">
        <v>114</v>
      </c>
      <c r="T90">
        <v>1</v>
      </c>
      <c r="U90">
        <v>0</v>
      </c>
      <c r="V90" t="s">
        <v>115</v>
      </c>
      <c r="W90" t="s">
        <v>97</v>
      </c>
      <c r="X90" t="s">
        <v>116</v>
      </c>
      <c r="Y90">
        <v>1195</v>
      </c>
      <c r="Z90">
        <v>1195</v>
      </c>
      <c r="AA90">
        <v>12.4</v>
      </c>
      <c r="AB90">
        <v>12.2</v>
      </c>
      <c r="AC90">
        <v>12</v>
      </c>
      <c r="AD90">
        <v>43</v>
      </c>
      <c r="AE90" t="s">
        <v>117</v>
      </c>
      <c r="AF90">
        <v>1</v>
      </c>
      <c r="AG90">
        <v>413</v>
      </c>
      <c r="AH90">
        <v>293</v>
      </c>
      <c r="AI90">
        <v>310</v>
      </c>
      <c r="AJ90">
        <v>223</v>
      </c>
      <c r="AK90">
        <v>223</v>
      </c>
      <c r="AL90" t="s">
        <v>118</v>
      </c>
      <c r="AN90">
        <v>0</v>
      </c>
      <c r="AO90">
        <v>0</v>
      </c>
      <c r="AP90">
        <v>0</v>
      </c>
      <c r="AQ90">
        <v>0</v>
      </c>
      <c r="AR90">
        <v>0</v>
      </c>
      <c r="AS90" t="s">
        <v>80</v>
      </c>
      <c r="AT90">
        <v>51.507399999999997</v>
      </c>
      <c r="AU90">
        <v>-0.1278</v>
      </c>
      <c r="AV90" t="s">
        <v>101</v>
      </c>
      <c r="AW90" t="s">
        <v>82</v>
      </c>
      <c r="AX90" t="s">
        <v>83</v>
      </c>
      <c r="AY90">
        <v>41.5</v>
      </c>
      <c r="AZ90">
        <v>7.4698795180722888</v>
      </c>
      <c r="BA90">
        <v>121009</v>
      </c>
      <c r="BB90">
        <v>69130</v>
      </c>
      <c r="BC90">
        <v>0.57127982216198792</v>
      </c>
      <c r="BD90">
        <v>13.153961136023909</v>
      </c>
      <c r="BE90">
        <v>0.89686098654708524</v>
      </c>
      <c r="BF90">
        <v>0.9149453219927095</v>
      </c>
      <c r="BG90">
        <v>0</v>
      </c>
      <c r="BH90">
        <v>7.4698795180722888</v>
      </c>
      <c r="BI90">
        <v>8.5054678007290496E-2</v>
      </c>
    </row>
    <row r="91" spans="1:61" x14ac:dyDescent="0.2">
      <c r="A91">
        <v>331</v>
      </c>
      <c r="B91" t="s">
        <v>881</v>
      </c>
      <c r="C91" t="s">
        <v>62</v>
      </c>
      <c r="D91" t="s">
        <v>62</v>
      </c>
      <c r="E91" t="s">
        <v>62</v>
      </c>
      <c r="F91" t="s">
        <v>62</v>
      </c>
      <c r="G91" t="s">
        <v>104</v>
      </c>
      <c r="H91" t="s">
        <v>882</v>
      </c>
      <c r="I91" t="s">
        <v>883</v>
      </c>
      <c r="J91" t="s">
        <v>884</v>
      </c>
      <c r="K91" t="s">
        <v>885</v>
      </c>
      <c r="L91" t="s">
        <v>886</v>
      </c>
      <c r="M91" t="s">
        <v>125</v>
      </c>
      <c r="N91">
        <v>1</v>
      </c>
      <c r="O91">
        <v>1078</v>
      </c>
      <c r="P91" t="s">
        <v>887</v>
      </c>
      <c r="Q91" t="s">
        <v>888</v>
      </c>
      <c r="R91" t="s">
        <v>889</v>
      </c>
      <c r="S91" t="s">
        <v>890</v>
      </c>
      <c r="T91">
        <v>1</v>
      </c>
      <c r="U91">
        <v>1</v>
      </c>
      <c r="V91" t="s">
        <v>891</v>
      </c>
      <c r="W91" t="s">
        <v>75</v>
      </c>
      <c r="X91" t="s">
        <v>892</v>
      </c>
      <c r="Y91">
        <v>1197</v>
      </c>
      <c r="Z91">
        <v>1220</v>
      </c>
      <c r="AA91">
        <v>13.1</v>
      </c>
      <c r="AB91">
        <v>13.1</v>
      </c>
      <c r="AC91">
        <v>13</v>
      </c>
      <c r="AD91">
        <v>196</v>
      </c>
      <c r="AE91" t="s">
        <v>893</v>
      </c>
      <c r="AF91">
        <v>1</v>
      </c>
      <c r="AG91">
        <v>320</v>
      </c>
      <c r="AH91">
        <v>225</v>
      </c>
      <c r="AI91">
        <v>245</v>
      </c>
      <c r="AJ91">
        <v>150</v>
      </c>
      <c r="AK91">
        <v>150</v>
      </c>
      <c r="AL91" t="s">
        <v>894</v>
      </c>
      <c r="AM91" t="s">
        <v>895</v>
      </c>
      <c r="AN91">
        <v>0</v>
      </c>
      <c r="AO91">
        <v>0</v>
      </c>
      <c r="AP91">
        <v>2</v>
      </c>
      <c r="AQ91">
        <v>3</v>
      </c>
      <c r="AR91">
        <v>2</v>
      </c>
      <c r="AS91" t="s">
        <v>859</v>
      </c>
      <c r="AT91">
        <v>51.468000000000004</v>
      </c>
      <c r="AU91">
        <v>0.10299999999999999</v>
      </c>
      <c r="AV91" t="s">
        <v>101</v>
      </c>
      <c r="AW91" t="s">
        <v>82</v>
      </c>
      <c r="AX91" t="s">
        <v>83</v>
      </c>
      <c r="AY91">
        <v>30</v>
      </c>
      <c r="AZ91">
        <v>8.1666666666666661</v>
      </c>
      <c r="BA91">
        <v>72000</v>
      </c>
      <c r="BB91">
        <v>36750</v>
      </c>
      <c r="BC91">
        <v>0.51041666666666663</v>
      </c>
      <c r="BD91">
        <v>21.555555555555561</v>
      </c>
      <c r="BE91">
        <v>0.66666666666666674</v>
      </c>
      <c r="BF91">
        <v>0.91848095002474039</v>
      </c>
      <c r="BG91">
        <v>0</v>
      </c>
      <c r="BH91">
        <v>8.1666666666666661</v>
      </c>
      <c r="BI91">
        <v>8.1519049975259605E-2</v>
      </c>
    </row>
    <row r="92" spans="1:61" x14ac:dyDescent="0.2">
      <c r="A92">
        <v>306</v>
      </c>
      <c r="B92" t="s">
        <v>178</v>
      </c>
      <c r="C92" t="s">
        <v>104</v>
      </c>
      <c r="D92" t="s">
        <v>104</v>
      </c>
      <c r="E92" t="s">
        <v>62</v>
      </c>
      <c r="F92" t="s">
        <v>179</v>
      </c>
      <c r="G92" t="s">
        <v>105</v>
      </c>
      <c r="H92" t="s">
        <v>180</v>
      </c>
      <c r="I92" t="s">
        <v>181</v>
      </c>
      <c r="J92" t="s">
        <v>182</v>
      </c>
      <c r="K92" t="s">
        <v>183</v>
      </c>
      <c r="L92" t="s">
        <v>184</v>
      </c>
      <c r="M92" t="s">
        <v>69</v>
      </c>
      <c r="N92">
        <v>1</v>
      </c>
      <c r="O92">
        <v>140</v>
      </c>
      <c r="P92" t="s">
        <v>185</v>
      </c>
      <c r="Q92" t="s">
        <v>172</v>
      </c>
      <c r="R92" t="s">
        <v>186</v>
      </c>
      <c r="S92" t="s">
        <v>187</v>
      </c>
      <c r="T92">
        <v>0</v>
      </c>
      <c r="U92">
        <v>0</v>
      </c>
      <c r="X92" t="s">
        <v>188</v>
      </c>
      <c r="Y92">
        <v>1198</v>
      </c>
      <c r="Z92">
        <v>1198</v>
      </c>
      <c r="AA92">
        <v>12.4</v>
      </c>
      <c r="AB92">
        <v>12.2</v>
      </c>
      <c r="AC92">
        <v>12</v>
      </c>
      <c r="AD92">
        <v>156</v>
      </c>
      <c r="AE92" t="s">
        <v>189</v>
      </c>
      <c r="AF92">
        <v>2</v>
      </c>
      <c r="AG92">
        <v>400</v>
      </c>
      <c r="AH92">
        <v>287</v>
      </c>
      <c r="AI92">
        <v>302</v>
      </c>
      <c r="AJ92">
        <v>196</v>
      </c>
      <c r="AK92">
        <v>85</v>
      </c>
      <c r="AM92" t="s">
        <v>190</v>
      </c>
      <c r="AN92">
        <v>0</v>
      </c>
      <c r="AO92">
        <v>0</v>
      </c>
      <c r="AP92">
        <v>0</v>
      </c>
      <c r="AQ92">
        <v>1</v>
      </c>
      <c r="AR92">
        <v>2</v>
      </c>
      <c r="AS92" t="s">
        <v>80</v>
      </c>
      <c r="AW92" t="s">
        <v>82</v>
      </c>
      <c r="AX92" t="s">
        <v>191</v>
      </c>
      <c r="AY92">
        <v>41</v>
      </c>
      <c r="AZ92">
        <v>7.3658536585365857</v>
      </c>
      <c r="BA92">
        <v>114800</v>
      </c>
      <c r="BB92">
        <v>59192</v>
      </c>
      <c r="BC92">
        <v>0.51560975609756099</v>
      </c>
      <c r="BD92">
        <v>38.039215686274517</v>
      </c>
      <c r="BE92">
        <v>6.2745098039215694</v>
      </c>
      <c r="BF92">
        <v>0.89250353606789234</v>
      </c>
      <c r="BG92">
        <v>26</v>
      </c>
      <c r="BH92">
        <v>7.3658536585365857</v>
      </c>
      <c r="BI92">
        <v>0.1074964639321077</v>
      </c>
    </row>
    <row r="93" spans="1:61" x14ac:dyDescent="0.2">
      <c r="A93">
        <v>334</v>
      </c>
      <c r="B93" t="s">
        <v>896</v>
      </c>
      <c r="C93" t="s">
        <v>62</v>
      </c>
      <c r="D93" t="s">
        <v>104</v>
      </c>
      <c r="E93" t="s">
        <v>62</v>
      </c>
      <c r="F93" t="s">
        <v>62</v>
      </c>
      <c r="G93" t="s">
        <v>62</v>
      </c>
      <c r="H93" t="s">
        <v>897</v>
      </c>
      <c r="I93" t="s">
        <v>898</v>
      </c>
      <c r="J93" t="s">
        <v>899</v>
      </c>
      <c r="K93" t="s">
        <v>900</v>
      </c>
      <c r="L93" t="s">
        <v>901</v>
      </c>
      <c r="M93" t="s">
        <v>429</v>
      </c>
      <c r="N93">
        <v>1</v>
      </c>
      <c r="O93">
        <v>1084</v>
      </c>
      <c r="P93" t="s">
        <v>902</v>
      </c>
      <c r="Q93" t="s">
        <v>903</v>
      </c>
      <c r="R93" t="s">
        <v>904</v>
      </c>
      <c r="S93" t="s">
        <v>905</v>
      </c>
      <c r="T93">
        <v>1</v>
      </c>
      <c r="U93">
        <v>1</v>
      </c>
      <c r="V93" t="s">
        <v>115</v>
      </c>
      <c r="W93" t="s">
        <v>75</v>
      </c>
      <c r="X93" t="s">
        <v>906</v>
      </c>
      <c r="Y93">
        <v>1200</v>
      </c>
      <c r="Z93">
        <v>1221</v>
      </c>
      <c r="AA93">
        <v>13.1</v>
      </c>
      <c r="AB93">
        <v>13.1</v>
      </c>
      <c r="AC93">
        <v>13</v>
      </c>
      <c r="AD93">
        <v>465</v>
      </c>
      <c r="AE93" t="s">
        <v>907</v>
      </c>
      <c r="AF93">
        <v>2</v>
      </c>
      <c r="AG93">
        <v>353</v>
      </c>
      <c r="AH93">
        <v>230</v>
      </c>
      <c r="AI93">
        <v>275</v>
      </c>
      <c r="AJ93">
        <v>175</v>
      </c>
      <c r="AK93">
        <v>74</v>
      </c>
      <c r="AL93" t="s">
        <v>118</v>
      </c>
      <c r="AM93" t="s">
        <v>908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859</v>
      </c>
      <c r="AT93">
        <v>51.507399999999997</v>
      </c>
      <c r="AU93">
        <v>-0.1278</v>
      </c>
      <c r="AV93" t="s">
        <v>101</v>
      </c>
      <c r="AW93" t="s">
        <v>82</v>
      </c>
      <c r="AX93" t="s">
        <v>191</v>
      </c>
      <c r="AY93">
        <v>39</v>
      </c>
      <c r="AZ93">
        <v>7.0512820512820511</v>
      </c>
      <c r="BA93">
        <v>81190</v>
      </c>
      <c r="BB93">
        <v>48125</v>
      </c>
      <c r="BC93">
        <v>0.59274541199655129</v>
      </c>
      <c r="BD93">
        <v>48.198198198198192</v>
      </c>
      <c r="BE93">
        <v>5.180180180180181</v>
      </c>
      <c r="BF93">
        <v>0.86334567485695102</v>
      </c>
      <c r="BG93">
        <v>27</v>
      </c>
      <c r="BH93">
        <v>7.0512820512820511</v>
      </c>
      <c r="BI93">
        <v>0.13665432514304901</v>
      </c>
    </row>
    <row r="94" spans="1:61" x14ac:dyDescent="0.2">
      <c r="A94">
        <v>320</v>
      </c>
      <c r="B94" t="s">
        <v>941</v>
      </c>
      <c r="C94" t="s">
        <v>62</v>
      </c>
      <c r="D94" t="s">
        <v>62</v>
      </c>
      <c r="E94" t="s">
        <v>62</v>
      </c>
      <c r="F94" t="s">
        <v>62</v>
      </c>
      <c r="G94" t="s">
        <v>104</v>
      </c>
      <c r="H94" t="s">
        <v>942</v>
      </c>
      <c r="I94" t="s">
        <v>943</v>
      </c>
      <c r="J94" t="s">
        <v>944</v>
      </c>
      <c r="K94" t="s">
        <v>945</v>
      </c>
      <c r="L94" t="s">
        <v>946</v>
      </c>
      <c r="M94" t="s">
        <v>518</v>
      </c>
      <c r="N94">
        <v>1</v>
      </c>
      <c r="O94">
        <v>1091</v>
      </c>
      <c r="P94" t="s">
        <v>947</v>
      </c>
      <c r="Q94" t="s">
        <v>362</v>
      </c>
      <c r="R94" t="s">
        <v>948</v>
      </c>
      <c r="S94" t="s">
        <v>949</v>
      </c>
      <c r="T94">
        <v>1</v>
      </c>
      <c r="U94">
        <v>1</v>
      </c>
      <c r="V94" t="s">
        <v>254</v>
      </c>
      <c r="W94" t="s">
        <v>97</v>
      </c>
      <c r="X94" t="s">
        <v>950</v>
      </c>
      <c r="Y94">
        <v>1201</v>
      </c>
      <c r="Z94">
        <v>1205</v>
      </c>
      <c r="AA94">
        <v>13.1</v>
      </c>
      <c r="AB94">
        <v>13.1</v>
      </c>
      <c r="AC94">
        <v>13</v>
      </c>
      <c r="AD94">
        <v>143</v>
      </c>
      <c r="AE94" t="s">
        <v>525</v>
      </c>
      <c r="AF94">
        <v>2</v>
      </c>
      <c r="AG94">
        <v>229</v>
      </c>
      <c r="AH94">
        <v>162</v>
      </c>
      <c r="AI94">
        <v>174</v>
      </c>
      <c r="AJ94">
        <v>120</v>
      </c>
      <c r="AK94">
        <v>54</v>
      </c>
      <c r="AL94" t="s">
        <v>256</v>
      </c>
      <c r="AM94" t="s">
        <v>205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859</v>
      </c>
      <c r="AT94">
        <v>51.280999999999999</v>
      </c>
      <c r="AU94">
        <v>1.081</v>
      </c>
      <c r="AV94" t="s">
        <v>166</v>
      </c>
      <c r="AW94" t="s">
        <v>82</v>
      </c>
      <c r="AX94" t="s">
        <v>191</v>
      </c>
      <c r="AY94">
        <v>46</v>
      </c>
      <c r="AZ94">
        <v>3.7826086956521738</v>
      </c>
      <c r="BA94">
        <v>37098</v>
      </c>
      <c r="BB94">
        <v>20880</v>
      </c>
      <c r="BC94">
        <v>0.56283357593401262</v>
      </c>
      <c r="BD94">
        <v>58.024691358024697</v>
      </c>
      <c r="BE94">
        <v>7.098765432098765</v>
      </c>
      <c r="BF94">
        <v>0.88366533864541852</v>
      </c>
      <c r="BG94">
        <v>12</v>
      </c>
      <c r="BH94">
        <v>3.7826086956521738</v>
      </c>
      <c r="BI94">
        <v>0.1163346613545815</v>
      </c>
    </row>
    <row r="95" spans="1:61" x14ac:dyDescent="0.2">
      <c r="A95">
        <v>314</v>
      </c>
      <c r="B95" t="s">
        <v>451</v>
      </c>
      <c r="C95" t="s">
        <v>104</v>
      </c>
      <c r="D95" t="s">
        <v>104</v>
      </c>
      <c r="E95" t="s">
        <v>104</v>
      </c>
      <c r="F95" t="s">
        <v>104</v>
      </c>
      <c r="G95" t="s">
        <v>104</v>
      </c>
      <c r="H95" t="s">
        <v>452</v>
      </c>
      <c r="I95" t="s">
        <v>453</v>
      </c>
      <c r="J95" t="s">
        <v>454</v>
      </c>
      <c r="K95" t="s">
        <v>455</v>
      </c>
      <c r="L95" t="s">
        <v>456</v>
      </c>
      <c r="M95" t="s">
        <v>91</v>
      </c>
      <c r="N95">
        <v>1</v>
      </c>
      <c r="O95">
        <v>236</v>
      </c>
      <c r="P95" t="s">
        <v>457</v>
      </c>
      <c r="Q95" t="s">
        <v>458</v>
      </c>
      <c r="R95" t="s">
        <v>459</v>
      </c>
      <c r="S95" t="s">
        <v>460</v>
      </c>
      <c r="T95">
        <v>1</v>
      </c>
      <c r="U95">
        <v>1</v>
      </c>
      <c r="V95" t="s">
        <v>461</v>
      </c>
      <c r="W95" t="s">
        <v>97</v>
      </c>
      <c r="X95" t="s">
        <v>462</v>
      </c>
      <c r="Y95">
        <v>1202</v>
      </c>
      <c r="Z95">
        <v>1202</v>
      </c>
      <c r="AA95">
        <v>13.1</v>
      </c>
      <c r="AB95">
        <v>13.1</v>
      </c>
      <c r="AC95">
        <v>13</v>
      </c>
      <c r="AD95">
        <v>2</v>
      </c>
      <c r="AE95" t="s">
        <v>463</v>
      </c>
      <c r="AF95">
        <v>2</v>
      </c>
      <c r="AG95">
        <v>263</v>
      </c>
      <c r="AH95">
        <v>180</v>
      </c>
      <c r="AI95">
        <v>215</v>
      </c>
      <c r="AJ95">
        <v>124</v>
      </c>
      <c r="AK95">
        <v>60</v>
      </c>
      <c r="AL95" t="s">
        <v>256</v>
      </c>
      <c r="AM95" t="s">
        <v>464</v>
      </c>
      <c r="AN95">
        <v>0</v>
      </c>
      <c r="AO95">
        <v>0</v>
      </c>
      <c r="AP95">
        <v>0</v>
      </c>
      <c r="AQ95">
        <v>1</v>
      </c>
      <c r="AR95">
        <v>0</v>
      </c>
      <c r="AS95" t="s">
        <v>80</v>
      </c>
      <c r="AT95">
        <v>51.386000000000003</v>
      </c>
      <c r="AU95">
        <v>0.498</v>
      </c>
      <c r="AV95" t="s">
        <v>166</v>
      </c>
      <c r="AW95" t="s">
        <v>82</v>
      </c>
      <c r="AX95" t="s">
        <v>191</v>
      </c>
      <c r="AY95">
        <v>42</v>
      </c>
      <c r="AZ95">
        <v>5.1190476190476186</v>
      </c>
      <c r="BA95">
        <v>47340</v>
      </c>
      <c r="BB95">
        <v>26660</v>
      </c>
      <c r="BC95">
        <v>0.56316011829319812</v>
      </c>
      <c r="BD95">
        <v>38.611111111111107</v>
      </c>
      <c r="BE95">
        <v>6.3888888888888902</v>
      </c>
      <c r="BF95">
        <v>0.83333333333333337</v>
      </c>
      <c r="BG95">
        <v>4</v>
      </c>
      <c r="BH95">
        <v>5.1190476190476186</v>
      </c>
      <c r="BI95">
        <v>0.1666666666666666</v>
      </c>
    </row>
    <row r="96" spans="1:61" x14ac:dyDescent="0.2">
      <c r="A96">
        <v>327</v>
      </c>
      <c r="B96" t="s">
        <v>192</v>
      </c>
      <c r="C96" t="s">
        <v>104</v>
      </c>
      <c r="D96" t="s">
        <v>104</v>
      </c>
      <c r="E96" t="s">
        <v>62</v>
      </c>
      <c r="F96" t="s">
        <v>104</v>
      </c>
      <c r="G96" t="s">
        <v>104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69</v>
      </c>
      <c r="N96">
        <v>1</v>
      </c>
      <c r="O96">
        <v>146</v>
      </c>
      <c r="P96" t="s">
        <v>198</v>
      </c>
      <c r="Q96" t="s">
        <v>199</v>
      </c>
      <c r="R96" t="s">
        <v>200</v>
      </c>
      <c r="S96" t="s">
        <v>201</v>
      </c>
      <c r="T96">
        <v>1</v>
      </c>
      <c r="U96">
        <v>0</v>
      </c>
      <c r="V96" t="s">
        <v>202</v>
      </c>
      <c r="W96" t="s">
        <v>75</v>
      </c>
      <c r="X96" t="s">
        <v>203</v>
      </c>
      <c r="Y96">
        <v>1205</v>
      </c>
      <c r="Z96">
        <v>1207</v>
      </c>
      <c r="AA96">
        <v>13.1</v>
      </c>
      <c r="AB96">
        <v>13.1</v>
      </c>
      <c r="AC96">
        <v>13</v>
      </c>
      <c r="AD96">
        <v>107</v>
      </c>
      <c r="AE96" t="s">
        <v>204</v>
      </c>
      <c r="AF96">
        <v>2</v>
      </c>
      <c r="AG96">
        <v>238</v>
      </c>
      <c r="AH96">
        <v>165</v>
      </c>
      <c r="AI96">
        <v>171</v>
      </c>
      <c r="AJ96">
        <v>121</v>
      </c>
      <c r="AK96">
        <v>56</v>
      </c>
      <c r="AL96" t="s">
        <v>118</v>
      </c>
      <c r="AM96" t="s">
        <v>205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80</v>
      </c>
      <c r="AT96">
        <v>51.500999999999998</v>
      </c>
      <c r="AU96">
        <v>-9.1999999999999998E-2</v>
      </c>
      <c r="AV96" t="s">
        <v>101</v>
      </c>
      <c r="AW96" t="s">
        <v>82</v>
      </c>
      <c r="AX96" t="s">
        <v>191</v>
      </c>
      <c r="AY96">
        <v>29</v>
      </c>
      <c r="AZ96">
        <v>5.8965517241379306</v>
      </c>
      <c r="BA96">
        <v>39270</v>
      </c>
      <c r="BB96">
        <v>20691</v>
      </c>
      <c r="BC96">
        <v>0.52689075630252102</v>
      </c>
      <c r="BD96">
        <v>46.428571428571431</v>
      </c>
      <c r="BE96">
        <v>2.3809523809523809</v>
      </c>
      <c r="BF96">
        <v>0.89382716049382704</v>
      </c>
      <c r="BG96">
        <v>9</v>
      </c>
      <c r="BH96">
        <v>5.8965517241379306</v>
      </c>
      <c r="BI96">
        <v>0.106172839506173</v>
      </c>
    </row>
    <row r="97" spans="1:61" x14ac:dyDescent="0.2">
      <c r="A97">
        <v>336</v>
      </c>
      <c r="B97" t="s">
        <v>206</v>
      </c>
      <c r="C97" t="s">
        <v>63</v>
      </c>
      <c r="D97" t="s">
        <v>62</v>
      </c>
      <c r="E97" t="s">
        <v>62</v>
      </c>
      <c r="F97" t="s">
        <v>104</v>
      </c>
      <c r="H97" t="s">
        <v>217</v>
      </c>
      <c r="I97" t="s">
        <v>218</v>
      </c>
      <c r="J97" t="s">
        <v>219</v>
      </c>
      <c r="K97" t="s">
        <v>220</v>
      </c>
      <c r="L97" t="s">
        <v>221</v>
      </c>
      <c r="M97" t="s">
        <v>158</v>
      </c>
      <c r="N97">
        <v>1</v>
      </c>
      <c r="O97">
        <v>148</v>
      </c>
      <c r="P97" t="s">
        <v>222</v>
      </c>
      <c r="Q97" t="s">
        <v>172</v>
      </c>
      <c r="R97" t="s">
        <v>223</v>
      </c>
      <c r="S97" t="s">
        <v>224</v>
      </c>
      <c r="T97">
        <v>0</v>
      </c>
      <c r="U97">
        <v>0</v>
      </c>
      <c r="X97" t="s">
        <v>225</v>
      </c>
      <c r="Y97">
        <v>1208</v>
      </c>
      <c r="Z97">
        <v>1215</v>
      </c>
      <c r="AA97">
        <v>13.1</v>
      </c>
      <c r="AB97">
        <v>13.1</v>
      </c>
      <c r="AC97">
        <v>13</v>
      </c>
      <c r="AD97">
        <v>31</v>
      </c>
      <c r="AE97" t="s">
        <v>226</v>
      </c>
      <c r="AF97">
        <v>2</v>
      </c>
      <c r="AG97">
        <v>258</v>
      </c>
      <c r="AH97">
        <v>175</v>
      </c>
      <c r="AI97">
        <v>207</v>
      </c>
      <c r="AJ97">
        <v>153</v>
      </c>
      <c r="AK97">
        <v>76</v>
      </c>
      <c r="AM97" t="s">
        <v>227</v>
      </c>
      <c r="AN97">
        <v>1</v>
      </c>
      <c r="AO97">
        <v>1</v>
      </c>
      <c r="AP97">
        <v>0</v>
      </c>
      <c r="AQ97">
        <v>1</v>
      </c>
      <c r="AR97">
        <v>0</v>
      </c>
      <c r="AS97" t="s">
        <v>80</v>
      </c>
      <c r="AW97" t="s">
        <v>82</v>
      </c>
      <c r="AX97" t="s">
        <v>228</v>
      </c>
      <c r="AY97">
        <v>67</v>
      </c>
      <c r="AZ97">
        <v>3.08955223880597</v>
      </c>
      <c r="BA97">
        <v>45150</v>
      </c>
      <c r="BB97">
        <v>31671</v>
      </c>
      <c r="BC97">
        <v>0.70146179401993358</v>
      </c>
      <c r="BD97">
        <v>64.254385964912288</v>
      </c>
      <c r="BE97">
        <v>8.7719298245614041</v>
      </c>
      <c r="BF97">
        <v>0.85435147833953429</v>
      </c>
      <c r="BG97">
        <v>1</v>
      </c>
      <c r="BH97">
        <v>3.08955223880597</v>
      </c>
      <c r="BI97">
        <v>0.14564852166046571</v>
      </c>
    </row>
    <row r="98" spans="1:61" x14ac:dyDescent="0.2">
      <c r="A98">
        <v>329</v>
      </c>
      <c r="B98" t="s">
        <v>1052</v>
      </c>
      <c r="C98" t="s">
        <v>63</v>
      </c>
      <c r="D98" t="s">
        <v>179</v>
      </c>
      <c r="E98" t="s">
        <v>104</v>
      </c>
      <c r="F98" t="s">
        <v>179</v>
      </c>
      <c r="G98" t="s">
        <v>104</v>
      </c>
      <c r="H98" t="s">
        <v>1053</v>
      </c>
      <c r="I98" t="s">
        <v>1021</v>
      </c>
      <c r="J98" t="s">
        <v>1054</v>
      </c>
      <c r="K98" t="s">
        <v>1055</v>
      </c>
      <c r="L98" t="s">
        <v>683</v>
      </c>
      <c r="M98" t="s">
        <v>495</v>
      </c>
      <c r="N98">
        <v>1</v>
      </c>
      <c r="O98">
        <v>1238</v>
      </c>
      <c r="P98" t="s">
        <v>1056</v>
      </c>
      <c r="Q98" t="s">
        <v>172</v>
      </c>
      <c r="R98" t="s">
        <v>1057</v>
      </c>
      <c r="S98" t="s">
        <v>1058</v>
      </c>
      <c r="T98">
        <v>0</v>
      </c>
      <c r="U98">
        <v>0</v>
      </c>
      <c r="W98" t="s">
        <v>97</v>
      </c>
      <c r="X98" t="s">
        <v>1059</v>
      </c>
      <c r="Y98">
        <v>1208</v>
      </c>
      <c r="Z98">
        <v>1208</v>
      </c>
      <c r="AA98">
        <v>13.1</v>
      </c>
      <c r="AB98">
        <v>13.1</v>
      </c>
      <c r="AC98">
        <v>13</v>
      </c>
      <c r="AD98">
        <v>185</v>
      </c>
      <c r="AE98" t="s">
        <v>420</v>
      </c>
      <c r="AF98">
        <v>1</v>
      </c>
      <c r="AG98">
        <v>177</v>
      </c>
      <c r="AH98">
        <v>130</v>
      </c>
      <c r="AI98">
        <v>110</v>
      </c>
      <c r="AJ98">
        <v>60</v>
      </c>
      <c r="AK98">
        <v>60</v>
      </c>
      <c r="AM98" t="s">
        <v>1060</v>
      </c>
      <c r="AN98">
        <v>0</v>
      </c>
      <c r="AO98">
        <v>0</v>
      </c>
      <c r="AP98">
        <v>0</v>
      </c>
      <c r="AQ98">
        <v>1</v>
      </c>
      <c r="AR98">
        <v>2</v>
      </c>
      <c r="AS98" t="s">
        <v>978</v>
      </c>
      <c r="AW98" t="s">
        <v>82</v>
      </c>
      <c r="AX98" t="s">
        <v>83</v>
      </c>
      <c r="AY98">
        <v>20</v>
      </c>
      <c r="AZ98">
        <v>5.5</v>
      </c>
      <c r="BA98">
        <v>23010</v>
      </c>
      <c r="BB98">
        <v>6600</v>
      </c>
      <c r="BC98">
        <v>0.28683181225554111</v>
      </c>
      <c r="BD98">
        <v>46.666666666666657</v>
      </c>
      <c r="BE98">
        <v>2.7777777777777781</v>
      </c>
      <c r="BF98">
        <v>0.93194692959662107</v>
      </c>
      <c r="BG98">
        <v>0</v>
      </c>
      <c r="BH98">
        <v>5.5</v>
      </c>
      <c r="BI98">
        <v>6.8053070403378935E-2</v>
      </c>
    </row>
    <row r="99" spans="1:61" x14ac:dyDescent="0.2">
      <c r="A99">
        <v>339</v>
      </c>
      <c r="B99" t="s">
        <v>571</v>
      </c>
      <c r="C99" t="s">
        <v>62</v>
      </c>
      <c r="D99" t="s">
        <v>104</v>
      </c>
      <c r="E99" t="s">
        <v>62</v>
      </c>
      <c r="F99" t="s">
        <v>62</v>
      </c>
      <c r="G99" t="s">
        <v>104</v>
      </c>
      <c r="H99" t="s">
        <v>572</v>
      </c>
      <c r="I99" t="s">
        <v>573</v>
      </c>
      <c r="J99" t="s">
        <v>574</v>
      </c>
      <c r="K99" t="s">
        <v>575</v>
      </c>
      <c r="L99" t="s">
        <v>576</v>
      </c>
      <c r="M99" t="s">
        <v>69</v>
      </c>
      <c r="N99">
        <v>0</v>
      </c>
      <c r="O99">
        <v>267</v>
      </c>
      <c r="P99" t="s">
        <v>577</v>
      </c>
      <c r="Q99" t="s">
        <v>172</v>
      </c>
      <c r="R99" t="s">
        <v>578</v>
      </c>
      <c r="S99" t="s">
        <v>579</v>
      </c>
      <c r="T99">
        <v>0</v>
      </c>
      <c r="U99">
        <v>0</v>
      </c>
      <c r="X99" t="s">
        <v>580</v>
      </c>
      <c r="Y99">
        <v>1209</v>
      </c>
      <c r="Z99">
        <v>1216</v>
      </c>
      <c r="AA99">
        <v>13.1</v>
      </c>
      <c r="AB99">
        <v>13.1</v>
      </c>
      <c r="AC99">
        <v>13</v>
      </c>
      <c r="AD99">
        <v>74</v>
      </c>
      <c r="AE99" t="s">
        <v>204</v>
      </c>
      <c r="AF99">
        <v>3</v>
      </c>
      <c r="AG99">
        <v>241</v>
      </c>
      <c r="AH99">
        <v>172</v>
      </c>
      <c r="AI99">
        <v>170</v>
      </c>
      <c r="AJ99">
        <v>117</v>
      </c>
      <c r="AK99">
        <v>37</v>
      </c>
      <c r="AM99" t="s">
        <v>581</v>
      </c>
      <c r="AN99">
        <v>0</v>
      </c>
      <c r="AO99">
        <v>0</v>
      </c>
      <c r="AP99">
        <v>0</v>
      </c>
      <c r="AQ99">
        <v>1</v>
      </c>
      <c r="AR99">
        <v>2</v>
      </c>
      <c r="AS99" t="s">
        <v>538</v>
      </c>
      <c r="AW99" t="s">
        <v>82</v>
      </c>
      <c r="AX99" t="s">
        <v>191</v>
      </c>
      <c r="AY99">
        <v>29</v>
      </c>
      <c r="AZ99">
        <v>5.8620689655172411</v>
      </c>
      <c r="BA99">
        <v>41452</v>
      </c>
      <c r="BB99">
        <v>19890</v>
      </c>
      <c r="BC99">
        <v>0.4798320949531989</v>
      </c>
      <c r="BD99">
        <f>166.666666666667/3</f>
        <v>55.555555555555664</v>
      </c>
      <c r="BE99">
        <v>9.9099099099099099</v>
      </c>
      <c r="BF99">
        <v>0.86877523553162816</v>
      </c>
      <c r="BG99">
        <v>6</v>
      </c>
      <c r="BH99">
        <v>5.8620689655172411</v>
      </c>
      <c r="BI99">
        <v>0.13122476446837181</v>
      </c>
    </row>
    <row r="100" spans="1:61" x14ac:dyDescent="0.2">
      <c r="A100">
        <v>344</v>
      </c>
      <c r="B100" t="s">
        <v>618</v>
      </c>
      <c r="C100" t="s">
        <v>62</v>
      </c>
      <c r="D100" t="s">
        <v>62</v>
      </c>
      <c r="E100" t="s">
        <v>62</v>
      </c>
      <c r="F100" t="s">
        <v>62</v>
      </c>
      <c r="G100" t="s">
        <v>104</v>
      </c>
      <c r="H100" t="s">
        <v>619</v>
      </c>
      <c r="I100" t="s">
        <v>620</v>
      </c>
      <c r="J100" t="s">
        <v>621</v>
      </c>
      <c r="K100" t="s">
        <v>622</v>
      </c>
      <c r="L100" t="s">
        <v>623</v>
      </c>
      <c r="M100" t="s">
        <v>360</v>
      </c>
      <c r="N100">
        <v>1</v>
      </c>
      <c r="O100">
        <v>276</v>
      </c>
      <c r="P100" t="s">
        <v>624</v>
      </c>
      <c r="Q100" t="s">
        <v>625</v>
      </c>
      <c r="R100" t="s">
        <v>626</v>
      </c>
      <c r="S100" t="s">
        <v>627</v>
      </c>
      <c r="T100">
        <v>1</v>
      </c>
      <c r="U100">
        <v>0</v>
      </c>
      <c r="V100" t="s">
        <v>628</v>
      </c>
      <c r="W100" t="s">
        <v>350</v>
      </c>
      <c r="X100" t="s">
        <v>629</v>
      </c>
      <c r="Y100">
        <v>1209</v>
      </c>
      <c r="Z100">
        <v>1223</v>
      </c>
      <c r="AA100">
        <v>13.1</v>
      </c>
      <c r="AB100">
        <v>13.1</v>
      </c>
      <c r="AC100">
        <v>13</v>
      </c>
      <c r="AD100">
        <v>81</v>
      </c>
      <c r="AE100" t="s">
        <v>630</v>
      </c>
      <c r="AF100">
        <v>2</v>
      </c>
      <c r="AG100">
        <v>194</v>
      </c>
      <c r="AH100">
        <v>129</v>
      </c>
      <c r="AI100">
        <v>149</v>
      </c>
      <c r="AJ100">
        <v>85</v>
      </c>
      <c r="AK100">
        <v>36</v>
      </c>
      <c r="AL100" t="s">
        <v>631</v>
      </c>
      <c r="AM100" t="s">
        <v>632</v>
      </c>
      <c r="AN100">
        <v>0</v>
      </c>
      <c r="AO100">
        <v>0</v>
      </c>
      <c r="AP100">
        <v>2</v>
      </c>
      <c r="AQ100">
        <v>1</v>
      </c>
      <c r="AR100">
        <v>2</v>
      </c>
      <c r="AS100" t="s">
        <v>538</v>
      </c>
      <c r="AT100">
        <v>53.23</v>
      </c>
      <c r="AU100">
        <v>-0.54</v>
      </c>
      <c r="AV100" t="s">
        <v>136</v>
      </c>
      <c r="AW100" t="s">
        <v>82</v>
      </c>
      <c r="AX100" t="s">
        <v>191</v>
      </c>
      <c r="AY100">
        <v>25.5</v>
      </c>
      <c r="AZ100">
        <v>5.8431372549019596</v>
      </c>
      <c r="BA100">
        <v>25026</v>
      </c>
      <c r="BB100">
        <v>12665</v>
      </c>
      <c r="BC100">
        <v>0.50607368336929592</v>
      </c>
      <c r="BD100">
        <v>51.851851851851862</v>
      </c>
      <c r="BE100">
        <v>3.2407407407407409</v>
      </c>
      <c r="BF100">
        <v>0.91454331634653097</v>
      </c>
      <c r="BG100">
        <v>13</v>
      </c>
      <c r="BH100">
        <v>5.8431372549019596</v>
      </c>
      <c r="BI100">
        <v>8.5456683653469034E-2</v>
      </c>
    </row>
    <row r="101" spans="1:61" x14ac:dyDescent="0.2">
      <c r="A101">
        <v>341</v>
      </c>
      <c r="B101" t="s">
        <v>393</v>
      </c>
      <c r="C101" t="s">
        <v>63</v>
      </c>
      <c r="D101" t="s">
        <v>104</v>
      </c>
      <c r="E101" t="s">
        <v>62</v>
      </c>
      <c r="F101" t="s">
        <v>104</v>
      </c>
      <c r="G101" t="s">
        <v>104</v>
      </c>
      <c r="H101" t="s">
        <v>394</v>
      </c>
      <c r="I101" t="s">
        <v>395</v>
      </c>
      <c r="J101" t="s">
        <v>396</v>
      </c>
      <c r="K101" t="s">
        <v>397</v>
      </c>
      <c r="L101" t="s">
        <v>398</v>
      </c>
      <c r="M101" t="s">
        <v>69</v>
      </c>
      <c r="N101">
        <v>1</v>
      </c>
      <c r="O101">
        <v>203</v>
      </c>
      <c r="P101" t="s">
        <v>399</v>
      </c>
      <c r="Q101" t="s">
        <v>400</v>
      </c>
      <c r="R101" t="s">
        <v>401</v>
      </c>
      <c r="S101" t="s">
        <v>402</v>
      </c>
      <c r="T101">
        <v>1</v>
      </c>
      <c r="U101">
        <v>1</v>
      </c>
      <c r="V101" t="s">
        <v>403</v>
      </c>
      <c r="W101" t="s">
        <v>97</v>
      </c>
      <c r="X101" t="s">
        <v>404</v>
      </c>
      <c r="Y101">
        <v>1212</v>
      </c>
      <c r="Z101">
        <v>1212</v>
      </c>
      <c r="AA101">
        <v>13.1</v>
      </c>
      <c r="AB101">
        <v>13.1</v>
      </c>
      <c r="AC101">
        <v>13</v>
      </c>
      <c r="AD101">
        <v>31</v>
      </c>
      <c r="AE101" t="s">
        <v>405</v>
      </c>
      <c r="AF101">
        <v>1</v>
      </c>
      <c r="AG101">
        <v>338</v>
      </c>
      <c r="AH101">
        <v>240</v>
      </c>
      <c r="AI101">
        <v>230</v>
      </c>
      <c r="AJ101">
        <v>170</v>
      </c>
      <c r="AK101">
        <v>170</v>
      </c>
      <c r="AL101" t="s">
        <v>406</v>
      </c>
      <c r="AM101" t="s">
        <v>407</v>
      </c>
      <c r="AN101">
        <v>0</v>
      </c>
      <c r="AO101">
        <v>0</v>
      </c>
      <c r="AP101">
        <v>0</v>
      </c>
      <c r="AQ101">
        <v>1</v>
      </c>
      <c r="AR101">
        <v>2</v>
      </c>
      <c r="AS101" t="s">
        <v>80</v>
      </c>
      <c r="AT101">
        <v>52.247999999999998</v>
      </c>
      <c r="AU101">
        <v>0.71199999999999997</v>
      </c>
      <c r="AV101" t="s">
        <v>408</v>
      </c>
      <c r="AW101" t="s">
        <v>82</v>
      </c>
      <c r="AX101" t="s">
        <v>83</v>
      </c>
      <c r="AY101">
        <v>33</v>
      </c>
      <c r="AZ101">
        <v>6.9696969696969697</v>
      </c>
      <c r="BA101">
        <v>81120</v>
      </c>
      <c r="BB101">
        <v>39100</v>
      </c>
      <c r="BC101">
        <v>0.48200197238658782</v>
      </c>
      <c r="BD101">
        <v>39.803921568627452</v>
      </c>
      <c r="BE101">
        <v>7.2549019607843146</v>
      </c>
      <c r="BF101">
        <v>0.85023505708529268</v>
      </c>
      <c r="BG101">
        <v>0</v>
      </c>
      <c r="BH101">
        <v>6.9696969696969697</v>
      </c>
      <c r="BI101">
        <v>0.14976494291470729</v>
      </c>
    </row>
    <row r="102" spans="1:61" x14ac:dyDescent="0.2">
      <c r="A102">
        <v>351</v>
      </c>
      <c r="B102" t="s">
        <v>860</v>
      </c>
      <c r="C102" t="s">
        <v>62</v>
      </c>
      <c r="D102" t="s">
        <v>62</v>
      </c>
      <c r="E102" t="s">
        <v>62</v>
      </c>
      <c r="F102" t="s">
        <v>62</v>
      </c>
      <c r="G102" t="s">
        <v>62</v>
      </c>
      <c r="H102" t="s">
        <v>861</v>
      </c>
      <c r="I102" t="s">
        <v>862</v>
      </c>
      <c r="J102" t="s">
        <v>863</v>
      </c>
      <c r="K102" t="s">
        <v>864</v>
      </c>
      <c r="L102" t="s">
        <v>683</v>
      </c>
      <c r="M102" t="s">
        <v>495</v>
      </c>
      <c r="N102">
        <v>1</v>
      </c>
      <c r="O102">
        <v>1072</v>
      </c>
      <c r="P102" t="s">
        <v>865</v>
      </c>
      <c r="Q102" t="s">
        <v>172</v>
      </c>
      <c r="R102" t="s">
        <v>866</v>
      </c>
      <c r="S102" t="s">
        <v>867</v>
      </c>
      <c r="T102">
        <v>0</v>
      </c>
      <c r="U102">
        <v>0</v>
      </c>
      <c r="X102" t="s">
        <v>868</v>
      </c>
      <c r="Y102">
        <v>1214</v>
      </c>
      <c r="Z102">
        <v>1222</v>
      </c>
      <c r="AA102">
        <v>13.1</v>
      </c>
      <c r="AB102">
        <v>13.1</v>
      </c>
      <c r="AC102">
        <v>13</v>
      </c>
      <c r="AD102">
        <v>212</v>
      </c>
      <c r="AE102" t="s">
        <v>420</v>
      </c>
      <c r="AF102">
        <v>1</v>
      </c>
      <c r="AG102">
        <v>240</v>
      </c>
      <c r="AH102">
        <v>157</v>
      </c>
      <c r="AI102">
        <v>145</v>
      </c>
      <c r="AJ102">
        <v>85</v>
      </c>
      <c r="AK102">
        <v>85</v>
      </c>
      <c r="AM102" t="s">
        <v>869</v>
      </c>
      <c r="AN102">
        <v>0</v>
      </c>
      <c r="AO102">
        <v>1</v>
      </c>
      <c r="AP102">
        <v>2</v>
      </c>
      <c r="AQ102">
        <v>2</v>
      </c>
      <c r="AR102">
        <v>2</v>
      </c>
      <c r="AS102" t="s">
        <v>859</v>
      </c>
      <c r="AW102" t="s">
        <v>82</v>
      </c>
      <c r="AX102" t="s">
        <v>83</v>
      </c>
      <c r="AY102">
        <v>20</v>
      </c>
      <c r="AZ102">
        <v>7.25</v>
      </c>
      <c r="BA102">
        <v>37680</v>
      </c>
      <c r="BB102">
        <v>12325</v>
      </c>
      <c r="BC102">
        <v>0.32709660297239918</v>
      </c>
      <c r="BD102">
        <v>31.764705882352938</v>
      </c>
      <c r="BE102">
        <v>0.78431372549019607</v>
      </c>
      <c r="BF102">
        <v>0.91159586681974691</v>
      </c>
      <c r="BG102">
        <v>0</v>
      </c>
      <c r="BH102">
        <v>7.25</v>
      </c>
      <c r="BI102">
        <v>8.8404133180253086E-2</v>
      </c>
    </row>
    <row r="103" spans="1:61" x14ac:dyDescent="0.2">
      <c r="A103">
        <v>343</v>
      </c>
      <c r="B103" t="s">
        <v>1222</v>
      </c>
      <c r="C103" t="s">
        <v>62</v>
      </c>
      <c r="D103" t="s">
        <v>62</v>
      </c>
      <c r="E103" t="s">
        <v>62</v>
      </c>
      <c r="F103" t="s">
        <v>63</v>
      </c>
      <c r="G103" t="s">
        <v>105</v>
      </c>
      <c r="H103" t="s">
        <v>1223</v>
      </c>
      <c r="I103" t="s">
        <v>1224</v>
      </c>
      <c r="J103" t="s">
        <v>1225</v>
      </c>
      <c r="K103" t="s">
        <v>67</v>
      </c>
      <c r="L103" t="s">
        <v>1226</v>
      </c>
      <c r="M103" t="s">
        <v>69</v>
      </c>
      <c r="N103">
        <v>1</v>
      </c>
      <c r="O103">
        <v>1371</v>
      </c>
      <c r="P103" t="s">
        <v>1227</v>
      </c>
      <c r="Q103" t="s">
        <v>458</v>
      </c>
      <c r="R103" t="s">
        <v>1228</v>
      </c>
      <c r="S103" t="s">
        <v>1229</v>
      </c>
      <c r="T103">
        <v>1</v>
      </c>
      <c r="U103">
        <v>1</v>
      </c>
      <c r="V103" t="s">
        <v>461</v>
      </c>
      <c r="W103" t="s">
        <v>97</v>
      </c>
      <c r="X103" t="s">
        <v>1230</v>
      </c>
      <c r="Y103">
        <v>1214</v>
      </c>
      <c r="Z103">
        <v>1215</v>
      </c>
      <c r="AA103">
        <v>13.1</v>
      </c>
      <c r="AB103">
        <v>13.1</v>
      </c>
      <c r="AC103">
        <v>13</v>
      </c>
      <c r="AD103">
        <v>26</v>
      </c>
      <c r="AE103" t="s">
        <v>1231</v>
      </c>
      <c r="AF103">
        <v>1</v>
      </c>
      <c r="AG103">
        <v>225</v>
      </c>
      <c r="AH103">
        <v>160</v>
      </c>
      <c r="AI103">
        <v>170</v>
      </c>
      <c r="AJ103">
        <v>120</v>
      </c>
      <c r="AK103">
        <v>120</v>
      </c>
      <c r="AL103" t="s">
        <v>256</v>
      </c>
      <c r="AM103" t="s">
        <v>1232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80</v>
      </c>
      <c r="AT103">
        <v>51.386000000000003</v>
      </c>
      <c r="AU103">
        <v>0.498</v>
      </c>
      <c r="AV103" t="s">
        <v>166</v>
      </c>
      <c r="AW103" t="s">
        <v>82</v>
      </c>
      <c r="AX103" t="s">
        <v>83</v>
      </c>
      <c r="AY103">
        <v>31.5</v>
      </c>
      <c r="AZ103">
        <v>5.3968253968253972</v>
      </c>
      <c r="BA103">
        <v>36000</v>
      </c>
      <c r="BB103">
        <v>20400</v>
      </c>
      <c r="BC103">
        <v>0.56666666666666665</v>
      </c>
      <c r="BD103">
        <v>45.277777777777779</v>
      </c>
      <c r="BE103">
        <v>6.9444444444444446</v>
      </c>
      <c r="BF103">
        <v>0.83190138214419052</v>
      </c>
      <c r="BG103">
        <v>0</v>
      </c>
      <c r="BH103">
        <v>5.3968253968253972</v>
      </c>
      <c r="BI103">
        <v>0.16809861785580951</v>
      </c>
    </row>
    <row r="104" spans="1:61" x14ac:dyDescent="0.2">
      <c r="A104">
        <v>361</v>
      </c>
      <c r="B104" t="s">
        <v>929</v>
      </c>
      <c r="C104" t="s">
        <v>104</v>
      </c>
      <c r="D104" t="s">
        <v>104</v>
      </c>
      <c r="E104" t="s">
        <v>63</v>
      </c>
      <c r="F104" t="s">
        <v>179</v>
      </c>
      <c r="H104" t="s">
        <v>930</v>
      </c>
      <c r="I104" t="s">
        <v>931</v>
      </c>
      <c r="J104" t="s">
        <v>932</v>
      </c>
      <c r="K104" t="s">
        <v>933</v>
      </c>
      <c r="L104" t="s">
        <v>934</v>
      </c>
      <c r="M104" t="s">
        <v>158</v>
      </c>
      <c r="N104">
        <v>0</v>
      </c>
      <c r="O104">
        <v>1089</v>
      </c>
      <c r="P104" t="s">
        <v>935</v>
      </c>
      <c r="Q104" t="s">
        <v>625</v>
      </c>
      <c r="R104" t="s">
        <v>936</v>
      </c>
      <c r="S104" t="s">
        <v>937</v>
      </c>
      <c r="T104">
        <v>1</v>
      </c>
      <c r="U104">
        <v>0</v>
      </c>
      <c r="V104" t="s">
        <v>628</v>
      </c>
      <c r="W104" t="s">
        <v>350</v>
      </c>
      <c r="X104" t="s">
        <v>938</v>
      </c>
      <c r="Y104">
        <v>1215</v>
      </c>
      <c r="Z104">
        <v>1223</v>
      </c>
      <c r="AA104">
        <v>13.1</v>
      </c>
      <c r="AB104">
        <v>13.1</v>
      </c>
      <c r="AC104">
        <v>13</v>
      </c>
      <c r="AD104">
        <v>167</v>
      </c>
      <c r="AE104" t="s">
        <v>939</v>
      </c>
      <c r="AF104">
        <v>2</v>
      </c>
      <c r="AG104">
        <v>265</v>
      </c>
      <c r="AH104">
        <v>180</v>
      </c>
      <c r="AI104">
        <v>174</v>
      </c>
      <c r="AJ104">
        <v>115</v>
      </c>
      <c r="AK104">
        <v>52</v>
      </c>
      <c r="AL104" t="s">
        <v>631</v>
      </c>
      <c r="AM104" t="s">
        <v>940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859</v>
      </c>
      <c r="AT104">
        <v>53.23</v>
      </c>
      <c r="AU104">
        <v>-0.54</v>
      </c>
      <c r="AV104" t="s">
        <v>136</v>
      </c>
      <c r="AW104" t="s">
        <v>82</v>
      </c>
      <c r="AX104" t="s">
        <v>191</v>
      </c>
      <c r="AY104">
        <v>33.5</v>
      </c>
      <c r="AZ104">
        <v>5.1940298507462694</v>
      </c>
      <c r="BA104">
        <v>47700</v>
      </c>
      <c r="BB104">
        <v>20010</v>
      </c>
      <c r="BC104">
        <v>0.41949685534591202</v>
      </c>
      <c r="BD104">
        <v>49.358974358974358</v>
      </c>
      <c r="BE104">
        <v>3.8461538461538458</v>
      </c>
      <c r="BF104">
        <v>0.89959225280326172</v>
      </c>
      <c r="BG104">
        <v>11</v>
      </c>
      <c r="BH104">
        <v>5.1940298507462694</v>
      </c>
      <c r="BI104">
        <v>0.1004077471967383</v>
      </c>
    </row>
    <row r="105" spans="1:61" x14ac:dyDescent="0.2">
      <c r="A105">
        <v>347</v>
      </c>
      <c r="B105" t="s">
        <v>206</v>
      </c>
      <c r="C105" t="s">
        <v>63</v>
      </c>
      <c r="D105" t="s">
        <v>62</v>
      </c>
      <c r="E105" t="s">
        <v>62</v>
      </c>
      <c r="F105" t="s">
        <v>104</v>
      </c>
      <c r="H105" t="s">
        <v>207</v>
      </c>
      <c r="I105" t="s">
        <v>208</v>
      </c>
      <c r="J105" t="s">
        <v>209</v>
      </c>
      <c r="K105" t="s">
        <v>210</v>
      </c>
      <c r="L105" t="s">
        <v>211</v>
      </c>
      <c r="M105" t="s">
        <v>69</v>
      </c>
      <c r="N105">
        <v>1</v>
      </c>
      <c r="O105">
        <v>147</v>
      </c>
      <c r="P105" t="s">
        <v>212</v>
      </c>
      <c r="Q105" t="s">
        <v>172</v>
      </c>
      <c r="R105" t="s">
        <v>213</v>
      </c>
      <c r="S105" t="s">
        <v>214</v>
      </c>
      <c r="T105">
        <v>0</v>
      </c>
      <c r="U105">
        <v>0</v>
      </c>
      <c r="X105" t="s">
        <v>215</v>
      </c>
      <c r="Y105">
        <v>1217</v>
      </c>
      <c r="Z105">
        <v>1217</v>
      </c>
      <c r="AA105">
        <v>13.1</v>
      </c>
      <c r="AB105">
        <v>13.1</v>
      </c>
      <c r="AC105">
        <v>13</v>
      </c>
      <c r="AD105">
        <v>16</v>
      </c>
      <c r="AE105" t="s">
        <v>216</v>
      </c>
      <c r="AF105">
        <v>2</v>
      </c>
      <c r="AG105">
        <v>258</v>
      </c>
      <c r="AH105">
        <v>175</v>
      </c>
      <c r="AI105">
        <v>175</v>
      </c>
      <c r="AJ105">
        <v>125</v>
      </c>
      <c r="AK105">
        <v>56</v>
      </c>
      <c r="AM105" t="s">
        <v>205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80</v>
      </c>
      <c r="AW105" t="s">
        <v>82</v>
      </c>
      <c r="AX105" t="s">
        <v>191</v>
      </c>
      <c r="AY105">
        <v>38</v>
      </c>
      <c r="AZ105">
        <v>4.6052631578947372</v>
      </c>
      <c r="BA105">
        <v>45150</v>
      </c>
      <c r="BB105">
        <v>21875</v>
      </c>
      <c r="BC105">
        <v>0.48449612403100772</v>
      </c>
      <c r="BD105">
        <v>63.095238095238102</v>
      </c>
      <c r="BE105">
        <v>4.7619047619047619</v>
      </c>
      <c r="BF105">
        <v>0.89207507820646514</v>
      </c>
      <c r="BG105">
        <v>13</v>
      </c>
      <c r="BH105">
        <v>4.6052631578947372</v>
      </c>
      <c r="BI105">
        <v>0.1079249217935349</v>
      </c>
    </row>
    <row r="106" spans="1:61" x14ac:dyDescent="0.2">
      <c r="A106">
        <v>359</v>
      </c>
      <c r="B106" t="s">
        <v>284</v>
      </c>
      <c r="C106" t="s">
        <v>62</v>
      </c>
      <c r="D106" t="s">
        <v>104</v>
      </c>
      <c r="E106" t="s">
        <v>179</v>
      </c>
      <c r="F106" t="s">
        <v>179</v>
      </c>
      <c r="G106" t="s">
        <v>104</v>
      </c>
      <c r="H106" t="s">
        <v>285</v>
      </c>
      <c r="I106" t="s">
        <v>286</v>
      </c>
      <c r="J106" t="s">
        <v>287</v>
      </c>
      <c r="K106" t="s">
        <v>288</v>
      </c>
      <c r="L106" t="s">
        <v>289</v>
      </c>
      <c r="M106" t="s">
        <v>91</v>
      </c>
      <c r="N106">
        <v>1</v>
      </c>
      <c r="O106">
        <v>170</v>
      </c>
      <c r="P106" t="s">
        <v>290</v>
      </c>
      <c r="Q106" t="s">
        <v>291</v>
      </c>
      <c r="R106" t="s">
        <v>292</v>
      </c>
      <c r="S106" t="s">
        <v>293</v>
      </c>
      <c r="T106">
        <v>1</v>
      </c>
      <c r="U106">
        <v>1</v>
      </c>
      <c r="V106" t="s">
        <v>294</v>
      </c>
      <c r="W106" t="s">
        <v>97</v>
      </c>
      <c r="X106" t="s">
        <v>295</v>
      </c>
      <c r="Y106">
        <v>1221</v>
      </c>
      <c r="Z106">
        <v>1222</v>
      </c>
      <c r="AA106">
        <v>13.1</v>
      </c>
      <c r="AB106">
        <v>13.1</v>
      </c>
      <c r="AC106">
        <v>13</v>
      </c>
      <c r="AD106">
        <v>148</v>
      </c>
      <c r="AE106" t="s">
        <v>216</v>
      </c>
      <c r="AF106">
        <v>1</v>
      </c>
      <c r="AG106">
        <v>278</v>
      </c>
      <c r="AH106">
        <v>195</v>
      </c>
      <c r="AI106">
        <v>195</v>
      </c>
      <c r="AJ106">
        <v>108</v>
      </c>
      <c r="AK106">
        <v>108</v>
      </c>
      <c r="AL106" t="s">
        <v>100</v>
      </c>
      <c r="AM106" t="s">
        <v>283</v>
      </c>
      <c r="AN106">
        <v>0</v>
      </c>
      <c r="AO106">
        <v>0</v>
      </c>
      <c r="AP106">
        <v>0</v>
      </c>
      <c r="AQ106">
        <v>1</v>
      </c>
      <c r="AR106">
        <v>2</v>
      </c>
      <c r="AS106" t="s">
        <v>80</v>
      </c>
      <c r="AT106">
        <v>52.396999999999998</v>
      </c>
      <c r="AU106">
        <v>0.26200000000000001</v>
      </c>
      <c r="AV106" t="s">
        <v>101</v>
      </c>
      <c r="AW106" t="s">
        <v>82</v>
      </c>
      <c r="AX106" t="s">
        <v>83</v>
      </c>
      <c r="AY106">
        <v>38</v>
      </c>
      <c r="AZ106">
        <v>5.1315789473684212</v>
      </c>
      <c r="BA106">
        <v>54210</v>
      </c>
      <c r="BB106">
        <v>21060</v>
      </c>
      <c r="BC106">
        <v>0.38848920863309361</v>
      </c>
      <c r="BD106">
        <v>37.345679012345677</v>
      </c>
      <c r="BE106">
        <v>1.2345679012345681</v>
      </c>
      <c r="BF106">
        <v>0.7792672396438054</v>
      </c>
      <c r="BG106">
        <v>0</v>
      </c>
      <c r="BH106">
        <v>5.1315789473684212</v>
      </c>
      <c r="BI106">
        <v>0.2207327603561946</v>
      </c>
    </row>
  </sheetData>
  <sortState xmlns:xlrd2="http://schemas.microsoft.com/office/spreadsheetml/2017/richdata2" ref="A2:BI106">
    <sortCondition ref="Y1:Y1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Tittse, C.F. (Celis)</cp:lastModifiedBy>
  <dcterms:created xsi:type="dcterms:W3CDTF">2026-05-17T08:34:01Z</dcterms:created>
  <dcterms:modified xsi:type="dcterms:W3CDTF">2026-05-23T19:43:57Z</dcterms:modified>
</cp:coreProperties>
</file>